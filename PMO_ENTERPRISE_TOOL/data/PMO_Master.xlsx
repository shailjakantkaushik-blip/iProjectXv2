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oadmap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RAID" sheetId="4" state="visible" r:id="rId4"/>
    <sheet xmlns:r="http://schemas.openxmlformats.org/officeDocument/2006/relationships" name="StageGates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Resources" sheetId="7" state="visible" r:id="rId7"/>
    <sheet xmlns:r="http://schemas.openxmlformats.org/officeDocument/2006/relationships" name="Dependencies" sheetId="8" state="visible" r:id="rId8"/>
    <sheet xmlns:r="http://schemas.openxmlformats.org/officeDocument/2006/relationships" name="Pipeline" sheetId="9" state="visible" r:id="rId9"/>
    <sheet xmlns:r="http://schemas.openxmlformats.org/officeDocument/2006/relationships" name="CostBenefit" sheetId="10" state="visible" r:id="rId10"/>
    <sheet xmlns:r="http://schemas.openxmlformats.org/officeDocument/2006/relationships" name="Benefits" sheetId="11" state="visible" r:id="rId11"/>
    <sheet xmlns:r="http://schemas.openxmlformats.org/officeDocument/2006/relationships" name="Decisions" sheetId="12" state="visible" r:id="rId12"/>
    <sheet xmlns:r="http://schemas.openxmlformats.org/officeDocument/2006/relationships" name="Actions" sheetId="13" state="visible" r:id="rId13"/>
    <sheet xmlns:r="http://schemas.openxmlformats.org/officeDocument/2006/relationships" name="Milestones" sheetId="14" state="visible" r:id="rId14"/>
    <sheet xmlns:r="http://schemas.openxmlformats.org/officeDocument/2006/relationships" name="PortfolioMovements" sheetId="15" state="visible" r:id="rId15"/>
    <sheet xmlns:r="http://schemas.openxmlformats.org/officeDocument/2006/relationships" name="Prioritisation" sheetId="16" state="visible" r:id="rId16"/>
    <sheet xmlns:r="http://schemas.openxmlformats.org/officeDocument/2006/relationships" name="Config" sheetId="17" state="visible" r:id="rId17"/>
    <sheet xmlns:r="http://schemas.openxmlformats.org/officeDocument/2006/relationships" name="ConfigRules" sheetId="18" state="visible" r:id="rId18"/>
    <sheet xmlns:r="http://schemas.openxmlformats.org/officeDocument/2006/relationships" name="Sprints" sheetId="19" state="visible" r:id="rId19"/>
    <sheet xmlns:r="http://schemas.openxmlformats.org/officeDocument/2006/relationships" name="Releases" sheetId="20" state="visible" r:id="rId20"/>
    <sheet xmlns:r="http://schemas.openxmlformats.org/officeDocument/2006/relationships" name="Programs" sheetId="21" state="visible" r:id="rId21"/>
    <sheet xmlns:r="http://schemas.openxmlformats.org/officeDocument/2006/relationships" name="PhaseFinancials" sheetId="22" state="visible" r:id="rId22"/>
    <sheet xmlns:r="http://schemas.openxmlformats.org/officeDocument/2006/relationships" name="ProjectBrief" sheetId="23" state="visible" r:id="rId23"/>
    <sheet xmlns:r="http://schemas.openxmlformats.org/officeDocument/2006/relationships" name="ProjectLinks" sheetId="24" state="visible" r:id="rId24"/>
    <sheet xmlns:r="http://schemas.openxmlformats.org/officeDocument/2006/relationships" name="_Stages" sheetId="25" state="hidden" r:id="rId25"/>
    <sheet xmlns:r="http://schemas.openxmlformats.org/officeDocument/2006/relationships" name="FYAllocation" sheetId="26" state="visible" r:id="rId2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K5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Project ID</t>
        </is>
      </c>
      <c r="B1" s="6" t="inlineStr">
        <is>
          <t>Project Name</t>
        </is>
      </c>
      <c r="C1" s="6" t="inlineStr">
        <is>
          <t>Program</t>
        </is>
      </c>
      <c r="D1" s="6" t="inlineStr">
        <is>
          <t>Theme</t>
        </is>
      </c>
      <c r="E1" s="6" t="inlineStr">
        <is>
          <t>Portfolio Category</t>
        </is>
      </c>
      <c r="F1" s="6" t="inlineStr">
        <is>
          <t>Business Unit</t>
        </is>
      </c>
      <c r="G1" s="6" t="inlineStr">
        <is>
          <t>Sponsor</t>
        </is>
      </c>
      <c r="H1" s="6" t="inlineStr">
        <is>
          <t>Delivery Lead</t>
        </is>
      </c>
      <c r="I1" s="6" t="inlineStr">
        <is>
          <t>PM</t>
        </is>
      </c>
      <c r="J1" s="6" t="inlineStr">
        <is>
          <t>Priority</t>
        </is>
      </c>
      <c r="K1" s="6" t="inlineStr">
        <is>
          <t>Investment Type</t>
        </is>
      </c>
      <c r="L1" s="6" t="inlineStr">
        <is>
          <t>Delivery Method</t>
        </is>
      </c>
      <c r="M1" s="6" t="inlineStr">
        <is>
          <t>Funding Type</t>
        </is>
      </c>
      <c r="N1" s="6" t="inlineStr">
        <is>
          <t>Governance Channel</t>
        </is>
      </c>
      <c r="O1" s="6" t="inlineStr">
        <is>
          <t>Financial Year</t>
        </is>
      </c>
      <c r="P1" s="6" t="inlineStr">
        <is>
          <t>Start Date</t>
        </is>
      </c>
      <c r="Q1" s="6" t="inlineStr">
        <is>
          <t>End Date</t>
        </is>
      </c>
      <c r="R1" s="6" t="inlineStr">
        <is>
          <t>Go Live Date</t>
        </is>
      </c>
      <c r="S1" s="6" t="inlineStr">
        <is>
          <t>Progress %</t>
        </is>
      </c>
      <c r="T1" s="6" t="inlineStr">
        <is>
          <t>Approved Funding</t>
        </is>
      </c>
      <c r="U1" s="6" t="inlineStr">
        <is>
          <t>CAPEX</t>
        </is>
      </c>
      <c r="V1" s="6" t="inlineStr">
        <is>
          <t>OPEX</t>
        </is>
      </c>
      <c r="W1" s="6" t="inlineStr">
        <is>
          <t>Total Funding</t>
        </is>
      </c>
      <c r="X1" s="6" t="inlineStr">
        <is>
          <t>Actual Spend</t>
        </is>
      </c>
      <c r="Y1" s="6" t="inlineStr">
        <is>
          <t>Forecast At Completion</t>
        </is>
      </c>
      <c r="Z1" s="6" t="inlineStr">
        <is>
          <t>Remaining Budget</t>
        </is>
      </c>
      <c r="AA1" s="6" t="inlineStr">
        <is>
          <t>Forecast Variance</t>
        </is>
      </c>
      <c r="AB1" s="6" t="inlineStr">
        <is>
          <t>Contingency</t>
        </is>
      </c>
      <c r="AC1" s="6" t="inlineStr">
        <is>
          <t>Benefits Forecast</t>
        </is>
      </c>
      <c r="AD1" s="6" t="inlineStr">
        <is>
          <t>Benefits Realised</t>
        </is>
      </c>
      <c r="AE1" s="6" t="inlineStr">
        <is>
          <t>Benefits Remaining</t>
        </is>
      </c>
      <c r="AF1" s="6" t="inlineStr">
        <is>
          <t>Benefit Realisation %</t>
        </is>
      </c>
      <c r="AG1" s="6" t="inlineStr">
        <is>
          <t>Budget</t>
        </is>
      </c>
      <c r="AH1" s="6" t="inlineStr">
        <is>
          <t>Actual Cost</t>
        </is>
      </c>
      <c r="AI1" s="6" t="inlineStr">
        <is>
          <t>Forecast</t>
        </is>
      </c>
      <c r="AJ1" s="6" t="inlineStr">
        <is>
          <t>Status</t>
        </is>
      </c>
      <c r="AK1" s="6" t="inlineStr">
        <is>
          <t>RAG</t>
        </is>
      </c>
    </row>
    <row r="2" ht="15" customHeight="1" s="5">
      <c r="A2" s="7" t="inlineStr">
        <is>
          <t>PRJ001</t>
        </is>
      </c>
      <c r="B2" s="7" t="inlineStr">
        <is>
          <t>Customer Portal</t>
        </is>
      </c>
      <c r="C2" s="7" t="inlineStr">
        <is>
          <t>Digital Transformation</t>
        </is>
      </c>
      <c r="D2" s="7" t="inlineStr">
        <is>
          <t>Digital &amp; Applications</t>
        </is>
      </c>
      <c r="E2" s="7" t="inlineStr">
        <is>
          <t>Business Strategic</t>
        </is>
      </c>
      <c r="F2" s="7" t="inlineStr">
        <is>
          <t>Wholesale</t>
        </is>
      </c>
      <c r="G2" s="7" t="inlineStr">
        <is>
          <t>CTO</t>
        </is>
      </c>
      <c r="H2" s="7" t="inlineStr">
        <is>
          <t>Alex Brown</t>
        </is>
      </c>
      <c r="I2" s="7" t="inlineStr">
        <is>
          <t>John Smith</t>
        </is>
      </c>
      <c r="J2" s="7" t="inlineStr">
        <is>
          <t>P2 - High</t>
        </is>
      </c>
      <c r="K2" s="7" t="inlineStr">
        <is>
          <t>Transform</t>
        </is>
      </c>
      <c r="L2" s="7" t="inlineStr">
        <is>
          <t>Hybrid</t>
        </is>
      </c>
      <c r="M2" s="7" t="inlineStr">
        <is>
          <t>CAPEX</t>
        </is>
      </c>
      <c r="N2" s="7" t="inlineStr">
        <is>
          <t>Channel B (&gt;$200K)</t>
        </is>
      </c>
      <c r="O2" s="7" t="inlineStr">
        <is>
          <t>FY25-26</t>
        </is>
      </c>
      <c r="P2" s="8" t="n">
        <v>45702</v>
      </c>
      <c r="Q2" s="8" t="n">
        <v>46094</v>
      </c>
      <c r="R2" s="8" t="n">
        <v>46067</v>
      </c>
      <c r="S2" s="7" t="n">
        <v>74</v>
      </c>
      <c r="T2" s="7" t="n">
        <v>2593765</v>
      </c>
      <c r="U2" s="7" t="n">
        <v>1319588</v>
      </c>
      <c r="V2" s="7" t="n">
        <v>1274177</v>
      </c>
      <c r="W2" s="7">
        <f>U2+V2</f>
        <v/>
      </c>
      <c r="X2" s="7" t="n">
        <v>937070</v>
      </c>
      <c r="Y2" s="7" t="n">
        <v>2407335</v>
      </c>
      <c r="Z2" s="7">
        <f>T2-X2</f>
        <v/>
      </c>
      <c r="AA2" s="7">
        <f>T2-Y2</f>
        <v/>
      </c>
      <c r="AB2" s="7" t="n">
        <v>259376</v>
      </c>
      <c r="AC2" s="7" t="n">
        <v>6550938</v>
      </c>
      <c r="AD2" s="7" t="n">
        <v>2659810</v>
      </c>
      <c r="AE2" s="7">
        <f>AC2-AD2</f>
        <v/>
      </c>
      <c r="AF2" s="7">
        <f>IFERROR(AD2/AC2,0)</f>
        <v/>
      </c>
      <c r="AG2" s="7" t="n">
        <v>2593765</v>
      </c>
      <c r="AH2" s="7" t="n">
        <v>937070</v>
      </c>
      <c r="AI2" s="7" t="n">
        <v>2407335</v>
      </c>
      <c r="AJ2" s="7" t="inlineStr">
        <is>
          <t>Completed</t>
        </is>
      </c>
      <c r="AK2" s="7" t="inlineStr">
        <is>
          <t>Green</t>
        </is>
      </c>
    </row>
    <row r="3" ht="15" customHeight="1" s="5">
      <c r="A3" s="7" t="inlineStr">
        <is>
          <t>PRJ002</t>
        </is>
      </c>
      <c r="B3" s="7" t="inlineStr">
        <is>
          <t>Cloud Migration</t>
        </is>
      </c>
      <c r="C3" s="7" t="inlineStr">
        <is>
          <t>Digital Transformation</t>
        </is>
      </c>
      <c r="D3" s="7" t="inlineStr">
        <is>
          <t>Cyber Security</t>
        </is>
      </c>
      <c r="E3" s="7" t="inlineStr">
        <is>
          <t>CAPEX</t>
        </is>
      </c>
      <c r="F3" s="7" t="inlineStr">
        <is>
          <t>Retail</t>
        </is>
      </c>
      <c r="G3" s="7" t="inlineStr">
        <is>
          <t>COO</t>
        </is>
      </c>
      <c r="H3" s="7" t="inlineStr">
        <is>
          <t>Carlos Diaz</t>
        </is>
      </c>
      <c r="I3" s="7" t="inlineStr">
        <is>
          <t>Mike Johnson</t>
        </is>
      </c>
      <c r="J3" s="7" t="inlineStr">
        <is>
          <t>P3 - Medium</t>
        </is>
      </c>
      <c r="K3" s="7" t="inlineStr">
        <is>
          <t>Run</t>
        </is>
      </c>
      <c r="L3" s="7" t="inlineStr">
        <is>
          <t>Agile</t>
        </is>
      </c>
      <c r="M3" s="7" t="inlineStr">
        <is>
          <t>CAPEX</t>
        </is>
      </c>
      <c r="N3" s="7" t="inlineStr">
        <is>
          <t>Channel B (&gt;$200K)</t>
        </is>
      </c>
      <c r="O3" s="7" t="inlineStr">
        <is>
          <t>FY25</t>
        </is>
      </c>
      <c r="P3" s="8" t="n">
        <v>45737</v>
      </c>
      <c r="Q3" s="8" t="n">
        <v>45937</v>
      </c>
      <c r="R3" s="8" t="n">
        <v>45889</v>
      </c>
      <c r="S3" s="7" t="n">
        <v>40</v>
      </c>
      <c r="T3" s="7" t="n">
        <v>1851915</v>
      </c>
      <c r="U3" s="7" t="n">
        <v>1106272</v>
      </c>
      <c r="V3" s="7" t="n">
        <v>745643</v>
      </c>
      <c r="W3" s="7">
        <f>U3+V3</f>
        <v/>
      </c>
      <c r="X3" s="7" t="n">
        <v>1714568</v>
      </c>
      <c r="Y3" s="7" t="n">
        <v>2065964</v>
      </c>
      <c r="Z3" s="7">
        <f>T3-X3</f>
        <v/>
      </c>
      <c r="AA3" s="7">
        <f>T3-Y3</f>
        <v/>
      </c>
      <c r="AB3" s="7" t="n">
        <v>185192</v>
      </c>
      <c r="AC3" s="7" t="n">
        <v>2754514</v>
      </c>
      <c r="AD3" s="7" t="n">
        <v>698458</v>
      </c>
      <c r="AE3" s="7">
        <f>AC3-AD3</f>
        <v/>
      </c>
      <c r="AF3" s="7">
        <f>IFERROR(AD3/AC3,0)</f>
        <v/>
      </c>
      <c r="AG3" s="7" t="n">
        <v>1851915</v>
      </c>
      <c r="AH3" s="7" t="n">
        <v>1714568</v>
      </c>
      <c r="AI3" s="7" t="n">
        <v>2065964</v>
      </c>
      <c r="AJ3" s="7" t="inlineStr">
        <is>
          <t>Pipeline</t>
        </is>
      </c>
      <c r="AK3" s="7" t="inlineStr">
        <is>
          <t>Green</t>
        </is>
      </c>
    </row>
    <row r="4" ht="15" customHeight="1" s="5">
      <c r="A4" s="7" t="inlineStr">
        <is>
          <t>PRJ003</t>
        </is>
      </c>
      <c r="B4" s="7" t="inlineStr">
        <is>
          <t>Data Platform</t>
        </is>
      </c>
      <c r="C4" s="7" t="inlineStr">
        <is>
          <t>Cyber Security</t>
        </is>
      </c>
      <c r="D4" s="7" t="inlineStr">
        <is>
          <t>Data &amp; Analytics</t>
        </is>
      </c>
      <c r="E4" s="7" t="inlineStr">
        <is>
          <t>Business Strategic</t>
        </is>
      </c>
      <c r="F4" s="7" t="inlineStr">
        <is>
          <t>Retail</t>
        </is>
      </c>
      <c r="G4" s="7" t="inlineStr">
        <is>
          <t>CFO</t>
        </is>
      </c>
      <c r="H4" s="7" t="inlineStr">
        <is>
          <t>Carlos Diaz</t>
        </is>
      </c>
      <c r="I4" s="7" t="inlineStr">
        <is>
          <t>John Smith</t>
        </is>
      </c>
      <c r="J4" s="7" t="inlineStr">
        <is>
          <t>P4 - Low</t>
        </is>
      </c>
      <c r="K4" s="7" t="inlineStr">
        <is>
          <t>Grow</t>
        </is>
      </c>
      <c r="L4" s="7" t="inlineStr">
        <is>
          <t>Agile</t>
        </is>
      </c>
      <c r="M4" s="7" t="inlineStr">
        <is>
          <t>Mixed</t>
        </is>
      </c>
      <c r="N4" s="7" t="inlineStr">
        <is>
          <t>Channel B (&gt;$200K)</t>
        </is>
      </c>
      <c r="O4" s="7" t="inlineStr">
        <is>
          <t>FY25-26</t>
        </is>
      </c>
      <c r="P4" s="8" t="n">
        <v>45756</v>
      </c>
      <c r="Q4" s="8" t="n">
        <v>46206</v>
      </c>
      <c r="R4" s="8" t="n">
        <v>46202</v>
      </c>
      <c r="S4" s="7" t="n">
        <v>78</v>
      </c>
      <c r="T4" s="7" t="n">
        <v>3895151</v>
      </c>
      <c r="U4" s="7" t="n">
        <v>2463632</v>
      </c>
      <c r="V4" s="7" t="n">
        <v>1431519</v>
      </c>
      <c r="W4" s="7">
        <f>U4+V4</f>
        <v/>
      </c>
      <c r="X4" s="7" t="n">
        <v>2432283</v>
      </c>
      <c r="Y4" s="7" t="n">
        <v>4441608</v>
      </c>
      <c r="Z4" s="7">
        <f>T4-X4</f>
        <v/>
      </c>
      <c r="AA4" s="7">
        <f>T4-Y4</f>
        <v/>
      </c>
      <c r="AB4" s="7" t="n">
        <v>389515</v>
      </c>
      <c r="AC4" s="7" t="n">
        <v>9010791</v>
      </c>
      <c r="AD4" s="7" t="n">
        <v>4658796</v>
      </c>
      <c r="AE4" s="7">
        <f>AC4-AD4</f>
        <v/>
      </c>
      <c r="AF4" s="7">
        <f>IFERROR(AD4/AC4,0)</f>
        <v/>
      </c>
      <c r="AG4" s="7" t="n">
        <v>3895151</v>
      </c>
      <c r="AH4" s="7" t="n">
        <v>2432283</v>
      </c>
      <c r="AI4" s="7" t="n">
        <v>4441608</v>
      </c>
      <c r="AJ4" s="7" t="inlineStr">
        <is>
          <t>Active</t>
        </is>
      </c>
      <c r="AK4" s="7" t="inlineStr">
        <is>
          <t>Green</t>
        </is>
      </c>
    </row>
    <row r="5" ht="15" customHeight="1" s="5">
      <c r="A5" s="7" t="inlineStr">
        <is>
          <t>PRJ004</t>
        </is>
      </c>
      <c r="B5" s="7" t="inlineStr">
        <is>
          <t>AI Assistant</t>
        </is>
      </c>
      <c r="C5" s="7" t="inlineStr">
        <is>
          <t>Data &amp; AI</t>
        </is>
      </c>
      <c r="D5" s="7" t="inlineStr">
        <is>
          <t>Data &amp; Analytics</t>
        </is>
      </c>
      <c r="E5" s="7" t="inlineStr">
        <is>
          <t>IT Strategic</t>
        </is>
      </c>
      <c r="F5" s="7" t="inlineStr">
        <is>
          <t>HR</t>
        </is>
      </c>
      <c r="G5" s="7" t="inlineStr">
        <is>
          <t>CTO</t>
        </is>
      </c>
      <c r="H5" s="7" t="inlineStr">
        <is>
          <t>Jane Doe</t>
        </is>
      </c>
      <c r="I5" s="7" t="inlineStr">
        <is>
          <t>Priya Patel</t>
        </is>
      </c>
      <c r="J5" s="7" t="inlineStr">
        <is>
          <t>P3 - Medium</t>
        </is>
      </c>
      <c r="K5" s="7" t="inlineStr">
        <is>
          <t>Run</t>
        </is>
      </c>
      <c r="L5" s="7" t="inlineStr">
        <is>
          <t>Waterfall</t>
        </is>
      </c>
      <c r="M5" s="7" t="inlineStr">
        <is>
          <t>OPEX</t>
        </is>
      </c>
      <c r="N5" s="7" t="inlineStr">
        <is>
          <t>Channel B (&gt;$200K)</t>
        </is>
      </c>
      <c r="O5" s="7" t="inlineStr">
        <is>
          <t>FY25-27</t>
        </is>
      </c>
      <c r="P5" s="8" t="n">
        <v>45931</v>
      </c>
      <c r="Q5" s="8" t="n">
        <v>46394</v>
      </c>
      <c r="R5" s="8" t="n">
        <v>46379</v>
      </c>
      <c r="S5" s="7" t="n">
        <v>26</v>
      </c>
      <c r="T5" s="7" t="n">
        <v>1543706</v>
      </c>
      <c r="U5" s="7" t="n">
        <v>885049</v>
      </c>
      <c r="V5" s="7" t="n">
        <v>658657</v>
      </c>
      <c r="W5" s="7">
        <f>U5+V5</f>
        <v/>
      </c>
      <c r="X5" s="7" t="n">
        <v>545899</v>
      </c>
      <c r="Y5" s="7" t="n">
        <v>1818222</v>
      </c>
      <c r="Z5" s="7">
        <f>T5-X5</f>
        <v/>
      </c>
      <c r="AA5" s="7">
        <f>T5-Y5</f>
        <v/>
      </c>
      <c r="AB5" s="7" t="n">
        <v>154371</v>
      </c>
      <c r="AC5" s="7" t="n">
        <v>3653124</v>
      </c>
      <c r="AD5" s="7" t="n">
        <v>1335139</v>
      </c>
      <c r="AE5" s="7">
        <f>AC5-AD5</f>
        <v/>
      </c>
      <c r="AF5" s="7">
        <f>IFERROR(AD5/AC5,0)</f>
        <v/>
      </c>
      <c r="AG5" s="7" t="n">
        <v>1543706</v>
      </c>
      <c r="AH5" s="7" t="n">
        <v>545899</v>
      </c>
      <c r="AI5" s="7" t="n">
        <v>1818222</v>
      </c>
      <c r="AJ5" s="7" t="inlineStr">
        <is>
          <t>Active</t>
        </is>
      </c>
      <c r="AK5" s="7" t="inlineStr">
        <is>
          <t>Green</t>
        </is>
      </c>
    </row>
    <row r="6" ht="15" customHeight="1" s="5">
      <c r="A6" s="7" t="inlineStr">
        <is>
          <t>PRJ005</t>
        </is>
      </c>
      <c r="B6" s="7" t="inlineStr">
        <is>
          <t>Network Refresh</t>
        </is>
      </c>
      <c r="C6" s="7" t="inlineStr">
        <is>
          <t>Cyber Security</t>
        </is>
      </c>
      <c r="D6" s="7" t="inlineStr">
        <is>
          <t>Data &amp; Analytics</t>
        </is>
      </c>
      <c r="E6" s="7" t="inlineStr">
        <is>
          <t>Unfunded</t>
        </is>
      </c>
      <c r="F6" s="7" t="inlineStr">
        <is>
          <t>Wholesale</t>
        </is>
      </c>
      <c r="G6" s="7" t="inlineStr">
        <is>
          <t>CFO</t>
        </is>
      </c>
      <c r="H6" s="7" t="inlineStr">
        <is>
          <t>Priya Patel</t>
        </is>
      </c>
      <c r="I6" s="7" t="inlineStr">
        <is>
          <t>Alex Brown</t>
        </is>
      </c>
      <c r="J6" s="7" t="inlineStr">
        <is>
          <t>P3 - Medium</t>
        </is>
      </c>
      <c r="K6" s="7" t="inlineStr">
        <is>
          <t>Transform</t>
        </is>
      </c>
      <c r="L6" s="7" t="inlineStr">
        <is>
          <t>Hybrid</t>
        </is>
      </c>
      <c r="M6" s="7" t="inlineStr">
        <is>
          <t>Unfunded</t>
        </is>
      </c>
      <c r="N6" s="7" t="inlineStr">
        <is>
          <t>Channel B (&gt;$200K)</t>
        </is>
      </c>
      <c r="O6" s="7" t="inlineStr">
        <is>
          <t>FY25-27</t>
        </is>
      </c>
      <c r="P6" s="8" t="n">
        <v>45860</v>
      </c>
      <c r="Q6" s="8" t="n">
        <v>46402</v>
      </c>
      <c r="R6" s="8" t="n">
        <v>46344</v>
      </c>
      <c r="S6" s="7" t="n">
        <v>68</v>
      </c>
      <c r="T6" s="7" t="n">
        <v>1664543</v>
      </c>
      <c r="U6" s="7" t="n">
        <v>870832</v>
      </c>
      <c r="V6" s="7" t="n">
        <v>793711</v>
      </c>
      <c r="W6" s="7">
        <f>U6+V6</f>
        <v/>
      </c>
      <c r="X6" s="7" t="n">
        <v>1610411</v>
      </c>
      <c r="Y6" s="7" t="n">
        <v>1745295</v>
      </c>
      <c r="Z6" s="7">
        <f>T6-X6</f>
        <v/>
      </c>
      <c r="AA6" s="7">
        <f>T6-Y6</f>
        <v/>
      </c>
      <c r="AB6" s="7" t="n">
        <v>166454</v>
      </c>
      <c r="AC6" s="7" t="n">
        <v>4148450</v>
      </c>
      <c r="AD6" s="7" t="n">
        <v>529242</v>
      </c>
      <c r="AE6" s="7">
        <f>AC6-AD6</f>
        <v/>
      </c>
      <c r="AF6" s="7">
        <f>IFERROR(AD6/AC6,0)</f>
        <v/>
      </c>
      <c r="AG6" s="7" t="n">
        <v>1664543</v>
      </c>
      <c r="AH6" s="7" t="n">
        <v>1610411</v>
      </c>
      <c r="AI6" s="7" t="n">
        <v>1745295</v>
      </c>
      <c r="AJ6" s="7" t="inlineStr">
        <is>
          <t>Completed</t>
        </is>
      </c>
      <c r="AK6" s="7" t="inlineStr">
        <is>
          <t>Amber</t>
        </is>
      </c>
    </row>
    <row r="7" ht="15" customHeight="1" s="5">
      <c r="A7" s="7" t="inlineStr">
        <is>
          <t>PRJ006</t>
        </is>
      </c>
      <c r="B7" s="7" t="inlineStr">
        <is>
          <t>Cyber Security Program</t>
        </is>
      </c>
      <c r="C7" s="7" t="inlineStr">
        <is>
          <t>Customer Experience</t>
        </is>
      </c>
      <c r="D7" s="7" t="inlineStr">
        <is>
          <t>Infrastructure</t>
        </is>
      </c>
      <c r="E7" s="7" t="inlineStr">
        <is>
          <t>Unfunded</t>
        </is>
      </c>
      <c r="F7" s="7" t="inlineStr">
        <is>
          <t>Technology</t>
        </is>
      </c>
      <c r="G7" s="7" t="inlineStr">
        <is>
          <t>CMO</t>
        </is>
      </c>
      <c r="H7" s="7" t="inlineStr">
        <is>
          <t>Alex Brown</t>
        </is>
      </c>
      <c r="I7" s="7" t="inlineStr">
        <is>
          <t>Sarah Lee</t>
        </is>
      </c>
      <c r="J7" s="7" t="inlineStr">
        <is>
          <t>P3 - Medium</t>
        </is>
      </c>
      <c r="K7" s="7" t="inlineStr">
        <is>
          <t>Transform</t>
        </is>
      </c>
      <c r="L7" s="7" t="inlineStr">
        <is>
          <t>Waterfall</t>
        </is>
      </c>
      <c r="M7" s="7" t="inlineStr">
        <is>
          <t>Unfunded</t>
        </is>
      </c>
      <c r="N7" s="7" t="inlineStr">
        <is>
          <t>Channel B (&gt;$200K)</t>
        </is>
      </c>
      <c r="O7" s="7" t="inlineStr">
        <is>
          <t>FY25-26</t>
        </is>
      </c>
      <c r="P7" s="8" t="n">
        <v>45736</v>
      </c>
      <c r="Q7" s="8" t="n">
        <v>46147</v>
      </c>
      <c r="R7" s="8" t="n">
        <v>46137</v>
      </c>
      <c r="S7" s="7" t="n">
        <v>19</v>
      </c>
      <c r="T7" s="7" t="n">
        <v>1657662</v>
      </c>
      <c r="U7" s="7" t="n">
        <v>956077</v>
      </c>
      <c r="V7" s="7" t="n">
        <v>701585</v>
      </c>
      <c r="W7" s="7">
        <f>U7+V7</f>
        <v/>
      </c>
      <c r="X7" s="7" t="n">
        <v>1736667</v>
      </c>
      <c r="Y7" s="7" t="n">
        <v>1704631</v>
      </c>
      <c r="Z7" s="7">
        <f>T7-X7</f>
        <v/>
      </c>
      <c r="AA7" s="7">
        <f>T7-Y7</f>
        <v/>
      </c>
      <c r="AB7" s="7" t="n">
        <v>165766</v>
      </c>
      <c r="AC7" s="7" t="n">
        <v>2260449</v>
      </c>
      <c r="AD7" s="7" t="n">
        <v>63902</v>
      </c>
      <c r="AE7" s="7">
        <f>AC7-AD7</f>
        <v/>
      </c>
      <c r="AF7" s="7">
        <f>IFERROR(AD7/AC7,0)</f>
        <v/>
      </c>
      <c r="AG7" s="7" t="n">
        <v>1657662</v>
      </c>
      <c r="AH7" s="7" t="n">
        <v>1736667</v>
      </c>
      <c r="AI7" s="7" t="n">
        <v>1704631</v>
      </c>
      <c r="AJ7" s="7" t="inlineStr">
        <is>
          <t>Active</t>
        </is>
      </c>
      <c r="AK7" s="7" t="inlineStr">
        <is>
          <t>Red</t>
        </is>
      </c>
    </row>
    <row r="8" ht="15" customHeight="1" s="5">
      <c r="A8" s="7" t="inlineStr">
        <is>
          <t>PRJ007</t>
        </is>
      </c>
      <c r="B8" s="7" t="inlineStr">
        <is>
          <t>CRM Upgrade</t>
        </is>
      </c>
      <c r="C8" s="7" t="inlineStr">
        <is>
          <t>Digital Transformation</t>
        </is>
      </c>
      <c r="D8" s="7" t="inlineStr">
        <is>
          <t>Data &amp; Analytics</t>
        </is>
      </c>
      <c r="E8" s="7" t="inlineStr">
        <is>
          <t>IT Strategic</t>
        </is>
      </c>
      <c r="F8" s="7" t="inlineStr">
        <is>
          <t>Marketing</t>
        </is>
      </c>
      <c r="G8" s="7" t="inlineStr">
        <is>
          <t>CTO</t>
        </is>
      </c>
      <c r="H8" s="7" t="inlineStr">
        <is>
          <t>Alex Brown</t>
        </is>
      </c>
      <c r="I8" s="7" t="inlineStr">
        <is>
          <t>Jane Doe</t>
        </is>
      </c>
      <c r="J8" s="7" t="inlineStr">
        <is>
          <t>P2 - High</t>
        </is>
      </c>
      <c r="K8" s="7" t="inlineStr">
        <is>
          <t>Grow</t>
        </is>
      </c>
      <c r="L8" s="7" t="inlineStr">
        <is>
          <t>Waterfall</t>
        </is>
      </c>
      <c r="M8" s="7" t="inlineStr">
        <is>
          <t>Mixed</t>
        </is>
      </c>
      <c r="N8" s="7" t="inlineStr">
        <is>
          <t>Channel B (&gt;$200K)</t>
        </is>
      </c>
      <c r="O8" s="7" t="inlineStr">
        <is>
          <t>FY25-26</t>
        </is>
      </c>
      <c r="P8" s="8" t="n">
        <v>45792</v>
      </c>
      <c r="Q8" s="8" t="n">
        <v>46379</v>
      </c>
      <c r="R8" s="8" t="n">
        <v>46347</v>
      </c>
      <c r="S8" s="7" t="n">
        <v>5</v>
      </c>
      <c r="T8" s="7" t="n">
        <v>3550675</v>
      </c>
      <c r="U8" s="7" t="n">
        <v>2708481</v>
      </c>
      <c r="V8" s="7" t="n">
        <v>842194</v>
      </c>
      <c r="W8" s="7">
        <f>U8+V8</f>
        <v/>
      </c>
      <c r="X8" s="7" t="n">
        <v>2947660</v>
      </c>
      <c r="Y8" s="7" t="n">
        <v>3440822</v>
      </c>
      <c r="Z8" s="7">
        <f>T8-X8</f>
        <v/>
      </c>
      <c r="AA8" s="7">
        <f>T8-Y8</f>
        <v/>
      </c>
      <c r="AB8" s="7" t="n">
        <v>355068</v>
      </c>
      <c r="AC8" s="7" t="n">
        <v>6136632</v>
      </c>
      <c r="AD8" s="7" t="n">
        <v>582334</v>
      </c>
      <c r="AE8" s="7">
        <f>AC8-AD8</f>
        <v/>
      </c>
      <c r="AF8" s="7">
        <f>IFERROR(AD8/AC8,0)</f>
        <v/>
      </c>
      <c r="AG8" s="7" t="n">
        <v>3550675</v>
      </c>
      <c r="AH8" s="7" t="n">
        <v>2947660</v>
      </c>
      <c r="AI8" s="7" t="n">
        <v>3440822</v>
      </c>
      <c r="AJ8" s="7" t="inlineStr">
        <is>
          <t>Pipeline</t>
        </is>
      </c>
      <c r="AK8" s="7" t="inlineStr">
        <is>
          <t>Amber</t>
        </is>
      </c>
    </row>
    <row r="9" ht="15" customHeight="1" s="5">
      <c r="A9" s="7" t="inlineStr">
        <is>
          <t>PRJ008</t>
        </is>
      </c>
      <c r="B9" s="7" t="inlineStr">
        <is>
          <t>Mobile App</t>
        </is>
      </c>
      <c r="C9" s="7" t="inlineStr">
        <is>
          <t>Data &amp; AI</t>
        </is>
      </c>
      <c r="D9" s="7" t="inlineStr">
        <is>
          <t>Infrastructure</t>
        </is>
      </c>
      <c r="E9" s="7" t="inlineStr">
        <is>
          <t>Business Strategic</t>
        </is>
      </c>
      <c r="F9" s="7" t="inlineStr">
        <is>
          <t>Marketing</t>
        </is>
      </c>
      <c r="G9" s="7" t="inlineStr">
        <is>
          <t>CTO</t>
        </is>
      </c>
      <c r="H9" s="7" t="inlineStr">
        <is>
          <t>Carlos Diaz</t>
        </is>
      </c>
      <c r="I9" s="7" t="inlineStr">
        <is>
          <t>Jane Doe</t>
        </is>
      </c>
      <c r="J9" s="7" t="inlineStr">
        <is>
          <t>P2 - High</t>
        </is>
      </c>
      <c r="K9" s="7" t="inlineStr">
        <is>
          <t>Transform</t>
        </is>
      </c>
      <c r="L9" s="7" t="inlineStr">
        <is>
          <t>Agile</t>
        </is>
      </c>
      <c r="M9" s="7" t="inlineStr">
        <is>
          <t>CAPEX</t>
        </is>
      </c>
      <c r="N9" s="7" t="inlineStr">
        <is>
          <t>Channel B (&gt;$200K)</t>
        </is>
      </c>
      <c r="O9" s="7" t="inlineStr">
        <is>
          <t>FY25</t>
        </is>
      </c>
      <c r="P9" s="8" t="n">
        <v>45780</v>
      </c>
      <c r="Q9" s="8" t="n">
        <v>45899</v>
      </c>
      <c r="R9" s="8" t="n">
        <v>45884</v>
      </c>
      <c r="S9" s="7" t="n">
        <v>44</v>
      </c>
      <c r="T9" s="7" t="n">
        <v>3682125</v>
      </c>
      <c r="U9" s="7" t="n">
        <v>2612949</v>
      </c>
      <c r="V9" s="7" t="n">
        <v>1069176</v>
      </c>
      <c r="W9" s="7">
        <f>U9+V9</f>
        <v/>
      </c>
      <c r="X9" s="7" t="n">
        <v>2077364</v>
      </c>
      <c r="Y9" s="7" t="n">
        <v>3273975</v>
      </c>
      <c r="Z9" s="7">
        <f>T9-X9</f>
        <v/>
      </c>
      <c r="AA9" s="7">
        <f>T9-Y9</f>
        <v/>
      </c>
      <c r="AB9" s="7" t="n">
        <v>368212</v>
      </c>
      <c r="AC9" s="7" t="n">
        <v>6824323</v>
      </c>
      <c r="AD9" s="7" t="n">
        <v>4034491</v>
      </c>
      <c r="AE9" s="7">
        <f>AC9-AD9</f>
        <v/>
      </c>
      <c r="AF9" s="7">
        <f>IFERROR(AD9/AC9,0)</f>
        <v/>
      </c>
      <c r="AG9" s="7" t="n">
        <v>3682125</v>
      </c>
      <c r="AH9" s="7" t="n">
        <v>2077364</v>
      </c>
      <c r="AI9" s="7" t="n">
        <v>3273975</v>
      </c>
      <c r="AJ9" s="7" t="inlineStr">
        <is>
          <t>Pipeline</t>
        </is>
      </c>
      <c r="AK9" s="7" t="inlineStr">
        <is>
          <t>Green</t>
        </is>
      </c>
    </row>
    <row r="10" ht="15" customHeight="1" s="5">
      <c r="A10" s="7" t="inlineStr">
        <is>
          <t>PRJ009</t>
        </is>
      </c>
      <c r="B10" s="7" t="inlineStr">
        <is>
          <t>ERP Modernisation</t>
        </is>
      </c>
      <c r="C10" s="7" t="inlineStr">
        <is>
          <t>Customer Experience</t>
        </is>
      </c>
      <c r="D10" s="7" t="inlineStr">
        <is>
          <t>Cyber Security</t>
        </is>
      </c>
      <c r="E10" s="7" t="inlineStr">
        <is>
          <t>CAPEX</t>
        </is>
      </c>
      <c r="F10" s="7" t="inlineStr">
        <is>
          <t>Retail</t>
        </is>
      </c>
      <c r="G10" s="7" t="inlineStr">
        <is>
          <t>CFO</t>
        </is>
      </c>
      <c r="H10" s="7" t="inlineStr">
        <is>
          <t>Jane Doe</t>
        </is>
      </c>
      <c r="I10" s="7" t="inlineStr">
        <is>
          <t>John Smith</t>
        </is>
      </c>
      <c r="J10" s="7" t="inlineStr">
        <is>
          <t>P3 - Medium</t>
        </is>
      </c>
      <c r="K10" s="7" t="inlineStr">
        <is>
          <t>Run</t>
        </is>
      </c>
      <c r="L10" s="7" t="inlineStr">
        <is>
          <t>Hybrid</t>
        </is>
      </c>
      <c r="M10" s="7" t="inlineStr">
        <is>
          <t>OPEX</t>
        </is>
      </c>
      <c r="N10" s="7" t="inlineStr">
        <is>
          <t>Channel B (&gt;$200K)</t>
        </is>
      </c>
      <c r="O10" s="7" t="inlineStr">
        <is>
          <t>FY26</t>
        </is>
      </c>
      <c r="P10" s="8" t="n">
        <v>46023</v>
      </c>
      <c r="Q10" s="8" t="n">
        <v>46272</v>
      </c>
      <c r="R10" s="8" t="n">
        <v>46247</v>
      </c>
      <c r="S10" s="7" t="n">
        <v>30</v>
      </c>
      <c r="T10" s="7" t="n">
        <v>1133721</v>
      </c>
      <c r="U10" s="7" t="n">
        <v>913044</v>
      </c>
      <c r="V10" s="7" t="n">
        <v>220677</v>
      </c>
      <c r="W10" s="7">
        <f>U10+V10</f>
        <v/>
      </c>
      <c r="X10" s="7" t="n">
        <v>569106</v>
      </c>
      <c r="Y10" s="7" t="n">
        <v>1047705</v>
      </c>
      <c r="Z10" s="7">
        <f>T10-X10</f>
        <v/>
      </c>
      <c r="AA10" s="7">
        <f>T10-Y10</f>
        <v/>
      </c>
      <c r="AB10" s="7" t="n">
        <v>113372</v>
      </c>
      <c r="AC10" s="7" t="n">
        <v>2461006</v>
      </c>
      <c r="AD10" s="7" t="n">
        <v>1077819</v>
      </c>
      <c r="AE10" s="7">
        <f>AC10-AD10</f>
        <v/>
      </c>
      <c r="AF10" s="7">
        <f>IFERROR(AD10/AC10,0)</f>
        <v/>
      </c>
      <c r="AG10" s="7" t="n">
        <v>1133721</v>
      </c>
      <c r="AH10" s="7" t="n">
        <v>569106</v>
      </c>
      <c r="AI10" s="7" t="n">
        <v>1047705</v>
      </c>
      <c r="AJ10" s="7" t="inlineStr">
        <is>
          <t>Pipeline</t>
        </is>
      </c>
      <c r="AK10" s="7" t="inlineStr">
        <is>
          <t>Green</t>
        </is>
      </c>
    </row>
    <row r="11" ht="15" customHeight="1" s="5">
      <c r="A11" s="7" t="inlineStr">
        <is>
          <t>PRJ010</t>
        </is>
      </c>
      <c r="B11" s="7" t="inlineStr">
        <is>
          <t>Workforce Enablement</t>
        </is>
      </c>
      <c r="C11" s="7" t="inlineStr">
        <is>
          <t>Data &amp; AI</t>
        </is>
      </c>
      <c r="D11" s="7" t="inlineStr">
        <is>
          <t>Digital &amp; Applications</t>
        </is>
      </c>
      <c r="E11" s="7" t="inlineStr">
        <is>
          <t>CAPEX</t>
        </is>
      </c>
      <c r="F11" s="7" t="inlineStr">
        <is>
          <t>Finance</t>
        </is>
      </c>
      <c r="G11" s="7" t="inlineStr">
        <is>
          <t>CFO</t>
        </is>
      </c>
      <c r="H11" s="7" t="inlineStr">
        <is>
          <t>Priya Patel</t>
        </is>
      </c>
      <c r="I11" s="7" t="inlineStr">
        <is>
          <t>Alex Brown</t>
        </is>
      </c>
      <c r="J11" s="7" t="inlineStr">
        <is>
          <t>P4 - Low</t>
        </is>
      </c>
      <c r="K11" s="7" t="inlineStr">
        <is>
          <t>Run</t>
        </is>
      </c>
      <c r="L11" s="7" t="inlineStr">
        <is>
          <t>Agile</t>
        </is>
      </c>
      <c r="M11" s="7" t="inlineStr">
        <is>
          <t>Mixed</t>
        </is>
      </c>
      <c r="N11" s="7" t="inlineStr">
        <is>
          <t>Channel B (&gt;$200K)</t>
        </is>
      </c>
      <c r="O11" s="7" t="inlineStr">
        <is>
          <t>FY25-26</t>
        </is>
      </c>
      <c r="P11" s="8" t="n">
        <v>45694</v>
      </c>
      <c r="Q11" s="8" t="n">
        <v>46047</v>
      </c>
      <c r="R11" s="8" t="n">
        <v>46032</v>
      </c>
      <c r="S11" s="7" t="n">
        <v>47</v>
      </c>
      <c r="T11" s="7" t="n">
        <v>2394916</v>
      </c>
      <c r="U11" s="7" t="n">
        <v>1203486</v>
      </c>
      <c r="V11" s="7" t="n">
        <v>1191430</v>
      </c>
      <c r="W11" s="7">
        <f>U11+V11</f>
        <v/>
      </c>
      <c r="X11" s="7" t="n">
        <v>1849950</v>
      </c>
      <c r="Y11" s="7" t="n">
        <v>2085028</v>
      </c>
      <c r="Z11" s="7">
        <f>T11-X11</f>
        <v/>
      </c>
      <c r="AA11" s="7">
        <f>T11-Y11</f>
        <v/>
      </c>
      <c r="AB11" s="7" t="n">
        <v>239492</v>
      </c>
      <c r="AC11" s="7" t="n">
        <v>3164452</v>
      </c>
      <c r="AD11" s="7" t="n">
        <v>59643</v>
      </c>
      <c r="AE11" s="7">
        <f>AC11-AD11</f>
        <v/>
      </c>
      <c r="AF11" s="7">
        <f>IFERROR(AD11/AC11,0)</f>
        <v/>
      </c>
      <c r="AG11" s="7" t="n">
        <v>2394916</v>
      </c>
      <c r="AH11" s="7" t="n">
        <v>1849950</v>
      </c>
      <c r="AI11" s="7" t="n">
        <v>2085028</v>
      </c>
      <c r="AJ11" s="7" t="inlineStr">
        <is>
          <t>Completed</t>
        </is>
      </c>
      <c r="AK11" s="7" t="inlineStr">
        <is>
          <t>Green</t>
        </is>
      </c>
    </row>
    <row r="12" ht="15" customHeight="1" s="5">
      <c r="A12" s="7" t="inlineStr">
        <is>
          <t>PRJ011</t>
        </is>
      </c>
      <c r="B12" s="7" t="inlineStr">
        <is>
          <t>IoT Initiative</t>
        </is>
      </c>
      <c r="C12" s="7" t="inlineStr">
        <is>
          <t>Cloud Migration</t>
        </is>
      </c>
      <c r="D12" s="7" t="inlineStr">
        <is>
          <t>Infrastructure</t>
        </is>
      </c>
      <c r="E12" s="7" t="inlineStr">
        <is>
          <t>Unfunded</t>
        </is>
      </c>
      <c r="F12" s="7" t="inlineStr">
        <is>
          <t>Wholesale</t>
        </is>
      </c>
      <c r="G12" s="7" t="inlineStr">
        <is>
          <t>CFO</t>
        </is>
      </c>
      <c r="H12" s="7" t="inlineStr">
        <is>
          <t>Jane Doe</t>
        </is>
      </c>
      <c r="I12" s="7" t="inlineStr">
        <is>
          <t>Alex Brown</t>
        </is>
      </c>
      <c r="J12" s="7" t="inlineStr">
        <is>
          <t>P4 - Low</t>
        </is>
      </c>
      <c r="K12" s="7" t="inlineStr">
        <is>
          <t>Run</t>
        </is>
      </c>
      <c r="L12" s="7" t="inlineStr">
        <is>
          <t>Agile</t>
        </is>
      </c>
      <c r="M12" s="7" t="inlineStr">
        <is>
          <t>Unfunded</t>
        </is>
      </c>
      <c r="N12" s="7" t="inlineStr">
        <is>
          <t>Channel B (&gt;$200K)</t>
        </is>
      </c>
      <c r="O12" s="7" t="inlineStr">
        <is>
          <t>FY25-26</t>
        </is>
      </c>
      <c r="P12" s="8" t="n">
        <v>45988</v>
      </c>
      <c r="Q12" s="8" t="n">
        <v>46128</v>
      </c>
      <c r="R12" s="8" t="n">
        <v>46125</v>
      </c>
      <c r="S12" s="7" t="n">
        <v>88</v>
      </c>
      <c r="T12" s="7" t="n">
        <v>467871</v>
      </c>
      <c r="U12" s="7" t="n">
        <v>341847</v>
      </c>
      <c r="V12" s="7" t="n">
        <v>126024</v>
      </c>
      <c r="W12" s="7">
        <f>U12+V12</f>
        <v/>
      </c>
      <c r="X12" s="7" t="n">
        <v>204264</v>
      </c>
      <c r="Y12" s="7" t="n">
        <v>465010</v>
      </c>
      <c r="Z12" s="7">
        <f>T12-X12</f>
        <v/>
      </c>
      <c r="AA12" s="7">
        <f>T12-Y12</f>
        <v/>
      </c>
      <c r="AB12" s="7" t="n">
        <v>46787</v>
      </c>
      <c r="AC12" s="7" t="n">
        <v>1288941</v>
      </c>
      <c r="AD12" s="7" t="n">
        <v>41894</v>
      </c>
      <c r="AE12" s="7">
        <f>AC12-AD12</f>
        <v/>
      </c>
      <c r="AF12" s="7">
        <f>IFERROR(AD12/AC12,0)</f>
        <v/>
      </c>
      <c r="AG12" s="7" t="n">
        <v>467871</v>
      </c>
      <c r="AH12" s="7" t="n">
        <v>204264</v>
      </c>
      <c r="AI12" s="7" t="n">
        <v>465010</v>
      </c>
      <c r="AJ12" s="7" t="inlineStr">
        <is>
          <t>Active</t>
        </is>
      </c>
      <c r="AK12" s="7" t="inlineStr">
        <is>
          <t>Green</t>
        </is>
      </c>
    </row>
    <row r="13" ht="15" customHeight="1" s="5">
      <c r="A13" s="7" t="inlineStr">
        <is>
          <t>PRJ012</t>
        </is>
      </c>
      <c r="B13" s="7" t="inlineStr">
        <is>
          <t>Analytics Platform</t>
        </is>
      </c>
      <c r="C13" s="7" t="inlineStr">
        <is>
          <t>Cyber Security</t>
        </is>
      </c>
      <c r="D13" s="7" t="inlineStr">
        <is>
          <t>Cyber Security</t>
        </is>
      </c>
      <c r="E13" s="7" t="inlineStr">
        <is>
          <t>Business Strategic</t>
        </is>
      </c>
      <c r="F13" s="7" t="inlineStr">
        <is>
          <t>Technology</t>
        </is>
      </c>
      <c r="G13" s="7" t="inlineStr">
        <is>
          <t>CMO</t>
        </is>
      </c>
      <c r="H13" s="7" t="inlineStr">
        <is>
          <t>Jane Doe</t>
        </is>
      </c>
      <c r="I13" s="7" t="inlineStr">
        <is>
          <t>Carlos Diaz</t>
        </is>
      </c>
      <c r="J13" s="7" t="inlineStr">
        <is>
          <t>P4 - Low</t>
        </is>
      </c>
      <c r="K13" s="7" t="inlineStr">
        <is>
          <t>Run</t>
        </is>
      </c>
      <c r="L13" s="7" t="inlineStr">
        <is>
          <t>Waterfall</t>
        </is>
      </c>
      <c r="M13" s="7" t="inlineStr">
        <is>
          <t>CAPEX</t>
        </is>
      </c>
      <c r="N13" s="7" t="inlineStr">
        <is>
          <t>Channel B (&gt;$200K)</t>
        </is>
      </c>
      <c r="O13" s="7" t="inlineStr">
        <is>
          <t>FY25-27</t>
        </is>
      </c>
      <c r="P13" s="8" t="n">
        <v>45934</v>
      </c>
      <c r="Q13" s="8" t="n">
        <v>46452</v>
      </c>
      <c r="R13" s="8" t="n">
        <v>46452</v>
      </c>
      <c r="S13" s="7" t="n">
        <v>88</v>
      </c>
      <c r="T13" s="7" t="n">
        <v>1904249</v>
      </c>
      <c r="U13" s="7" t="n">
        <v>1534958</v>
      </c>
      <c r="V13" s="7" t="n">
        <v>369291</v>
      </c>
      <c r="W13" s="7">
        <f>U13+V13</f>
        <v/>
      </c>
      <c r="X13" s="7" t="n">
        <v>326799</v>
      </c>
      <c r="Y13" s="7" t="n">
        <v>2157148</v>
      </c>
      <c r="Z13" s="7">
        <f>T13-X13</f>
        <v/>
      </c>
      <c r="AA13" s="7">
        <f>T13-Y13</f>
        <v/>
      </c>
      <c r="AB13" s="7" t="n">
        <v>190425</v>
      </c>
      <c r="AC13" s="7" t="n">
        <v>5219052</v>
      </c>
      <c r="AD13" s="7" t="n">
        <v>306594</v>
      </c>
      <c r="AE13" s="7">
        <f>AC13-AD13</f>
        <v/>
      </c>
      <c r="AF13" s="7">
        <f>IFERROR(AD13/AC13,0)</f>
        <v/>
      </c>
      <c r="AG13" s="7" t="n">
        <v>1904249</v>
      </c>
      <c r="AH13" s="7" t="n">
        <v>326799</v>
      </c>
      <c r="AI13" s="7" t="n">
        <v>2157148</v>
      </c>
      <c r="AJ13" s="7" t="inlineStr">
        <is>
          <t>Completed</t>
        </is>
      </c>
      <c r="AK13" s="7" t="inlineStr">
        <is>
          <t>Green</t>
        </is>
      </c>
    </row>
    <row r="14" ht="15" customHeight="1" s="5">
      <c r="A14" s="7" t="inlineStr">
        <is>
          <t>PRJ013</t>
        </is>
      </c>
      <c r="B14" s="7" t="inlineStr">
        <is>
          <t>API Gateway</t>
        </is>
      </c>
      <c r="C14" s="7" t="inlineStr">
        <is>
          <t>Cloud Migration</t>
        </is>
      </c>
      <c r="D14" s="7" t="inlineStr">
        <is>
          <t>Digital &amp; Applications</t>
        </is>
      </c>
      <c r="E14" s="7" t="inlineStr">
        <is>
          <t>IT Strategic</t>
        </is>
      </c>
      <c r="F14" s="7" t="inlineStr">
        <is>
          <t>Retail</t>
        </is>
      </c>
      <c r="G14" s="7" t="inlineStr">
        <is>
          <t>CTO</t>
        </is>
      </c>
      <c r="H14" s="7" t="inlineStr">
        <is>
          <t>Priya Patel</t>
        </is>
      </c>
      <c r="I14" s="7" t="inlineStr">
        <is>
          <t>Alex Brown</t>
        </is>
      </c>
      <c r="J14" s="7" t="inlineStr">
        <is>
          <t>P1 - Critical</t>
        </is>
      </c>
      <c r="K14" s="7" t="inlineStr">
        <is>
          <t>Transform</t>
        </is>
      </c>
      <c r="L14" s="7" t="inlineStr">
        <is>
          <t>Agile</t>
        </is>
      </c>
      <c r="M14" s="7" t="inlineStr">
        <is>
          <t>CAPEX</t>
        </is>
      </c>
      <c r="N14" s="7" t="inlineStr">
        <is>
          <t>Channel B (&gt;$200K)</t>
        </is>
      </c>
      <c r="O14" s="7" t="inlineStr">
        <is>
          <t>FY25-27</t>
        </is>
      </c>
      <c r="P14" s="8" t="n">
        <v>45996</v>
      </c>
      <c r="Q14" s="8" t="n">
        <v>46453</v>
      </c>
      <c r="R14" s="8" t="n">
        <v>46422</v>
      </c>
      <c r="S14" s="7" t="n">
        <v>76</v>
      </c>
      <c r="T14" s="7" t="n">
        <v>3942704</v>
      </c>
      <c r="U14" s="7" t="n">
        <v>2337318</v>
      </c>
      <c r="V14" s="7" t="n">
        <v>1605386</v>
      </c>
      <c r="W14" s="7">
        <f>U14+V14</f>
        <v/>
      </c>
      <c r="X14" s="7" t="n">
        <v>3331061</v>
      </c>
      <c r="Y14" s="7" t="n">
        <v>3979186</v>
      </c>
      <c r="Z14" s="7">
        <f>T14-X14</f>
        <v/>
      </c>
      <c r="AA14" s="7">
        <f>T14-Y14</f>
        <v/>
      </c>
      <c r="AB14" s="7" t="n">
        <v>394270</v>
      </c>
      <c r="AC14" s="7" t="n">
        <v>7733273</v>
      </c>
      <c r="AD14" s="7" t="n">
        <v>4441919</v>
      </c>
      <c r="AE14" s="7">
        <f>AC14-AD14</f>
        <v/>
      </c>
      <c r="AF14" s="7">
        <f>IFERROR(AD14/AC14,0)</f>
        <v/>
      </c>
      <c r="AG14" s="7" t="n">
        <v>3942704</v>
      </c>
      <c r="AH14" s="7" t="n">
        <v>3331061</v>
      </c>
      <c r="AI14" s="7" t="n">
        <v>3979186</v>
      </c>
      <c r="AJ14" s="7" t="inlineStr">
        <is>
          <t>Active</t>
        </is>
      </c>
      <c r="AK14" s="7" t="inlineStr">
        <is>
          <t>Green</t>
        </is>
      </c>
    </row>
    <row r="15" ht="15" customHeight="1" s="5">
      <c r="A15" s="7" t="inlineStr">
        <is>
          <t>PRJ014</t>
        </is>
      </c>
      <c r="B15" s="7" t="inlineStr">
        <is>
          <t>Identity Mgmt</t>
        </is>
      </c>
      <c r="C15" s="7" t="inlineStr">
        <is>
          <t>Digital Transformation</t>
        </is>
      </c>
      <c r="D15" s="7" t="inlineStr">
        <is>
          <t>Business Transformation</t>
        </is>
      </c>
      <c r="E15" s="7" t="inlineStr">
        <is>
          <t>IT Strategic</t>
        </is>
      </c>
      <c r="F15" s="7" t="inlineStr">
        <is>
          <t>Wholesale</t>
        </is>
      </c>
      <c r="G15" s="7" t="inlineStr">
        <is>
          <t>CTO</t>
        </is>
      </c>
      <c r="H15" s="7" t="inlineStr">
        <is>
          <t>Alex Brown</t>
        </is>
      </c>
      <c r="I15" s="7" t="inlineStr">
        <is>
          <t>John Smith</t>
        </is>
      </c>
      <c r="J15" s="7" t="inlineStr">
        <is>
          <t>P1 - Critical</t>
        </is>
      </c>
      <c r="K15" s="7" t="inlineStr">
        <is>
          <t>Grow</t>
        </is>
      </c>
      <c r="L15" s="7" t="inlineStr">
        <is>
          <t>Hybrid</t>
        </is>
      </c>
      <c r="M15" s="7" t="inlineStr">
        <is>
          <t>OPEX</t>
        </is>
      </c>
      <c r="N15" s="7" t="inlineStr">
        <is>
          <t>Channel B (&gt;$200K)</t>
        </is>
      </c>
      <c r="O15" s="7" t="inlineStr">
        <is>
          <t>FY25-26</t>
        </is>
      </c>
      <c r="P15" s="8" t="n">
        <v>45693</v>
      </c>
      <c r="Q15" s="8" t="n">
        <v>46087</v>
      </c>
      <c r="R15" s="8" t="n">
        <v>46083</v>
      </c>
      <c r="S15" s="7" t="n">
        <v>28</v>
      </c>
      <c r="T15" s="7" t="n">
        <v>2378293</v>
      </c>
      <c r="U15" s="7" t="n">
        <v>1607720</v>
      </c>
      <c r="V15" s="7" t="n">
        <v>770573</v>
      </c>
      <c r="W15" s="7">
        <f>U15+V15</f>
        <v/>
      </c>
      <c r="X15" s="7" t="n">
        <v>2164446</v>
      </c>
      <c r="Y15" s="7" t="n">
        <v>2152596</v>
      </c>
      <c r="Z15" s="7">
        <f>T15-X15</f>
        <v/>
      </c>
      <c r="AA15" s="7">
        <f>T15-Y15</f>
        <v/>
      </c>
      <c r="AB15" s="7" t="n">
        <v>237829</v>
      </c>
      <c r="AC15" s="7" t="n">
        <v>6966976</v>
      </c>
      <c r="AD15" s="7" t="n">
        <v>334881</v>
      </c>
      <c r="AE15" s="7">
        <f>AC15-AD15</f>
        <v/>
      </c>
      <c r="AF15" s="7">
        <f>IFERROR(AD15/AC15,0)</f>
        <v/>
      </c>
      <c r="AG15" s="7" t="n">
        <v>2378293</v>
      </c>
      <c r="AH15" s="7" t="n">
        <v>2164446</v>
      </c>
      <c r="AI15" s="7" t="n">
        <v>2152596</v>
      </c>
      <c r="AJ15" s="7" t="inlineStr">
        <is>
          <t>Pipeline</t>
        </is>
      </c>
      <c r="AK15" s="7" t="inlineStr">
        <is>
          <t>Amber</t>
        </is>
      </c>
    </row>
    <row r="16" ht="15" customHeight="1" s="5">
      <c r="A16" s="7" t="inlineStr">
        <is>
          <t>PRJ015</t>
        </is>
      </c>
      <c r="B16" s="7" t="inlineStr">
        <is>
          <t>Service Desk</t>
        </is>
      </c>
      <c r="C16" s="7" t="inlineStr">
        <is>
          <t>Data &amp; AI</t>
        </is>
      </c>
      <c r="D16" s="7" t="inlineStr">
        <is>
          <t>Business Transformation</t>
        </is>
      </c>
      <c r="E16" s="7" t="inlineStr">
        <is>
          <t>Business Strategic</t>
        </is>
      </c>
      <c r="F16" s="7" t="inlineStr">
        <is>
          <t>Finance</t>
        </is>
      </c>
      <c r="G16" s="7" t="inlineStr">
        <is>
          <t>CIO</t>
        </is>
      </c>
      <c r="H16" s="7" t="inlineStr">
        <is>
          <t>John Smith</t>
        </is>
      </c>
      <c r="I16" s="7" t="inlineStr">
        <is>
          <t>Alex Brown</t>
        </is>
      </c>
      <c r="J16" s="7" t="inlineStr">
        <is>
          <t>P2 - High</t>
        </is>
      </c>
      <c r="K16" s="7" t="inlineStr">
        <is>
          <t>Transform</t>
        </is>
      </c>
      <c r="L16" s="7" t="inlineStr">
        <is>
          <t>Agile</t>
        </is>
      </c>
      <c r="M16" s="7" t="inlineStr">
        <is>
          <t>CAPEX</t>
        </is>
      </c>
      <c r="N16" s="7" t="inlineStr">
        <is>
          <t>Channel B (&gt;$200K)</t>
        </is>
      </c>
      <c r="O16" s="7" t="inlineStr">
        <is>
          <t>FY25-26</t>
        </is>
      </c>
      <c r="P16" s="8" t="n">
        <v>45811</v>
      </c>
      <c r="Q16" s="8" t="n">
        <v>46135</v>
      </c>
      <c r="R16" s="8" t="n">
        <v>46115</v>
      </c>
      <c r="S16" s="7" t="n">
        <v>87</v>
      </c>
      <c r="T16" s="7" t="n">
        <v>1333842</v>
      </c>
      <c r="U16" s="7" t="n">
        <v>788658</v>
      </c>
      <c r="V16" s="7" t="n">
        <v>545184</v>
      </c>
      <c r="W16" s="7">
        <f>U16+V16</f>
        <v/>
      </c>
      <c r="X16" s="7" t="n">
        <v>982027</v>
      </c>
      <c r="Y16" s="7" t="n">
        <v>1280441</v>
      </c>
      <c r="Z16" s="7">
        <f>T16-X16</f>
        <v/>
      </c>
      <c r="AA16" s="7">
        <f>T16-Y16</f>
        <v/>
      </c>
      <c r="AB16" s="7" t="n">
        <v>133384</v>
      </c>
      <c r="AC16" s="7" t="n">
        <v>2238328</v>
      </c>
      <c r="AD16" s="7" t="n">
        <v>175769</v>
      </c>
      <c r="AE16" s="7">
        <f>AC16-AD16</f>
        <v/>
      </c>
      <c r="AF16" s="7">
        <f>IFERROR(AD16/AC16,0)</f>
        <v/>
      </c>
      <c r="AG16" s="7" t="n">
        <v>1333842</v>
      </c>
      <c r="AH16" s="7" t="n">
        <v>982027</v>
      </c>
      <c r="AI16" s="7" t="n">
        <v>1280441</v>
      </c>
      <c r="AJ16" s="7" t="inlineStr">
        <is>
          <t>Active</t>
        </is>
      </c>
      <c r="AK16" s="7" t="inlineStr">
        <is>
          <t>Green</t>
        </is>
      </c>
    </row>
    <row r="17" ht="15" customHeight="1" s="5">
      <c r="A17" s="7" t="inlineStr">
        <is>
          <t>PRJ016</t>
        </is>
      </c>
      <c r="B17" s="7" t="inlineStr">
        <is>
          <t>Infrastructure Upg</t>
        </is>
      </c>
      <c r="C17" s="7" t="inlineStr">
        <is>
          <t>Digital Transformation</t>
        </is>
      </c>
      <c r="D17" s="7" t="inlineStr">
        <is>
          <t>Digital &amp; Applications</t>
        </is>
      </c>
      <c r="E17" s="7" t="inlineStr">
        <is>
          <t>CAPEX</t>
        </is>
      </c>
      <c r="F17" s="7" t="inlineStr">
        <is>
          <t>Operations</t>
        </is>
      </c>
      <c r="G17" s="7" t="inlineStr">
        <is>
          <t>CIO</t>
        </is>
      </c>
      <c r="H17" s="7" t="inlineStr">
        <is>
          <t>John Smith</t>
        </is>
      </c>
      <c r="I17" s="7" t="inlineStr">
        <is>
          <t>Priya Patel</t>
        </is>
      </c>
      <c r="J17" s="7" t="inlineStr">
        <is>
          <t>P2 - High</t>
        </is>
      </c>
      <c r="K17" s="7" t="inlineStr">
        <is>
          <t>Grow</t>
        </is>
      </c>
      <c r="L17" s="7" t="inlineStr">
        <is>
          <t>Agile</t>
        </is>
      </c>
      <c r="M17" s="7" t="inlineStr">
        <is>
          <t>Mixed</t>
        </is>
      </c>
      <c r="N17" s="7" t="inlineStr">
        <is>
          <t>Channel B (&gt;$200K)</t>
        </is>
      </c>
      <c r="O17" s="7" t="inlineStr">
        <is>
          <t>FY25-26</t>
        </is>
      </c>
      <c r="P17" s="8" t="n">
        <v>45992</v>
      </c>
      <c r="Q17" s="8" t="n">
        <v>46352</v>
      </c>
      <c r="R17" s="8" t="n">
        <v>46352</v>
      </c>
      <c r="S17" s="7" t="n">
        <v>83</v>
      </c>
      <c r="T17" s="7" t="n">
        <v>3535370</v>
      </c>
      <c r="U17" s="7" t="n">
        <v>2855676</v>
      </c>
      <c r="V17" s="7" t="n">
        <v>679694</v>
      </c>
      <c r="W17" s="7">
        <f>U17+V17</f>
        <v/>
      </c>
      <c r="X17" s="7" t="n">
        <v>1594631</v>
      </c>
      <c r="Y17" s="7" t="n">
        <v>3200257</v>
      </c>
      <c r="Z17" s="7">
        <f>T17-X17</f>
        <v/>
      </c>
      <c r="AA17" s="7">
        <f>T17-Y17</f>
        <v/>
      </c>
      <c r="AB17" s="7" t="n">
        <v>353537</v>
      </c>
      <c r="AC17" s="7" t="n">
        <v>9548118</v>
      </c>
      <c r="AD17" s="7" t="n">
        <v>4030489</v>
      </c>
      <c r="AE17" s="7">
        <f>AC17-AD17</f>
        <v/>
      </c>
      <c r="AF17" s="7">
        <f>IFERROR(AD17/AC17,0)</f>
        <v/>
      </c>
      <c r="AG17" s="7" t="n">
        <v>3535370</v>
      </c>
      <c r="AH17" s="7" t="n">
        <v>1594631</v>
      </c>
      <c r="AI17" s="7" t="n">
        <v>3200257</v>
      </c>
      <c r="AJ17" s="7" t="inlineStr">
        <is>
          <t>Pipeline</t>
        </is>
      </c>
      <c r="AK17" s="7" t="inlineStr">
        <is>
          <t>Green</t>
        </is>
      </c>
    </row>
    <row r="18" ht="15" customHeight="1" s="5">
      <c r="A18" s="7" t="inlineStr">
        <is>
          <t>PRJ017</t>
        </is>
      </c>
      <c r="B18" s="7" t="inlineStr">
        <is>
          <t>App Modernisation</t>
        </is>
      </c>
      <c r="C18" s="7" t="inlineStr">
        <is>
          <t>Digital Transformation</t>
        </is>
      </c>
      <c r="D18" s="7" t="inlineStr">
        <is>
          <t>Data &amp; Analytics</t>
        </is>
      </c>
      <c r="E18" s="7" t="inlineStr">
        <is>
          <t>CAPEX</t>
        </is>
      </c>
      <c r="F18" s="7" t="inlineStr">
        <is>
          <t>Marketing</t>
        </is>
      </c>
      <c r="G18" s="7" t="inlineStr">
        <is>
          <t>CFO</t>
        </is>
      </c>
      <c r="H18" s="7" t="inlineStr">
        <is>
          <t>Priya Patel</t>
        </is>
      </c>
      <c r="I18" s="7" t="inlineStr">
        <is>
          <t>Mike Johnson</t>
        </is>
      </c>
      <c r="J18" s="7" t="inlineStr">
        <is>
          <t>P2 - High</t>
        </is>
      </c>
      <c r="K18" s="7" t="inlineStr">
        <is>
          <t>Transform</t>
        </is>
      </c>
      <c r="L18" s="7" t="inlineStr">
        <is>
          <t>Agile</t>
        </is>
      </c>
      <c r="M18" s="7" t="inlineStr">
        <is>
          <t>CAPEX</t>
        </is>
      </c>
      <c r="N18" s="7" t="inlineStr">
        <is>
          <t>Channel B (&gt;$200K)</t>
        </is>
      </c>
      <c r="O18" s="7" t="inlineStr">
        <is>
          <t>FY25-26</t>
        </is>
      </c>
      <c r="P18" s="8" t="n">
        <v>45705</v>
      </c>
      <c r="Q18" s="8" t="n">
        <v>46119</v>
      </c>
      <c r="R18" s="8" t="n">
        <v>46092</v>
      </c>
      <c r="S18" s="7" t="n">
        <v>11</v>
      </c>
      <c r="T18" s="7" t="n">
        <v>2898688</v>
      </c>
      <c r="U18" s="7" t="n">
        <v>1655902</v>
      </c>
      <c r="V18" s="7" t="n">
        <v>1242786</v>
      </c>
      <c r="W18" s="7">
        <f>U18+V18</f>
        <v/>
      </c>
      <c r="X18" s="7" t="n">
        <v>2036404</v>
      </c>
      <c r="Y18" s="7" t="n">
        <v>2731707</v>
      </c>
      <c r="Z18" s="7">
        <f>T18-X18</f>
        <v/>
      </c>
      <c r="AA18" s="7">
        <f>T18-Y18</f>
        <v/>
      </c>
      <c r="AB18" s="7" t="n">
        <v>289869</v>
      </c>
      <c r="AC18" s="7" t="n">
        <v>6027408</v>
      </c>
      <c r="AD18" s="7" t="n">
        <v>3274099</v>
      </c>
      <c r="AE18" s="7">
        <f>AC18-AD18</f>
        <v/>
      </c>
      <c r="AF18" s="7">
        <f>IFERROR(AD18/AC18,0)</f>
        <v/>
      </c>
      <c r="AG18" s="7" t="n">
        <v>2898688</v>
      </c>
      <c r="AH18" s="7" t="n">
        <v>2036404</v>
      </c>
      <c r="AI18" s="7" t="n">
        <v>2731707</v>
      </c>
      <c r="AJ18" s="7" t="inlineStr">
        <is>
          <t>Pipeline</t>
        </is>
      </c>
      <c r="AK18" s="7" t="inlineStr">
        <is>
          <t>Red</t>
        </is>
      </c>
    </row>
    <row r="19" ht="15" customHeight="1" s="5">
      <c r="A19" s="7" t="inlineStr">
        <is>
          <t>PRJ018</t>
        </is>
      </c>
      <c r="B19" s="7" t="inlineStr">
        <is>
          <t>RPA Program</t>
        </is>
      </c>
      <c r="C19" s="7" t="inlineStr">
        <is>
          <t>Cyber Security</t>
        </is>
      </c>
      <c r="D19" s="7" t="inlineStr">
        <is>
          <t>Infrastructure</t>
        </is>
      </c>
      <c r="E19" s="7" t="inlineStr">
        <is>
          <t>Unfunded</t>
        </is>
      </c>
      <c r="F19" s="7" t="inlineStr">
        <is>
          <t>Operations</t>
        </is>
      </c>
      <c r="G19" s="7" t="inlineStr">
        <is>
          <t>COO</t>
        </is>
      </c>
      <c r="H19" s="7" t="inlineStr">
        <is>
          <t>Carlos Diaz</t>
        </is>
      </c>
      <c r="I19" s="7" t="inlineStr">
        <is>
          <t>Carlos Diaz</t>
        </is>
      </c>
      <c r="J19" s="7" t="inlineStr">
        <is>
          <t>P1 - Critical</t>
        </is>
      </c>
      <c r="K19" s="7" t="inlineStr">
        <is>
          <t>Grow</t>
        </is>
      </c>
      <c r="L19" s="7" t="inlineStr">
        <is>
          <t>Waterfall</t>
        </is>
      </c>
      <c r="M19" s="7" t="inlineStr">
        <is>
          <t>Unfunded</t>
        </is>
      </c>
      <c r="N19" s="7" t="inlineStr">
        <is>
          <t>Channel B (&gt;$200K)</t>
        </is>
      </c>
      <c r="O19" s="7" t="inlineStr">
        <is>
          <t>FY25-26</t>
        </is>
      </c>
      <c r="P19" s="8" t="n">
        <v>45956</v>
      </c>
      <c r="Q19" s="8" t="n">
        <v>46328</v>
      </c>
      <c r="R19" s="8" t="n">
        <v>46319</v>
      </c>
      <c r="S19" s="7" t="n">
        <v>52</v>
      </c>
      <c r="T19" s="7" t="n">
        <v>1767979</v>
      </c>
      <c r="U19" s="7" t="n">
        <v>889973</v>
      </c>
      <c r="V19" s="7" t="n">
        <v>878006</v>
      </c>
      <c r="W19" s="7">
        <f>U19+V19</f>
        <v/>
      </c>
      <c r="X19" s="7" t="n">
        <v>303176</v>
      </c>
      <c r="Y19" s="7" t="n">
        <v>2049242</v>
      </c>
      <c r="Z19" s="7">
        <f>T19-X19</f>
        <v/>
      </c>
      <c r="AA19" s="7">
        <f>T19-Y19</f>
        <v/>
      </c>
      <c r="AB19" s="7" t="n">
        <v>176798</v>
      </c>
      <c r="AC19" s="7" t="n">
        <v>4998203</v>
      </c>
      <c r="AD19" s="7" t="n">
        <v>1636183</v>
      </c>
      <c r="AE19" s="7">
        <f>AC19-AD19</f>
        <v/>
      </c>
      <c r="AF19" s="7">
        <f>IFERROR(AD19/AC19,0)</f>
        <v/>
      </c>
      <c r="AG19" s="7" t="n">
        <v>1767979</v>
      </c>
      <c r="AH19" s="7" t="n">
        <v>303176</v>
      </c>
      <c r="AI19" s="7" t="n">
        <v>2049242</v>
      </c>
      <c r="AJ19" s="7" t="inlineStr">
        <is>
          <t>Active</t>
        </is>
      </c>
      <c r="AK19" s="7" t="inlineStr">
        <is>
          <t>Red</t>
        </is>
      </c>
    </row>
    <row r="20" ht="15" customHeight="1" s="5">
      <c r="A20" s="7" t="inlineStr">
        <is>
          <t>PRJ019</t>
        </is>
      </c>
      <c r="B20" s="7" t="inlineStr">
        <is>
          <t>Vendor Mgmt</t>
        </is>
      </c>
      <c r="C20" s="7" t="inlineStr">
        <is>
          <t>Digital Transformation</t>
        </is>
      </c>
      <c r="D20" s="7" t="inlineStr">
        <is>
          <t>Digital &amp; Applications</t>
        </is>
      </c>
      <c r="E20" s="7" t="inlineStr">
        <is>
          <t>IT Strategic</t>
        </is>
      </c>
      <c r="F20" s="7" t="inlineStr">
        <is>
          <t>HR</t>
        </is>
      </c>
      <c r="G20" s="7" t="inlineStr">
        <is>
          <t>COO</t>
        </is>
      </c>
      <c r="H20" s="7" t="inlineStr">
        <is>
          <t>Carlos Diaz</t>
        </is>
      </c>
      <c r="I20" s="7" t="inlineStr">
        <is>
          <t>Sarah Lee</t>
        </is>
      </c>
      <c r="J20" s="7" t="inlineStr">
        <is>
          <t>P2 - High</t>
        </is>
      </c>
      <c r="K20" s="7" t="inlineStr">
        <is>
          <t>Grow</t>
        </is>
      </c>
      <c r="L20" s="7" t="inlineStr">
        <is>
          <t>Waterfall</t>
        </is>
      </c>
      <c r="M20" s="7" t="inlineStr">
        <is>
          <t>OPEX</t>
        </is>
      </c>
      <c r="N20" s="7" t="inlineStr">
        <is>
          <t>Channel B (&gt;$200K)</t>
        </is>
      </c>
      <c r="O20" s="7" t="inlineStr">
        <is>
          <t>FY25-26</t>
        </is>
      </c>
      <c r="P20" s="8" t="n">
        <v>45741</v>
      </c>
      <c r="Q20" s="8" t="n">
        <v>46330</v>
      </c>
      <c r="R20" s="8" t="n">
        <v>46279</v>
      </c>
      <c r="S20" s="7" t="n">
        <v>35</v>
      </c>
      <c r="T20" s="7" t="n">
        <v>500895</v>
      </c>
      <c r="U20" s="7" t="n">
        <v>387212</v>
      </c>
      <c r="V20" s="7" t="n">
        <v>113683</v>
      </c>
      <c r="W20" s="7">
        <f>U20+V20</f>
        <v/>
      </c>
      <c r="X20" s="7" t="n">
        <v>470805</v>
      </c>
      <c r="Y20" s="7" t="n">
        <v>497004</v>
      </c>
      <c r="Z20" s="7">
        <f>T20-X20</f>
        <v/>
      </c>
      <c r="AA20" s="7">
        <f>T20-Y20</f>
        <v/>
      </c>
      <c r="AB20" s="7" t="n">
        <v>50090</v>
      </c>
      <c r="AC20" s="7" t="n">
        <v>1160669</v>
      </c>
      <c r="AD20" s="7" t="n">
        <v>107631</v>
      </c>
      <c r="AE20" s="7">
        <f>AC20-AD20</f>
        <v/>
      </c>
      <c r="AF20" s="7">
        <f>IFERROR(AD20/AC20,0)</f>
        <v/>
      </c>
      <c r="AG20" s="7" t="n">
        <v>500895</v>
      </c>
      <c r="AH20" s="7" t="n">
        <v>470805</v>
      </c>
      <c r="AI20" s="7" t="n">
        <v>497004</v>
      </c>
      <c r="AJ20" s="7" t="inlineStr">
        <is>
          <t>Active</t>
        </is>
      </c>
      <c r="AK20" s="7" t="inlineStr">
        <is>
          <t>Amber</t>
        </is>
      </c>
    </row>
    <row r="21" ht="15" customHeight="1" s="5">
      <c r="A21" s="7" t="inlineStr">
        <is>
          <t>PRJ020</t>
        </is>
      </c>
      <c r="B21" s="7" t="inlineStr">
        <is>
          <t>Process Automation</t>
        </is>
      </c>
      <c r="C21" s="7" t="inlineStr">
        <is>
          <t>Cloud Migration</t>
        </is>
      </c>
      <c r="D21" s="7" t="inlineStr">
        <is>
          <t>Data &amp; Analytics</t>
        </is>
      </c>
      <c r="E21" s="7" t="inlineStr">
        <is>
          <t>IT Strategic</t>
        </is>
      </c>
      <c r="F21" s="7" t="inlineStr">
        <is>
          <t>Marketing</t>
        </is>
      </c>
      <c r="G21" s="7" t="inlineStr">
        <is>
          <t>CIO</t>
        </is>
      </c>
      <c r="H21" s="7" t="inlineStr">
        <is>
          <t>Carlos Diaz</t>
        </is>
      </c>
      <c r="I21" s="7" t="inlineStr">
        <is>
          <t>Mike Johnson</t>
        </is>
      </c>
      <c r="J21" s="7" t="inlineStr">
        <is>
          <t>P3 - Medium</t>
        </is>
      </c>
      <c r="K21" s="7" t="inlineStr">
        <is>
          <t>Transform</t>
        </is>
      </c>
      <c r="L21" s="7" t="inlineStr">
        <is>
          <t>Hybrid</t>
        </is>
      </c>
      <c r="M21" s="7" t="inlineStr">
        <is>
          <t>OPEX</t>
        </is>
      </c>
      <c r="N21" s="7" t="inlineStr">
        <is>
          <t>Channel B (&gt;$200K)</t>
        </is>
      </c>
      <c r="O21" s="7" t="inlineStr">
        <is>
          <t>FY25</t>
        </is>
      </c>
      <c r="P21" s="8" t="n">
        <v>45772</v>
      </c>
      <c r="Q21" s="8" t="n">
        <v>45874</v>
      </c>
      <c r="R21" s="8" t="n">
        <v>45832</v>
      </c>
      <c r="S21" s="7" t="n">
        <v>34</v>
      </c>
      <c r="T21" s="7" t="n">
        <v>3501450</v>
      </c>
      <c r="U21" s="7" t="n">
        <v>2802937</v>
      </c>
      <c r="V21" s="7" t="n">
        <v>698513</v>
      </c>
      <c r="W21" s="7">
        <f>U21+V21</f>
        <v/>
      </c>
      <c r="X21" s="7" t="n">
        <v>1090044</v>
      </c>
      <c r="Y21" s="7" t="n">
        <v>3976966</v>
      </c>
      <c r="Z21" s="7">
        <f>T21-X21</f>
        <v/>
      </c>
      <c r="AA21" s="7">
        <f>T21-Y21</f>
        <v/>
      </c>
      <c r="AB21" s="7" t="n">
        <v>350145</v>
      </c>
      <c r="AC21" s="7" t="n">
        <v>7102852</v>
      </c>
      <c r="AD21" s="7" t="n">
        <v>1300635</v>
      </c>
      <c r="AE21" s="7">
        <f>AC21-AD21</f>
        <v/>
      </c>
      <c r="AF21" s="7">
        <f>IFERROR(AD21/AC21,0)</f>
        <v/>
      </c>
      <c r="AG21" s="7" t="n">
        <v>3501450</v>
      </c>
      <c r="AH21" s="7" t="n">
        <v>1090044</v>
      </c>
      <c r="AI21" s="7" t="n">
        <v>3976966</v>
      </c>
      <c r="AJ21" s="7" t="inlineStr">
        <is>
          <t>Completed</t>
        </is>
      </c>
      <c r="AK21" s="7" t="inlineStr">
        <is>
          <t>Red</t>
        </is>
      </c>
    </row>
    <row r="22" ht="15" customHeight="1" s="5">
      <c r="A22" s="7" t="inlineStr">
        <is>
          <t>PRJ021</t>
        </is>
      </c>
      <c r="B22" s="7" t="inlineStr">
        <is>
          <t>Data Warehouse</t>
        </is>
      </c>
      <c r="C22" s="7" t="inlineStr">
        <is>
          <t>Cloud Migration</t>
        </is>
      </c>
      <c r="D22" s="7" t="inlineStr">
        <is>
          <t>Data &amp; Analytics</t>
        </is>
      </c>
      <c r="E22" s="7" t="inlineStr">
        <is>
          <t>Unfunded</t>
        </is>
      </c>
      <c r="F22" s="7" t="inlineStr">
        <is>
          <t>Technology</t>
        </is>
      </c>
      <c r="G22" s="7" t="inlineStr">
        <is>
          <t>CTO</t>
        </is>
      </c>
      <c r="H22" s="7" t="inlineStr">
        <is>
          <t>Alex Brown</t>
        </is>
      </c>
      <c r="I22" s="7" t="inlineStr">
        <is>
          <t>John Smith</t>
        </is>
      </c>
      <c r="J22" s="7" t="inlineStr">
        <is>
          <t>P4 - Low</t>
        </is>
      </c>
      <c r="K22" s="7" t="inlineStr">
        <is>
          <t>Transform</t>
        </is>
      </c>
      <c r="L22" s="7" t="inlineStr">
        <is>
          <t>Waterfall</t>
        </is>
      </c>
      <c r="M22" s="7" t="inlineStr">
        <is>
          <t>Unfunded</t>
        </is>
      </c>
      <c r="N22" s="7" t="inlineStr">
        <is>
          <t>Channel B (&gt;$200K)</t>
        </is>
      </c>
      <c r="O22" s="7" t="inlineStr">
        <is>
          <t>FY25</t>
        </is>
      </c>
      <c r="P22" s="8" t="n">
        <v>45677</v>
      </c>
      <c r="Q22" s="8" t="n">
        <v>45822</v>
      </c>
      <c r="R22" s="8" t="n">
        <v>45784</v>
      </c>
      <c r="S22" s="7" t="n">
        <v>38</v>
      </c>
      <c r="T22" s="7" t="n">
        <v>3926484</v>
      </c>
      <c r="U22" s="7" t="n">
        <v>2700147</v>
      </c>
      <c r="V22" s="7" t="n">
        <v>1226337</v>
      </c>
      <c r="W22" s="7">
        <f>U22+V22</f>
        <v/>
      </c>
      <c r="X22" s="7" t="n">
        <v>3896153</v>
      </c>
      <c r="Y22" s="7" t="n">
        <v>3496022</v>
      </c>
      <c r="Z22" s="7">
        <f>T22-X22</f>
        <v/>
      </c>
      <c r="AA22" s="7">
        <f>T22-Y22</f>
        <v/>
      </c>
      <c r="AB22" s="7" t="n">
        <v>392648</v>
      </c>
      <c r="AC22" s="7" t="n">
        <v>11570253</v>
      </c>
      <c r="AD22" s="7" t="n">
        <v>1239645</v>
      </c>
      <c r="AE22" s="7">
        <f>AC22-AD22</f>
        <v/>
      </c>
      <c r="AF22" s="7">
        <f>IFERROR(AD22/AC22,0)</f>
        <v/>
      </c>
      <c r="AG22" s="7" t="n">
        <v>3926484</v>
      </c>
      <c r="AH22" s="7" t="n">
        <v>3896153</v>
      </c>
      <c r="AI22" s="7" t="n">
        <v>3496022</v>
      </c>
      <c r="AJ22" s="7" t="inlineStr">
        <is>
          <t>Active</t>
        </is>
      </c>
      <c r="AK22" s="7" t="inlineStr">
        <is>
          <t>Green</t>
        </is>
      </c>
    </row>
    <row r="23" ht="15" customHeight="1" s="5">
      <c r="A23" s="7" t="inlineStr">
        <is>
          <t>PRJ022</t>
        </is>
      </c>
      <c r="B23" s="7" t="inlineStr">
        <is>
          <t>DevOps Tools</t>
        </is>
      </c>
      <c r="C23" s="7" t="inlineStr">
        <is>
          <t>Cloud Migration</t>
        </is>
      </c>
      <c r="D23" s="7" t="inlineStr">
        <is>
          <t>Business Transformation</t>
        </is>
      </c>
      <c r="E23" s="7" t="inlineStr">
        <is>
          <t>Business Strategic</t>
        </is>
      </c>
      <c r="F23" s="7" t="inlineStr">
        <is>
          <t>Operations</t>
        </is>
      </c>
      <c r="G23" s="7" t="inlineStr">
        <is>
          <t>CIO</t>
        </is>
      </c>
      <c r="H23" s="7" t="inlineStr">
        <is>
          <t>Priya Patel</t>
        </is>
      </c>
      <c r="I23" s="7" t="inlineStr">
        <is>
          <t>Mike Johnson</t>
        </is>
      </c>
      <c r="J23" s="7" t="inlineStr">
        <is>
          <t>P3 - Medium</t>
        </is>
      </c>
      <c r="K23" s="7" t="inlineStr">
        <is>
          <t>Transform</t>
        </is>
      </c>
      <c r="L23" s="7" t="inlineStr">
        <is>
          <t>Agile</t>
        </is>
      </c>
      <c r="M23" s="7" t="inlineStr">
        <is>
          <t>Mixed</t>
        </is>
      </c>
      <c r="N23" s="7" t="inlineStr">
        <is>
          <t>Channel B (&gt;$200K)</t>
        </is>
      </c>
      <c r="O23" s="7" t="inlineStr">
        <is>
          <t>FY25-26</t>
        </is>
      </c>
      <c r="P23" s="8" t="n">
        <v>45758</v>
      </c>
      <c r="Q23" s="8" t="n">
        <v>46034</v>
      </c>
      <c r="R23" s="8" t="n">
        <v>46007</v>
      </c>
      <c r="S23" s="7" t="n">
        <v>90</v>
      </c>
      <c r="T23" s="7" t="n">
        <v>2864263</v>
      </c>
      <c r="U23" s="7" t="n">
        <v>1433827</v>
      </c>
      <c r="V23" s="7" t="n">
        <v>1430436</v>
      </c>
      <c r="W23" s="7">
        <f>U23+V23</f>
        <v/>
      </c>
      <c r="X23" s="7" t="n">
        <v>2804962</v>
      </c>
      <c r="Y23" s="7" t="n">
        <v>2974417</v>
      </c>
      <c r="Z23" s="7">
        <f>T23-X23</f>
        <v/>
      </c>
      <c r="AA23" s="7">
        <f>T23-Y23</f>
        <v/>
      </c>
      <c r="AB23" s="7" t="n">
        <v>286426</v>
      </c>
      <c r="AC23" s="7" t="n">
        <v>7146262</v>
      </c>
      <c r="AD23" s="7" t="n">
        <v>3181302</v>
      </c>
      <c r="AE23" s="7">
        <f>AC23-AD23</f>
        <v/>
      </c>
      <c r="AF23" s="7">
        <f>IFERROR(AD23/AC23,0)</f>
        <v/>
      </c>
      <c r="AG23" s="7" t="n">
        <v>2864263</v>
      </c>
      <c r="AH23" s="7" t="n">
        <v>2804962</v>
      </c>
      <c r="AI23" s="7" t="n">
        <v>2974417</v>
      </c>
      <c r="AJ23" s="7" t="inlineStr">
        <is>
          <t>Active</t>
        </is>
      </c>
      <c r="AK23" s="7" t="inlineStr">
        <is>
          <t>Amber</t>
        </is>
      </c>
    </row>
    <row r="24" ht="15" customHeight="1" s="5">
      <c r="A24" s="7" t="inlineStr">
        <is>
          <t>PRJ023</t>
        </is>
      </c>
      <c r="B24" s="7" t="inlineStr">
        <is>
          <t>Workforce Portal</t>
        </is>
      </c>
      <c r="C24" s="7" t="inlineStr">
        <is>
          <t>Customer Experience</t>
        </is>
      </c>
      <c r="D24" s="7" t="inlineStr">
        <is>
          <t>Infrastructure</t>
        </is>
      </c>
      <c r="E24" s="7" t="inlineStr">
        <is>
          <t>Unfunded</t>
        </is>
      </c>
      <c r="F24" s="7" t="inlineStr">
        <is>
          <t>Operations</t>
        </is>
      </c>
      <c r="G24" s="7" t="inlineStr">
        <is>
          <t>COO</t>
        </is>
      </c>
      <c r="H24" s="7" t="inlineStr">
        <is>
          <t>Jane Doe</t>
        </is>
      </c>
      <c r="I24" s="7" t="inlineStr">
        <is>
          <t>Sarah Lee</t>
        </is>
      </c>
      <c r="J24" s="7" t="inlineStr">
        <is>
          <t>P3 - Medium</t>
        </is>
      </c>
      <c r="K24" s="7" t="inlineStr">
        <is>
          <t>Grow</t>
        </is>
      </c>
      <c r="L24" s="7" t="inlineStr">
        <is>
          <t>Agile</t>
        </is>
      </c>
      <c r="M24" s="7" t="inlineStr">
        <is>
          <t>Unfunded</t>
        </is>
      </c>
      <c r="N24" s="7" t="inlineStr">
        <is>
          <t>Channel B (&gt;$200K)</t>
        </is>
      </c>
      <c r="O24" s="7" t="inlineStr">
        <is>
          <t>FY25-26</t>
        </is>
      </c>
      <c r="P24" s="8" t="n">
        <v>45973</v>
      </c>
      <c r="Q24" s="8" t="n">
        <v>46354</v>
      </c>
      <c r="R24" s="8" t="n">
        <v>46335</v>
      </c>
      <c r="S24" s="7" t="n">
        <v>27</v>
      </c>
      <c r="T24" s="7" t="n">
        <v>2819113</v>
      </c>
      <c r="U24" s="7" t="n">
        <v>1956589</v>
      </c>
      <c r="V24" s="7" t="n">
        <v>862524</v>
      </c>
      <c r="W24" s="7">
        <f>U24+V24</f>
        <v/>
      </c>
      <c r="X24" s="7" t="n">
        <v>795689</v>
      </c>
      <c r="Y24" s="7" t="n">
        <v>3052325</v>
      </c>
      <c r="Z24" s="7">
        <f>T24-X24</f>
        <v/>
      </c>
      <c r="AA24" s="7">
        <f>T24-Y24</f>
        <v/>
      </c>
      <c r="AB24" s="7" t="n">
        <v>281911</v>
      </c>
      <c r="AC24" s="7" t="n">
        <v>5306872</v>
      </c>
      <c r="AD24" s="7" t="n">
        <v>2382153</v>
      </c>
      <c r="AE24" s="7">
        <f>AC24-AD24</f>
        <v/>
      </c>
      <c r="AF24" s="7">
        <f>IFERROR(AD24/AC24,0)</f>
        <v/>
      </c>
      <c r="AG24" s="7" t="n">
        <v>2819113</v>
      </c>
      <c r="AH24" s="7" t="n">
        <v>795689</v>
      </c>
      <c r="AI24" s="7" t="n">
        <v>3052325</v>
      </c>
      <c r="AJ24" s="7" t="inlineStr">
        <is>
          <t>Completed</t>
        </is>
      </c>
      <c r="AK24" s="7" t="inlineStr">
        <is>
          <t>Red</t>
        </is>
      </c>
    </row>
    <row r="25" ht="15" customHeight="1" s="5">
      <c r="A25" s="7" t="inlineStr">
        <is>
          <t>PRJ024</t>
        </is>
      </c>
      <c r="B25" s="7" t="inlineStr">
        <is>
          <t>Process Mining</t>
        </is>
      </c>
      <c r="C25" s="7" t="inlineStr">
        <is>
          <t>Cyber Security</t>
        </is>
      </c>
      <c r="D25" s="7" t="inlineStr">
        <is>
          <t>Data &amp; Analytics</t>
        </is>
      </c>
      <c r="E25" s="7" t="inlineStr">
        <is>
          <t>CAPEX</t>
        </is>
      </c>
      <c r="F25" s="7" t="inlineStr">
        <is>
          <t>Wholesale</t>
        </is>
      </c>
      <c r="G25" s="7" t="inlineStr">
        <is>
          <t>CFO</t>
        </is>
      </c>
      <c r="H25" s="7" t="inlineStr">
        <is>
          <t>Jane Doe</t>
        </is>
      </c>
      <c r="I25" s="7" t="inlineStr">
        <is>
          <t>John Smith</t>
        </is>
      </c>
      <c r="J25" s="7" t="inlineStr">
        <is>
          <t>P1 - Critical</t>
        </is>
      </c>
      <c r="K25" s="7" t="inlineStr">
        <is>
          <t>Run</t>
        </is>
      </c>
      <c r="L25" s="7" t="inlineStr">
        <is>
          <t>Agile</t>
        </is>
      </c>
      <c r="M25" s="7" t="inlineStr">
        <is>
          <t>CAPEX</t>
        </is>
      </c>
      <c r="N25" s="7" t="inlineStr">
        <is>
          <t>Channel B (&gt;$200K)</t>
        </is>
      </c>
      <c r="O25" s="7" t="inlineStr">
        <is>
          <t>FY25-27</t>
        </is>
      </c>
      <c r="P25" s="8" t="n">
        <v>45997</v>
      </c>
      <c r="Q25" s="8" t="n">
        <v>46411</v>
      </c>
      <c r="R25" s="8" t="n">
        <v>46372</v>
      </c>
      <c r="S25" s="7" t="n">
        <v>70</v>
      </c>
      <c r="T25" s="7" t="n">
        <v>933435</v>
      </c>
      <c r="U25" s="7" t="n">
        <v>621308</v>
      </c>
      <c r="V25" s="7" t="n">
        <v>312127</v>
      </c>
      <c r="W25" s="7">
        <f>U25+V25</f>
        <v/>
      </c>
      <c r="X25" s="7" t="n">
        <v>892478</v>
      </c>
      <c r="Y25" s="7" t="n">
        <v>1053483</v>
      </c>
      <c r="Z25" s="7">
        <f>T25-X25</f>
        <v/>
      </c>
      <c r="AA25" s="7">
        <f>T25-Y25</f>
        <v/>
      </c>
      <c r="AB25" s="7" t="n">
        <v>93344</v>
      </c>
      <c r="AC25" s="7" t="n">
        <v>1405235</v>
      </c>
      <c r="AD25" s="7" t="n">
        <v>71495</v>
      </c>
      <c r="AE25" s="7">
        <f>AC25-AD25</f>
        <v/>
      </c>
      <c r="AF25" s="7">
        <f>IFERROR(AD25/AC25,0)</f>
        <v/>
      </c>
      <c r="AG25" s="7" t="n">
        <v>933435</v>
      </c>
      <c r="AH25" s="7" t="n">
        <v>892478</v>
      </c>
      <c r="AI25" s="7" t="n">
        <v>1053483</v>
      </c>
      <c r="AJ25" s="7" t="inlineStr">
        <is>
          <t>Pipeline</t>
        </is>
      </c>
      <c r="AK25" s="7" t="inlineStr">
        <is>
          <t>Green</t>
        </is>
      </c>
    </row>
    <row r="26" ht="15" customHeight="1" s="5">
      <c r="A26" s="7" t="inlineStr">
        <is>
          <t>PRJ025</t>
        </is>
      </c>
      <c r="B26" s="7" t="inlineStr">
        <is>
          <t>Customer Insights</t>
        </is>
      </c>
      <c r="C26" s="7" t="inlineStr">
        <is>
          <t>Cyber Security</t>
        </is>
      </c>
      <c r="D26" s="7" t="inlineStr">
        <is>
          <t>Digital &amp; Applications</t>
        </is>
      </c>
      <c r="E26" s="7" t="inlineStr">
        <is>
          <t>Business Strategic</t>
        </is>
      </c>
      <c r="F26" s="7" t="inlineStr">
        <is>
          <t>Marketing</t>
        </is>
      </c>
      <c r="G26" s="7" t="inlineStr">
        <is>
          <t>CTO</t>
        </is>
      </c>
      <c r="H26" s="7" t="inlineStr">
        <is>
          <t>Sarah Lee</t>
        </is>
      </c>
      <c r="I26" s="7" t="inlineStr">
        <is>
          <t>John Smith</t>
        </is>
      </c>
      <c r="J26" s="7" t="inlineStr">
        <is>
          <t>P2 - High</t>
        </is>
      </c>
      <c r="K26" s="7" t="inlineStr">
        <is>
          <t>Run</t>
        </is>
      </c>
      <c r="L26" s="7" t="inlineStr">
        <is>
          <t>Agile</t>
        </is>
      </c>
      <c r="M26" s="7" t="inlineStr">
        <is>
          <t>OPEX</t>
        </is>
      </c>
      <c r="N26" s="7" t="inlineStr">
        <is>
          <t>Channel B (&gt;$200K)</t>
        </is>
      </c>
      <c r="O26" s="7" t="inlineStr">
        <is>
          <t>FY25-27</t>
        </is>
      </c>
      <c r="P26" s="8" t="n">
        <v>45993</v>
      </c>
      <c r="Q26" s="8" t="n">
        <v>46435</v>
      </c>
      <c r="R26" s="8" t="n">
        <v>46435</v>
      </c>
      <c r="S26" s="7" t="n">
        <v>23</v>
      </c>
      <c r="T26" s="7" t="n">
        <v>1876123</v>
      </c>
      <c r="U26" s="7" t="n">
        <v>1519937</v>
      </c>
      <c r="V26" s="7" t="n">
        <v>356186</v>
      </c>
      <c r="W26" s="7">
        <f>U26+V26</f>
        <v/>
      </c>
      <c r="X26" s="7" t="n">
        <v>1213640</v>
      </c>
      <c r="Y26" s="7" t="n">
        <v>2066401</v>
      </c>
      <c r="Z26" s="7">
        <f>T26-X26</f>
        <v/>
      </c>
      <c r="AA26" s="7">
        <f>T26-Y26</f>
        <v/>
      </c>
      <c r="AB26" s="7" t="n">
        <v>187612</v>
      </c>
      <c r="AC26" s="7" t="n">
        <v>3548051</v>
      </c>
      <c r="AD26" s="7" t="n">
        <v>850793</v>
      </c>
      <c r="AE26" s="7">
        <f>AC26-AD26</f>
        <v/>
      </c>
      <c r="AF26" s="7">
        <f>IFERROR(AD26/AC26,0)</f>
        <v/>
      </c>
      <c r="AG26" s="7" t="n">
        <v>1876123</v>
      </c>
      <c r="AH26" s="7" t="n">
        <v>1213640</v>
      </c>
      <c r="AI26" s="7" t="n">
        <v>2066401</v>
      </c>
      <c r="AJ26" s="7" t="inlineStr">
        <is>
          <t>Active</t>
        </is>
      </c>
      <c r="AK26" s="7" t="inlineStr">
        <is>
          <t>Amber</t>
        </is>
      </c>
    </row>
    <row r="27" ht="15" customHeight="1" s="5">
      <c r="A27" s="7" t="inlineStr">
        <is>
          <t>PRJ026</t>
        </is>
      </c>
      <c r="B27" s="7" t="inlineStr">
        <is>
          <t>ERP Modernisation 2</t>
        </is>
      </c>
      <c r="C27" s="7" t="inlineStr">
        <is>
          <t>Cyber Security</t>
        </is>
      </c>
      <c r="D27" s="7" t="inlineStr">
        <is>
          <t>Cyber Security</t>
        </is>
      </c>
      <c r="E27" s="7" t="inlineStr">
        <is>
          <t>Unfunded</t>
        </is>
      </c>
      <c r="F27" s="7" t="inlineStr">
        <is>
          <t>Technology</t>
        </is>
      </c>
      <c r="G27" s="7" t="inlineStr">
        <is>
          <t>COO</t>
        </is>
      </c>
      <c r="H27" s="7" t="inlineStr">
        <is>
          <t>Carlos Diaz</t>
        </is>
      </c>
      <c r="I27" s="7" t="inlineStr">
        <is>
          <t>Jane Doe</t>
        </is>
      </c>
      <c r="J27" s="7" t="inlineStr">
        <is>
          <t>P3 - Medium</t>
        </is>
      </c>
      <c r="K27" s="7" t="inlineStr">
        <is>
          <t>Transform</t>
        </is>
      </c>
      <c r="L27" s="7" t="inlineStr">
        <is>
          <t>Agile</t>
        </is>
      </c>
      <c r="M27" s="7" t="inlineStr">
        <is>
          <t>Unfunded</t>
        </is>
      </c>
      <c r="N27" s="7" t="inlineStr">
        <is>
          <t>Channel B (&gt;$200K)</t>
        </is>
      </c>
      <c r="O27" s="7" t="inlineStr">
        <is>
          <t>FY25-26</t>
        </is>
      </c>
      <c r="P27" s="8" t="n">
        <v>45916</v>
      </c>
      <c r="Q27" s="8" t="n">
        <v>46224</v>
      </c>
      <c r="R27" s="8" t="n">
        <v>46171</v>
      </c>
      <c r="S27" s="7" t="n">
        <v>97</v>
      </c>
      <c r="T27" s="7" t="n">
        <v>2703553</v>
      </c>
      <c r="U27" s="7" t="n">
        <v>2286563</v>
      </c>
      <c r="V27" s="7" t="n">
        <v>416990</v>
      </c>
      <c r="W27" s="7">
        <f>U27+V27</f>
        <v/>
      </c>
      <c r="X27" s="7" t="n">
        <v>1799700</v>
      </c>
      <c r="Y27" s="7" t="n">
        <v>3196989</v>
      </c>
      <c r="Z27" s="7">
        <f>T27-X27</f>
        <v/>
      </c>
      <c r="AA27" s="7">
        <f>T27-Y27</f>
        <v/>
      </c>
      <c r="AB27" s="7" t="n">
        <v>270355</v>
      </c>
      <c r="AC27" s="7" t="n">
        <v>7582295</v>
      </c>
      <c r="AD27" s="7" t="n">
        <v>2787186</v>
      </c>
      <c r="AE27" s="7">
        <f>AC27-AD27</f>
        <v/>
      </c>
      <c r="AF27" s="7">
        <f>IFERROR(AD27/AC27,0)</f>
        <v/>
      </c>
      <c r="AG27" s="7" t="n">
        <v>2703553</v>
      </c>
      <c r="AH27" s="7" t="n">
        <v>1799700</v>
      </c>
      <c r="AI27" s="7" t="n">
        <v>3196989</v>
      </c>
      <c r="AJ27" s="7" t="inlineStr">
        <is>
          <t>Active</t>
        </is>
      </c>
      <c r="AK27" s="7" t="inlineStr">
        <is>
          <t>Green</t>
        </is>
      </c>
    </row>
    <row r="28" ht="15" customHeight="1" s="5">
      <c r="A28" s="7" t="inlineStr">
        <is>
          <t>PRJ027</t>
        </is>
      </c>
      <c r="B28" s="7" t="inlineStr">
        <is>
          <t>Cyber Program</t>
        </is>
      </c>
      <c r="C28" s="7" t="inlineStr">
        <is>
          <t>Cyber Security</t>
        </is>
      </c>
      <c r="D28" s="7" t="inlineStr">
        <is>
          <t>Infrastructure</t>
        </is>
      </c>
      <c r="E28" s="7" t="inlineStr">
        <is>
          <t>IT Strategic</t>
        </is>
      </c>
      <c r="F28" s="7" t="inlineStr">
        <is>
          <t>Technology</t>
        </is>
      </c>
      <c r="G28" s="7" t="inlineStr">
        <is>
          <t>CMO</t>
        </is>
      </c>
      <c r="H28" s="7" t="inlineStr">
        <is>
          <t>Mike Johnson</t>
        </is>
      </c>
      <c r="I28" s="7" t="inlineStr">
        <is>
          <t>Alex Brown</t>
        </is>
      </c>
      <c r="J28" s="7" t="inlineStr">
        <is>
          <t>P4 - Low</t>
        </is>
      </c>
      <c r="K28" s="7" t="inlineStr">
        <is>
          <t>Grow</t>
        </is>
      </c>
      <c r="L28" s="7" t="inlineStr">
        <is>
          <t>Waterfall</t>
        </is>
      </c>
      <c r="M28" s="7" t="inlineStr">
        <is>
          <t>Mixed</t>
        </is>
      </c>
      <c r="N28" s="7" t="inlineStr">
        <is>
          <t>Channel B (&gt;$200K)</t>
        </is>
      </c>
      <c r="O28" s="7" t="inlineStr">
        <is>
          <t>FY25-26</t>
        </is>
      </c>
      <c r="P28" s="8" t="n">
        <v>45776</v>
      </c>
      <c r="Q28" s="8" t="n">
        <v>46062</v>
      </c>
      <c r="R28" s="8" t="n">
        <v>46018</v>
      </c>
      <c r="S28" s="7" t="n">
        <v>24</v>
      </c>
      <c r="T28" s="7" t="n">
        <v>1815503</v>
      </c>
      <c r="U28" s="7" t="n">
        <v>1361156</v>
      </c>
      <c r="V28" s="7" t="n">
        <v>454347</v>
      </c>
      <c r="W28" s="7">
        <f>U28+V28</f>
        <v/>
      </c>
      <c r="X28" s="7" t="n">
        <v>585988</v>
      </c>
      <c r="Y28" s="7" t="n">
        <v>1756584</v>
      </c>
      <c r="Z28" s="7">
        <f>T28-X28</f>
        <v/>
      </c>
      <c r="AA28" s="7">
        <f>T28-Y28</f>
        <v/>
      </c>
      <c r="AB28" s="7" t="n">
        <v>181550</v>
      </c>
      <c r="AC28" s="7" t="n">
        <v>5096931</v>
      </c>
      <c r="AD28" s="7" t="n">
        <v>246419</v>
      </c>
      <c r="AE28" s="7">
        <f>AC28-AD28</f>
        <v/>
      </c>
      <c r="AF28" s="7">
        <f>IFERROR(AD28/AC28,0)</f>
        <v/>
      </c>
      <c r="AG28" s="7" t="n">
        <v>1815503</v>
      </c>
      <c r="AH28" s="7" t="n">
        <v>585988</v>
      </c>
      <c r="AI28" s="7" t="n">
        <v>1756584</v>
      </c>
      <c r="AJ28" s="7" t="inlineStr">
        <is>
          <t>Active</t>
        </is>
      </c>
      <c r="AK28" s="7" t="inlineStr">
        <is>
          <t>Amber</t>
        </is>
      </c>
    </row>
    <row r="29" ht="15" customHeight="1" s="5">
      <c r="A29" s="7" t="inlineStr">
        <is>
          <t>PRJ028</t>
        </is>
      </c>
      <c r="B29" s="7" t="inlineStr">
        <is>
          <t>Mobile App 2</t>
        </is>
      </c>
      <c r="C29" s="7" t="inlineStr">
        <is>
          <t>Data &amp; AI</t>
        </is>
      </c>
      <c r="D29" s="7" t="inlineStr">
        <is>
          <t>Business Transformation</t>
        </is>
      </c>
      <c r="E29" s="7" t="inlineStr">
        <is>
          <t>CAPEX</t>
        </is>
      </c>
      <c r="F29" s="7" t="inlineStr">
        <is>
          <t>HR</t>
        </is>
      </c>
      <c r="G29" s="7" t="inlineStr">
        <is>
          <t>CTO</t>
        </is>
      </c>
      <c r="H29" s="7" t="inlineStr">
        <is>
          <t>Carlos Diaz</t>
        </is>
      </c>
      <c r="I29" s="7" t="inlineStr">
        <is>
          <t>Alex Brown</t>
        </is>
      </c>
      <c r="J29" s="7" t="inlineStr">
        <is>
          <t>P2 - High</t>
        </is>
      </c>
      <c r="K29" s="7" t="inlineStr">
        <is>
          <t>Grow</t>
        </is>
      </c>
      <c r="L29" s="7" t="inlineStr">
        <is>
          <t>Waterfall</t>
        </is>
      </c>
      <c r="M29" s="7" t="inlineStr">
        <is>
          <t>OPEX</t>
        </is>
      </c>
      <c r="N29" s="7" t="inlineStr">
        <is>
          <t>Channel B (&gt;$200K)</t>
        </is>
      </c>
      <c r="O29" s="7" t="inlineStr">
        <is>
          <t>FY25-26</t>
        </is>
      </c>
      <c r="P29" s="8" t="n">
        <v>45661</v>
      </c>
      <c r="Q29" s="8" t="n">
        <v>46233</v>
      </c>
      <c r="R29" s="8" t="n">
        <v>46211</v>
      </c>
      <c r="S29" s="7" t="n">
        <v>66</v>
      </c>
      <c r="T29" s="7" t="n">
        <v>1618960</v>
      </c>
      <c r="U29" s="7" t="n">
        <v>1245674</v>
      </c>
      <c r="V29" s="7" t="n">
        <v>373286</v>
      </c>
      <c r="W29" s="7">
        <f>U29+V29</f>
        <v/>
      </c>
      <c r="X29" s="7" t="n">
        <v>1616951</v>
      </c>
      <c r="Y29" s="7" t="n">
        <v>1387184</v>
      </c>
      <c r="Z29" s="7">
        <f>T29-X29</f>
        <v/>
      </c>
      <c r="AA29" s="7">
        <f>T29-Y29</f>
        <v/>
      </c>
      <c r="AB29" s="7" t="n">
        <v>161896</v>
      </c>
      <c r="AC29" s="7" t="n">
        <v>4509098</v>
      </c>
      <c r="AD29" s="7" t="n">
        <v>1557507</v>
      </c>
      <c r="AE29" s="7">
        <f>AC29-AD29</f>
        <v/>
      </c>
      <c r="AF29" s="7">
        <f>IFERROR(AD29/AC29,0)</f>
        <v/>
      </c>
      <c r="AG29" s="7" t="n">
        <v>1618960</v>
      </c>
      <c r="AH29" s="7" t="n">
        <v>1616951</v>
      </c>
      <c r="AI29" s="7" t="n">
        <v>1387184</v>
      </c>
      <c r="AJ29" s="7" t="inlineStr">
        <is>
          <t>Active</t>
        </is>
      </c>
      <c r="AK29" s="7" t="inlineStr">
        <is>
          <t>Amber</t>
        </is>
      </c>
    </row>
    <row r="30" ht="15" customHeight="1" s="5">
      <c r="A30" s="7" t="inlineStr">
        <is>
          <t>PRJ029</t>
        </is>
      </c>
      <c r="B30" s="7" t="inlineStr">
        <is>
          <t>Analytics Platform 2</t>
        </is>
      </c>
      <c r="C30" s="7" t="inlineStr">
        <is>
          <t>Customer Experience</t>
        </is>
      </c>
      <c r="D30" s="7" t="inlineStr">
        <is>
          <t>Business Transformation</t>
        </is>
      </c>
      <c r="E30" s="7" t="inlineStr">
        <is>
          <t>Unfunded</t>
        </is>
      </c>
      <c r="F30" s="7" t="inlineStr">
        <is>
          <t>HR</t>
        </is>
      </c>
      <c r="G30" s="7" t="inlineStr">
        <is>
          <t>CIO</t>
        </is>
      </c>
      <c r="H30" s="7" t="inlineStr">
        <is>
          <t>John Smith</t>
        </is>
      </c>
      <c r="I30" s="7" t="inlineStr">
        <is>
          <t>Priya Patel</t>
        </is>
      </c>
      <c r="J30" s="7" t="inlineStr">
        <is>
          <t>P4 - Low</t>
        </is>
      </c>
      <c r="K30" s="7" t="inlineStr">
        <is>
          <t>Run</t>
        </is>
      </c>
      <c r="L30" s="7" t="inlineStr">
        <is>
          <t>Agile</t>
        </is>
      </c>
      <c r="M30" s="7" t="inlineStr">
        <is>
          <t>Unfunded</t>
        </is>
      </c>
      <c r="N30" s="7" t="inlineStr">
        <is>
          <t>Channel B (&gt;$200K)</t>
        </is>
      </c>
      <c r="O30" s="7" t="inlineStr">
        <is>
          <t>FY25-26</t>
        </is>
      </c>
      <c r="P30" s="8" t="n">
        <v>45976</v>
      </c>
      <c r="Q30" s="8" t="n">
        <v>46339</v>
      </c>
      <c r="R30" s="8" t="n">
        <v>46338</v>
      </c>
      <c r="S30" s="7" t="n">
        <v>21</v>
      </c>
      <c r="T30" s="7" t="n">
        <v>1994004</v>
      </c>
      <c r="U30" s="7" t="n">
        <v>1268386</v>
      </c>
      <c r="V30" s="7" t="n">
        <v>725618</v>
      </c>
      <c r="W30" s="7">
        <f>U30+V30</f>
        <v/>
      </c>
      <c r="X30" s="7" t="n">
        <v>1466450</v>
      </c>
      <c r="Y30" s="7" t="n">
        <v>2251928</v>
      </c>
      <c r="Z30" s="7">
        <f>T30-X30</f>
        <v/>
      </c>
      <c r="AA30" s="7">
        <f>T30-Y30</f>
        <v/>
      </c>
      <c r="AB30" s="7" t="n">
        <v>199400</v>
      </c>
      <c r="AC30" s="7" t="n">
        <v>4992042</v>
      </c>
      <c r="AD30" s="7" t="n">
        <v>2517504</v>
      </c>
      <c r="AE30" s="7">
        <f>AC30-AD30</f>
        <v/>
      </c>
      <c r="AF30" s="7">
        <f>IFERROR(AD30/AC30,0)</f>
        <v/>
      </c>
      <c r="AG30" s="7" t="n">
        <v>1994004</v>
      </c>
      <c r="AH30" s="7" t="n">
        <v>1466450</v>
      </c>
      <c r="AI30" s="7" t="n">
        <v>2251928</v>
      </c>
      <c r="AJ30" s="7" t="inlineStr">
        <is>
          <t>Active</t>
        </is>
      </c>
      <c r="AK30" s="7" t="inlineStr">
        <is>
          <t>Green</t>
        </is>
      </c>
    </row>
    <row r="31" ht="15" customHeight="1" s="5">
      <c r="A31" s="7" t="inlineStr">
        <is>
          <t>PRJ030</t>
        </is>
      </c>
      <c r="B31" s="7" t="inlineStr">
        <is>
          <t>Service Desk 2</t>
        </is>
      </c>
      <c r="C31" s="7" t="inlineStr">
        <is>
          <t>Digital Transformation</t>
        </is>
      </c>
      <c r="D31" s="7" t="inlineStr">
        <is>
          <t>Business Transformation</t>
        </is>
      </c>
      <c r="E31" s="7" t="inlineStr">
        <is>
          <t>Unfunded</t>
        </is>
      </c>
      <c r="F31" s="7" t="inlineStr">
        <is>
          <t>Retail</t>
        </is>
      </c>
      <c r="G31" s="7" t="inlineStr">
        <is>
          <t>COO</t>
        </is>
      </c>
      <c r="H31" s="7" t="inlineStr">
        <is>
          <t>Jane Doe</t>
        </is>
      </c>
      <c r="I31" s="7" t="inlineStr">
        <is>
          <t>Priya Patel</t>
        </is>
      </c>
      <c r="J31" s="7" t="inlineStr">
        <is>
          <t>P1 - Critical</t>
        </is>
      </c>
      <c r="K31" s="7" t="inlineStr">
        <is>
          <t>Transform</t>
        </is>
      </c>
      <c r="L31" s="7" t="inlineStr">
        <is>
          <t>Waterfall</t>
        </is>
      </c>
      <c r="M31" s="7" t="inlineStr">
        <is>
          <t>Unfunded</t>
        </is>
      </c>
      <c r="N31" s="7" t="inlineStr">
        <is>
          <t>Channel B (&gt;$200K)</t>
        </is>
      </c>
      <c r="O31" s="7" t="inlineStr">
        <is>
          <t>FY25-26</t>
        </is>
      </c>
      <c r="P31" s="8" t="n">
        <v>45787</v>
      </c>
      <c r="Q31" s="8" t="n">
        <v>46304</v>
      </c>
      <c r="R31" s="8" t="n">
        <v>46299</v>
      </c>
      <c r="S31" s="7" t="n">
        <v>58</v>
      </c>
      <c r="T31" s="7" t="n">
        <v>1114610</v>
      </c>
      <c r="U31" s="7" t="n">
        <v>685010</v>
      </c>
      <c r="V31" s="7" t="n">
        <v>429600</v>
      </c>
      <c r="W31" s="7">
        <f>U31+V31</f>
        <v/>
      </c>
      <c r="X31" s="7" t="n">
        <v>592933</v>
      </c>
      <c r="Y31" s="7" t="n">
        <v>1079082</v>
      </c>
      <c r="Z31" s="7">
        <f>T31-X31</f>
        <v/>
      </c>
      <c r="AA31" s="7">
        <f>T31-Y31</f>
        <v/>
      </c>
      <c r="AB31" s="7" t="n">
        <v>111461</v>
      </c>
      <c r="AC31" s="7" t="n">
        <v>3102352</v>
      </c>
      <c r="AD31" s="7" t="n">
        <v>517950</v>
      </c>
      <c r="AE31" s="7">
        <f>AC31-AD31</f>
        <v/>
      </c>
      <c r="AF31" s="7">
        <f>IFERROR(AD31/AC31,0)</f>
        <v/>
      </c>
      <c r="AG31" s="7" t="n">
        <v>1114610</v>
      </c>
      <c r="AH31" s="7" t="n">
        <v>592933</v>
      </c>
      <c r="AI31" s="7" t="n">
        <v>1079082</v>
      </c>
      <c r="AJ31" s="7" t="inlineStr">
        <is>
          <t>Active</t>
        </is>
      </c>
      <c r="AK31" s="7" t="inlineStr">
        <is>
          <t>Green</t>
        </is>
      </c>
    </row>
    <row r="32" ht="15" customHeight="1" s="5">
      <c r="A32" s="7" t="inlineStr">
        <is>
          <t>PRJ031</t>
        </is>
      </c>
      <c r="B32" s="7" t="inlineStr">
        <is>
          <t>Quality Mgmt</t>
        </is>
      </c>
      <c r="C32" s="7" t="inlineStr">
        <is>
          <t>Customer Experience</t>
        </is>
      </c>
      <c r="D32" s="7" t="inlineStr">
        <is>
          <t>Business Transformation</t>
        </is>
      </c>
      <c r="E32" s="7" t="inlineStr">
        <is>
          <t>CAPEX</t>
        </is>
      </c>
      <c r="F32" s="7" t="inlineStr">
        <is>
          <t>HR</t>
        </is>
      </c>
      <c r="G32" s="7" t="inlineStr">
        <is>
          <t>CIO</t>
        </is>
      </c>
      <c r="H32" s="7" t="inlineStr">
        <is>
          <t>Carlos Diaz</t>
        </is>
      </c>
      <c r="I32" s="7" t="inlineStr">
        <is>
          <t>Carlos Diaz</t>
        </is>
      </c>
      <c r="J32" s="7" t="inlineStr">
        <is>
          <t>P2 - High</t>
        </is>
      </c>
      <c r="K32" s="7" t="inlineStr">
        <is>
          <t>Grow</t>
        </is>
      </c>
      <c r="L32" s="7" t="inlineStr">
        <is>
          <t>Waterfall</t>
        </is>
      </c>
      <c r="M32" s="7" t="inlineStr">
        <is>
          <t>CAPEX</t>
        </is>
      </c>
      <c r="N32" s="7" t="inlineStr">
        <is>
          <t>Channel B (&gt;$200K)</t>
        </is>
      </c>
      <c r="O32" s="7" t="inlineStr">
        <is>
          <t>FY25-26</t>
        </is>
      </c>
      <c r="P32" s="8" t="n">
        <v>45896</v>
      </c>
      <c r="Q32" s="8" t="n">
        <v>46344</v>
      </c>
      <c r="R32" s="8" t="n">
        <v>46328</v>
      </c>
      <c r="S32" s="7" t="n">
        <v>32</v>
      </c>
      <c r="T32" s="7" t="n">
        <v>877507</v>
      </c>
      <c r="U32" s="7" t="n">
        <v>445013</v>
      </c>
      <c r="V32" s="7" t="n">
        <v>432494</v>
      </c>
      <c r="W32" s="7">
        <f>U32+V32</f>
        <v/>
      </c>
      <c r="X32" s="7" t="n">
        <v>214781</v>
      </c>
      <c r="Y32" s="7" t="n">
        <v>784647</v>
      </c>
      <c r="Z32" s="7">
        <f>T32-X32</f>
        <v/>
      </c>
      <c r="AA32" s="7">
        <f>T32-Y32</f>
        <v/>
      </c>
      <c r="AB32" s="7" t="n">
        <v>87751</v>
      </c>
      <c r="AC32" s="7" t="n">
        <v>2110427</v>
      </c>
      <c r="AD32" s="7" t="n">
        <v>714130</v>
      </c>
      <c r="AE32" s="7">
        <f>AC32-AD32</f>
        <v/>
      </c>
      <c r="AF32" s="7">
        <f>IFERROR(AD32/AC32,0)</f>
        <v/>
      </c>
      <c r="AG32" s="7" t="n">
        <v>877507</v>
      </c>
      <c r="AH32" s="7" t="n">
        <v>214781</v>
      </c>
      <c r="AI32" s="7" t="n">
        <v>784647</v>
      </c>
      <c r="AJ32" s="7" t="inlineStr">
        <is>
          <t>Pipeline</t>
        </is>
      </c>
      <c r="AK32" s="7" t="inlineStr">
        <is>
          <t>Green</t>
        </is>
      </c>
    </row>
    <row r="33" ht="15" customHeight="1" s="5">
      <c r="A33" s="7" t="inlineStr">
        <is>
          <t>PRJ032</t>
        </is>
      </c>
      <c r="B33" s="7" t="inlineStr">
        <is>
          <t>Compliance Hub</t>
        </is>
      </c>
      <c r="C33" s="7" t="inlineStr">
        <is>
          <t>Cloud Migration</t>
        </is>
      </c>
      <c r="D33" s="7" t="inlineStr">
        <is>
          <t>Business Transformation</t>
        </is>
      </c>
      <c r="E33" s="7" t="inlineStr">
        <is>
          <t>IT Strategic</t>
        </is>
      </c>
      <c r="F33" s="7" t="inlineStr">
        <is>
          <t>Marketing</t>
        </is>
      </c>
      <c r="G33" s="7" t="inlineStr">
        <is>
          <t>CIO</t>
        </is>
      </c>
      <c r="H33" s="7" t="inlineStr">
        <is>
          <t>Carlos Diaz</t>
        </is>
      </c>
      <c r="I33" s="7" t="inlineStr">
        <is>
          <t>Alex Brown</t>
        </is>
      </c>
      <c r="J33" s="7" t="inlineStr">
        <is>
          <t>P1 - Critical</t>
        </is>
      </c>
      <c r="K33" s="7" t="inlineStr">
        <is>
          <t>Grow</t>
        </is>
      </c>
      <c r="L33" s="7" t="inlineStr">
        <is>
          <t>Hybrid</t>
        </is>
      </c>
      <c r="M33" s="7" t="inlineStr">
        <is>
          <t>CAPEX</t>
        </is>
      </c>
      <c r="N33" s="7" t="inlineStr">
        <is>
          <t>Channel B (&gt;$200K)</t>
        </is>
      </c>
      <c r="O33" s="7" t="inlineStr">
        <is>
          <t>FY25-27</t>
        </is>
      </c>
      <c r="P33" s="8" t="n">
        <v>46011</v>
      </c>
      <c r="Q33" s="8" t="n">
        <v>46526</v>
      </c>
      <c r="R33" s="8" t="n">
        <v>46486</v>
      </c>
      <c r="S33" s="7" t="n">
        <v>80</v>
      </c>
      <c r="T33" s="7" t="n">
        <v>3722660</v>
      </c>
      <c r="U33" s="7" t="n">
        <v>2611553</v>
      </c>
      <c r="V33" s="7" t="n">
        <v>1111107</v>
      </c>
      <c r="W33" s="7">
        <f>U33+V33</f>
        <v/>
      </c>
      <c r="X33" s="7" t="n">
        <v>3583525</v>
      </c>
      <c r="Y33" s="7" t="n">
        <v>3653260</v>
      </c>
      <c r="Z33" s="7">
        <f>T33-X33</f>
        <v/>
      </c>
      <c r="AA33" s="7">
        <f>T33-Y33</f>
        <v/>
      </c>
      <c r="AB33" s="7" t="n">
        <v>372266</v>
      </c>
      <c r="AC33" s="7" t="n">
        <v>10775787</v>
      </c>
      <c r="AD33" s="7" t="n">
        <v>1282296</v>
      </c>
      <c r="AE33" s="7">
        <f>AC33-AD33</f>
        <v/>
      </c>
      <c r="AF33" s="7">
        <f>IFERROR(AD33/AC33,0)</f>
        <v/>
      </c>
      <c r="AG33" s="7" t="n">
        <v>3722660</v>
      </c>
      <c r="AH33" s="7" t="n">
        <v>3583525</v>
      </c>
      <c r="AI33" s="7" t="n">
        <v>3653260</v>
      </c>
      <c r="AJ33" s="7" t="inlineStr">
        <is>
          <t>Completed</t>
        </is>
      </c>
      <c r="AK33" s="7" t="inlineStr">
        <is>
          <t>Red</t>
        </is>
      </c>
    </row>
    <row r="34" ht="15" customHeight="1" s="5">
      <c r="A34" s="7" t="inlineStr">
        <is>
          <t>PRJ033</t>
        </is>
      </c>
      <c r="B34" s="7" t="inlineStr">
        <is>
          <t>Risk Platform</t>
        </is>
      </c>
      <c r="C34" s="7" t="inlineStr">
        <is>
          <t>Cyber Security</t>
        </is>
      </c>
      <c r="D34" s="7" t="inlineStr">
        <is>
          <t>Cyber Security</t>
        </is>
      </c>
      <c r="E34" s="7" t="inlineStr">
        <is>
          <t>Unfunded</t>
        </is>
      </c>
      <c r="F34" s="7" t="inlineStr">
        <is>
          <t>Wholesale</t>
        </is>
      </c>
      <c r="G34" s="7" t="inlineStr">
        <is>
          <t>CTO</t>
        </is>
      </c>
      <c r="H34" s="7" t="inlineStr">
        <is>
          <t>Priya Patel</t>
        </is>
      </c>
      <c r="I34" s="7" t="inlineStr">
        <is>
          <t>Mike Johnson</t>
        </is>
      </c>
      <c r="J34" s="7" t="inlineStr">
        <is>
          <t>P4 - Low</t>
        </is>
      </c>
      <c r="K34" s="7" t="inlineStr">
        <is>
          <t>Grow</t>
        </is>
      </c>
      <c r="L34" s="7" t="inlineStr">
        <is>
          <t>Agile</t>
        </is>
      </c>
      <c r="M34" s="7" t="inlineStr">
        <is>
          <t>Unfunded</t>
        </is>
      </c>
      <c r="N34" s="7" t="inlineStr">
        <is>
          <t>Channel B (&gt;$200K)</t>
        </is>
      </c>
      <c r="O34" s="7" t="inlineStr">
        <is>
          <t>FY25-27</t>
        </is>
      </c>
      <c r="P34" s="8" t="n">
        <v>45983</v>
      </c>
      <c r="Q34" s="8" t="n">
        <v>46529</v>
      </c>
      <c r="R34" s="8" t="n">
        <v>46476</v>
      </c>
      <c r="S34" s="7" t="n">
        <v>51</v>
      </c>
      <c r="T34" s="7" t="n">
        <v>1545226</v>
      </c>
      <c r="U34" s="7" t="n">
        <v>1046251</v>
      </c>
      <c r="V34" s="7" t="n">
        <v>498975</v>
      </c>
      <c r="W34" s="7">
        <f>U34+V34</f>
        <v/>
      </c>
      <c r="X34" s="7" t="n">
        <v>655438</v>
      </c>
      <c r="Y34" s="7" t="n">
        <v>1772917</v>
      </c>
      <c r="Z34" s="7">
        <f>T34-X34</f>
        <v/>
      </c>
      <c r="AA34" s="7">
        <f>T34-Y34</f>
        <v/>
      </c>
      <c r="AB34" s="7" t="n">
        <v>154523</v>
      </c>
      <c r="AC34" s="7" t="n">
        <v>4141508</v>
      </c>
      <c r="AD34" s="7" t="n">
        <v>262254</v>
      </c>
      <c r="AE34" s="7">
        <f>AC34-AD34</f>
        <v/>
      </c>
      <c r="AF34" s="7">
        <f>IFERROR(AD34/AC34,0)</f>
        <v/>
      </c>
      <c r="AG34" s="7" t="n">
        <v>1545226</v>
      </c>
      <c r="AH34" s="7" t="n">
        <v>655438</v>
      </c>
      <c r="AI34" s="7" t="n">
        <v>1772917</v>
      </c>
      <c r="AJ34" s="7" t="inlineStr">
        <is>
          <t>Pipeline</t>
        </is>
      </c>
      <c r="AK34" s="7" t="inlineStr">
        <is>
          <t>Green</t>
        </is>
      </c>
    </row>
    <row r="35" ht="15" customHeight="1" s="5">
      <c r="A35" s="7" t="inlineStr">
        <is>
          <t>PRJ034</t>
        </is>
      </c>
      <c r="B35" s="7" t="inlineStr">
        <is>
          <t>Treasury Sys</t>
        </is>
      </c>
      <c r="C35" s="7" t="inlineStr">
        <is>
          <t>Data &amp; AI</t>
        </is>
      </c>
      <c r="D35" s="7" t="inlineStr">
        <is>
          <t>Data &amp; Analytics</t>
        </is>
      </c>
      <c r="E35" s="7" t="inlineStr">
        <is>
          <t>CAPEX</t>
        </is>
      </c>
      <c r="F35" s="7" t="inlineStr">
        <is>
          <t>Wholesale</t>
        </is>
      </c>
      <c r="G35" s="7" t="inlineStr">
        <is>
          <t>CMO</t>
        </is>
      </c>
      <c r="H35" s="7" t="inlineStr">
        <is>
          <t>Jane Doe</t>
        </is>
      </c>
      <c r="I35" s="7" t="inlineStr">
        <is>
          <t>Mike Johnson</t>
        </is>
      </c>
      <c r="J35" s="7" t="inlineStr">
        <is>
          <t>P3 - Medium</t>
        </is>
      </c>
      <c r="K35" s="7" t="inlineStr">
        <is>
          <t>Grow</t>
        </is>
      </c>
      <c r="L35" s="7" t="inlineStr">
        <is>
          <t>Agile</t>
        </is>
      </c>
      <c r="M35" s="7" t="inlineStr">
        <is>
          <t>CAPEX</t>
        </is>
      </c>
      <c r="N35" s="7" t="inlineStr">
        <is>
          <t>Channel B (&gt;$200K)</t>
        </is>
      </c>
      <c r="O35" s="7" t="inlineStr">
        <is>
          <t>FY25-27</t>
        </is>
      </c>
      <c r="P35" s="8" t="n">
        <v>45970</v>
      </c>
      <c r="Q35" s="8" t="n">
        <v>46402</v>
      </c>
      <c r="R35" s="8" t="n">
        <v>46378</v>
      </c>
      <c r="S35" s="7" t="n">
        <v>77</v>
      </c>
      <c r="T35" s="7" t="n">
        <v>1356988</v>
      </c>
      <c r="U35" s="7" t="n">
        <v>795091</v>
      </c>
      <c r="V35" s="7" t="n">
        <v>561897</v>
      </c>
      <c r="W35" s="7">
        <f>U35+V35</f>
        <v/>
      </c>
      <c r="X35" s="7" t="n">
        <v>1340556</v>
      </c>
      <c r="Y35" s="7" t="n">
        <v>1285916</v>
      </c>
      <c r="Z35" s="7">
        <f>T35-X35</f>
        <v/>
      </c>
      <c r="AA35" s="7">
        <f>T35-Y35</f>
        <v/>
      </c>
      <c r="AB35" s="7" t="n">
        <v>135699</v>
      </c>
      <c r="AC35" s="7" t="n">
        <v>2729505</v>
      </c>
      <c r="AD35" s="7" t="n">
        <v>1229057</v>
      </c>
      <c r="AE35" s="7">
        <f>AC35-AD35</f>
        <v/>
      </c>
      <c r="AF35" s="7">
        <f>IFERROR(AD35/AC35,0)</f>
        <v/>
      </c>
      <c r="AG35" s="7" t="n">
        <v>1356988</v>
      </c>
      <c r="AH35" s="7" t="n">
        <v>1340556</v>
      </c>
      <c r="AI35" s="7" t="n">
        <v>1285916</v>
      </c>
      <c r="AJ35" s="7" t="inlineStr">
        <is>
          <t>Pipeline</t>
        </is>
      </c>
      <c r="AK35" s="7" t="inlineStr">
        <is>
          <t>Red</t>
        </is>
      </c>
    </row>
    <row r="36" ht="15" customHeight="1" s="5">
      <c r="A36" s="7" t="inlineStr">
        <is>
          <t>PRJ035</t>
        </is>
      </c>
      <c r="B36" s="7" t="inlineStr">
        <is>
          <t>Payroll Cloud</t>
        </is>
      </c>
      <c r="C36" s="7" t="inlineStr">
        <is>
          <t>Data &amp; AI</t>
        </is>
      </c>
      <c r="D36" s="7" t="inlineStr">
        <is>
          <t>Infrastructure</t>
        </is>
      </c>
      <c r="E36" s="7" t="inlineStr">
        <is>
          <t>Unfunded</t>
        </is>
      </c>
      <c r="F36" s="7" t="inlineStr">
        <is>
          <t>Retail</t>
        </is>
      </c>
      <c r="G36" s="7" t="inlineStr">
        <is>
          <t>COO</t>
        </is>
      </c>
      <c r="H36" s="7" t="inlineStr">
        <is>
          <t>Jane Doe</t>
        </is>
      </c>
      <c r="I36" s="7" t="inlineStr">
        <is>
          <t>Sarah Lee</t>
        </is>
      </c>
      <c r="J36" s="7" t="inlineStr">
        <is>
          <t>P2 - High</t>
        </is>
      </c>
      <c r="K36" s="7" t="inlineStr">
        <is>
          <t>Grow</t>
        </is>
      </c>
      <c r="L36" s="7" t="inlineStr">
        <is>
          <t>Hybrid</t>
        </is>
      </c>
      <c r="M36" s="7" t="inlineStr">
        <is>
          <t>Unfunded</t>
        </is>
      </c>
      <c r="N36" s="7" t="inlineStr">
        <is>
          <t>Channel B (&gt;$200K)</t>
        </is>
      </c>
      <c r="O36" s="7" t="inlineStr">
        <is>
          <t>FY25-26</t>
        </is>
      </c>
      <c r="P36" s="8" t="n">
        <v>45781</v>
      </c>
      <c r="Q36" s="8" t="n">
        <v>46224</v>
      </c>
      <c r="R36" s="8" t="n">
        <v>46194</v>
      </c>
      <c r="S36" s="7" t="n">
        <v>76</v>
      </c>
      <c r="T36" s="7" t="n">
        <v>3532419</v>
      </c>
      <c r="U36" s="7" t="n">
        <v>2453360</v>
      </c>
      <c r="V36" s="7" t="n">
        <v>1079059</v>
      </c>
      <c r="W36" s="7">
        <f>U36+V36</f>
        <v/>
      </c>
      <c r="X36" s="7" t="n">
        <v>2086939</v>
      </c>
      <c r="Y36" s="7" t="n">
        <v>3238768</v>
      </c>
      <c r="Z36" s="7">
        <f>T36-X36</f>
        <v/>
      </c>
      <c r="AA36" s="7">
        <f>T36-Y36</f>
        <v/>
      </c>
      <c r="AB36" s="7" t="n">
        <v>353242</v>
      </c>
      <c r="AC36" s="7" t="n">
        <v>5773530</v>
      </c>
      <c r="AD36" s="7" t="n">
        <v>1407915</v>
      </c>
      <c r="AE36" s="7">
        <f>AC36-AD36</f>
        <v/>
      </c>
      <c r="AF36" s="7">
        <f>IFERROR(AD36/AC36,0)</f>
        <v/>
      </c>
      <c r="AG36" s="7" t="n">
        <v>3532419</v>
      </c>
      <c r="AH36" s="7" t="n">
        <v>2086939</v>
      </c>
      <c r="AI36" s="7" t="n">
        <v>3238768</v>
      </c>
      <c r="AJ36" s="7" t="inlineStr">
        <is>
          <t>Active</t>
        </is>
      </c>
      <c r="AK36" s="7" t="inlineStr">
        <is>
          <t>Amber</t>
        </is>
      </c>
    </row>
    <row r="37" ht="15" customHeight="1" s="5">
      <c r="A37" s="7" t="inlineStr">
        <is>
          <t>PRJ036</t>
        </is>
      </c>
      <c r="B37" s="7" t="inlineStr">
        <is>
          <t>HR Self-Service</t>
        </is>
      </c>
      <c r="C37" s="7" t="inlineStr">
        <is>
          <t>Digital Transformation</t>
        </is>
      </c>
      <c r="D37" s="7" t="inlineStr">
        <is>
          <t>Business Transformation</t>
        </is>
      </c>
      <c r="E37" s="7" t="inlineStr">
        <is>
          <t>IT Strategic</t>
        </is>
      </c>
      <c r="F37" s="7" t="inlineStr">
        <is>
          <t>Marketing</t>
        </is>
      </c>
      <c r="G37" s="7" t="inlineStr">
        <is>
          <t>CFO</t>
        </is>
      </c>
      <c r="H37" s="7" t="inlineStr">
        <is>
          <t>Jane Doe</t>
        </is>
      </c>
      <c r="I37" s="7" t="inlineStr">
        <is>
          <t>Jane Doe</t>
        </is>
      </c>
      <c r="J37" s="7" t="inlineStr">
        <is>
          <t>P4 - Low</t>
        </is>
      </c>
      <c r="K37" s="7" t="inlineStr">
        <is>
          <t>Grow</t>
        </is>
      </c>
      <c r="L37" s="7" t="inlineStr">
        <is>
          <t>Hybrid</t>
        </is>
      </c>
      <c r="M37" s="7" t="inlineStr">
        <is>
          <t>OPEX</t>
        </is>
      </c>
      <c r="N37" s="7" t="inlineStr">
        <is>
          <t>Channel B (&gt;$200K)</t>
        </is>
      </c>
      <c r="O37" s="7" t="inlineStr">
        <is>
          <t>FY25</t>
        </is>
      </c>
      <c r="P37" s="8" t="n">
        <v>45786</v>
      </c>
      <c r="Q37" s="8" t="n">
        <v>45994</v>
      </c>
      <c r="R37" s="8" t="n">
        <v>45987</v>
      </c>
      <c r="S37" s="7" t="n">
        <v>44</v>
      </c>
      <c r="T37" s="7" t="n">
        <v>2258545</v>
      </c>
      <c r="U37" s="7" t="n">
        <v>1401010</v>
      </c>
      <c r="V37" s="7" t="n">
        <v>857535</v>
      </c>
      <c r="W37" s="7">
        <f>U37+V37</f>
        <v/>
      </c>
      <c r="X37" s="7" t="n">
        <v>2364245</v>
      </c>
      <c r="Y37" s="7" t="n">
        <v>2354840</v>
      </c>
      <c r="Z37" s="7">
        <f>T37-X37</f>
        <v/>
      </c>
      <c r="AA37" s="7">
        <f>T37-Y37</f>
        <v/>
      </c>
      <c r="AB37" s="7" t="n">
        <v>225854</v>
      </c>
      <c r="AC37" s="7" t="n">
        <v>4140498</v>
      </c>
      <c r="AD37" s="7" t="n">
        <v>1127239</v>
      </c>
      <c r="AE37" s="7">
        <f>AC37-AD37</f>
        <v/>
      </c>
      <c r="AF37" s="7">
        <f>IFERROR(AD37/AC37,0)</f>
        <v/>
      </c>
      <c r="AG37" s="7" t="n">
        <v>2258545</v>
      </c>
      <c r="AH37" s="7" t="n">
        <v>2364245</v>
      </c>
      <c r="AI37" s="7" t="n">
        <v>2354840</v>
      </c>
      <c r="AJ37" s="7" t="inlineStr">
        <is>
          <t>Pipeline</t>
        </is>
      </c>
      <c r="AK37" s="7" t="inlineStr">
        <is>
          <t>Amber</t>
        </is>
      </c>
    </row>
    <row r="38" ht="15" customHeight="1" s="5">
      <c r="A38" s="7" t="inlineStr">
        <is>
          <t>PRJ037</t>
        </is>
      </c>
      <c r="B38" s="7" t="inlineStr">
        <is>
          <t>SAP S/4HANA</t>
        </is>
      </c>
      <c r="C38" s="7" t="inlineStr">
        <is>
          <t>Cloud Migration</t>
        </is>
      </c>
      <c r="D38" s="7" t="inlineStr">
        <is>
          <t>Digital &amp; Applications</t>
        </is>
      </c>
      <c r="E38" s="7" t="inlineStr">
        <is>
          <t>Business Strategic</t>
        </is>
      </c>
      <c r="F38" s="7" t="inlineStr">
        <is>
          <t>HR</t>
        </is>
      </c>
      <c r="G38" s="7" t="inlineStr">
        <is>
          <t>CMO</t>
        </is>
      </c>
      <c r="H38" s="7" t="inlineStr">
        <is>
          <t>John Smith</t>
        </is>
      </c>
      <c r="I38" s="7" t="inlineStr">
        <is>
          <t>Carlos Diaz</t>
        </is>
      </c>
      <c r="J38" s="7" t="inlineStr">
        <is>
          <t>P1 - Critical</t>
        </is>
      </c>
      <c r="K38" s="7" t="inlineStr">
        <is>
          <t>Transform</t>
        </is>
      </c>
      <c r="L38" s="7" t="inlineStr">
        <is>
          <t>Agile</t>
        </is>
      </c>
      <c r="M38" s="7" t="inlineStr">
        <is>
          <t>Mixed</t>
        </is>
      </c>
      <c r="N38" s="7" t="inlineStr">
        <is>
          <t>Channel B (&gt;$200K)</t>
        </is>
      </c>
      <c r="O38" s="7" t="inlineStr">
        <is>
          <t>FY25</t>
        </is>
      </c>
      <c r="P38" s="8" t="n">
        <v>45722</v>
      </c>
      <c r="Q38" s="8" t="n">
        <v>45952</v>
      </c>
      <c r="R38" s="8" t="n">
        <v>45950</v>
      </c>
      <c r="S38" s="7" t="n">
        <v>73</v>
      </c>
      <c r="T38" s="7" t="n">
        <v>1203695</v>
      </c>
      <c r="U38" s="7" t="n">
        <v>644198</v>
      </c>
      <c r="V38" s="7" t="n">
        <v>559497</v>
      </c>
      <c r="W38" s="7">
        <f>U38+V38</f>
        <v/>
      </c>
      <c r="X38" s="7" t="n">
        <v>342345</v>
      </c>
      <c r="Y38" s="7" t="n">
        <v>1118978</v>
      </c>
      <c r="Z38" s="7">
        <f>T38-X38</f>
        <v/>
      </c>
      <c r="AA38" s="7">
        <f>T38-Y38</f>
        <v/>
      </c>
      <c r="AB38" s="7" t="n">
        <v>120370</v>
      </c>
      <c r="AC38" s="7" t="n">
        <v>1833221</v>
      </c>
      <c r="AD38" s="7" t="n">
        <v>15562</v>
      </c>
      <c r="AE38" s="7">
        <f>AC38-AD38</f>
        <v/>
      </c>
      <c r="AF38" s="7">
        <f>IFERROR(AD38/AC38,0)</f>
        <v/>
      </c>
      <c r="AG38" s="7" t="n">
        <v>1203695</v>
      </c>
      <c r="AH38" s="7" t="n">
        <v>342345</v>
      </c>
      <c r="AI38" s="7" t="n">
        <v>1118978</v>
      </c>
      <c r="AJ38" s="7" t="inlineStr">
        <is>
          <t>Completed</t>
        </is>
      </c>
      <c r="AK38" s="7" t="inlineStr">
        <is>
          <t>Amber</t>
        </is>
      </c>
    </row>
    <row r="39" ht="15" customHeight="1" s="5">
      <c r="A39" s="7" t="inlineStr">
        <is>
          <t>PRJ038</t>
        </is>
      </c>
      <c r="B39" s="7" t="inlineStr">
        <is>
          <t>Salesforce CRM</t>
        </is>
      </c>
      <c r="C39" s="7" t="inlineStr">
        <is>
          <t>Cyber Security</t>
        </is>
      </c>
      <c r="D39" s="7" t="inlineStr">
        <is>
          <t>Business Transformation</t>
        </is>
      </c>
      <c r="E39" s="7" t="inlineStr">
        <is>
          <t>Business Strategic</t>
        </is>
      </c>
      <c r="F39" s="7" t="inlineStr">
        <is>
          <t>Operations</t>
        </is>
      </c>
      <c r="G39" s="7" t="inlineStr">
        <is>
          <t>CIO</t>
        </is>
      </c>
      <c r="H39" s="7" t="inlineStr">
        <is>
          <t>Jane Doe</t>
        </is>
      </c>
      <c r="I39" s="7" t="inlineStr">
        <is>
          <t>John Smith</t>
        </is>
      </c>
      <c r="J39" s="7" t="inlineStr">
        <is>
          <t>P4 - Low</t>
        </is>
      </c>
      <c r="K39" s="7" t="inlineStr">
        <is>
          <t>Transform</t>
        </is>
      </c>
      <c r="L39" s="7" t="inlineStr">
        <is>
          <t>Hybrid</t>
        </is>
      </c>
      <c r="M39" s="7" t="inlineStr">
        <is>
          <t>CAPEX</t>
        </is>
      </c>
      <c r="N39" s="7" t="inlineStr">
        <is>
          <t>Channel B (&gt;$200K)</t>
        </is>
      </c>
      <c r="O39" s="7" t="inlineStr">
        <is>
          <t>FY25-26</t>
        </is>
      </c>
      <c r="P39" s="8" t="n">
        <v>45909</v>
      </c>
      <c r="Q39" s="8" t="n">
        <v>46036</v>
      </c>
      <c r="R39" s="8" t="n">
        <v>46000</v>
      </c>
      <c r="S39" s="7" t="n">
        <v>56</v>
      </c>
      <c r="T39" s="7" t="n">
        <v>1817828</v>
      </c>
      <c r="U39" s="7" t="n">
        <v>1026214</v>
      </c>
      <c r="V39" s="7" t="n">
        <v>791614</v>
      </c>
      <c r="W39" s="7">
        <f>U39+V39</f>
        <v/>
      </c>
      <c r="X39" s="7" t="n">
        <v>270507</v>
      </c>
      <c r="Y39" s="7" t="n">
        <v>2143896</v>
      </c>
      <c r="Z39" s="7">
        <f>T39-X39</f>
        <v/>
      </c>
      <c r="AA39" s="7">
        <f>T39-Y39</f>
        <v/>
      </c>
      <c r="AB39" s="7" t="n">
        <v>181783</v>
      </c>
      <c r="AC39" s="7" t="n">
        <v>3744567</v>
      </c>
      <c r="AD39" s="7" t="n">
        <v>1847080</v>
      </c>
      <c r="AE39" s="7">
        <f>AC39-AD39</f>
        <v/>
      </c>
      <c r="AF39" s="7">
        <f>IFERROR(AD39/AC39,0)</f>
        <v/>
      </c>
      <c r="AG39" s="7" t="n">
        <v>1817828</v>
      </c>
      <c r="AH39" s="7" t="n">
        <v>270507</v>
      </c>
      <c r="AI39" s="7" t="n">
        <v>2143896</v>
      </c>
      <c r="AJ39" s="7" t="inlineStr">
        <is>
          <t>Pipeline</t>
        </is>
      </c>
      <c r="AK39" s="7" t="inlineStr">
        <is>
          <t>Green</t>
        </is>
      </c>
    </row>
    <row r="40" ht="15" customHeight="1" s="5">
      <c r="A40" s="7" t="inlineStr">
        <is>
          <t>PRJ039</t>
        </is>
      </c>
      <c r="B40" s="7" t="inlineStr">
        <is>
          <t>M365 Rollout</t>
        </is>
      </c>
      <c r="C40" s="7" t="inlineStr">
        <is>
          <t>Cyber Security</t>
        </is>
      </c>
      <c r="D40" s="7" t="inlineStr">
        <is>
          <t>Data &amp; Analytics</t>
        </is>
      </c>
      <c r="E40" s="7" t="inlineStr">
        <is>
          <t>Business Strategic</t>
        </is>
      </c>
      <c r="F40" s="7" t="inlineStr">
        <is>
          <t>HR</t>
        </is>
      </c>
      <c r="G40" s="7" t="inlineStr">
        <is>
          <t>CIO</t>
        </is>
      </c>
      <c r="H40" s="7" t="inlineStr">
        <is>
          <t>Jane Doe</t>
        </is>
      </c>
      <c r="I40" s="7" t="inlineStr">
        <is>
          <t>Jane Doe</t>
        </is>
      </c>
      <c r="J40" s="7" t="inlineStr">
        <is>
          <t>P2 - High</t>
        </is>
      </c>
      <c r="K40" s="7" t="inlineStr">
        <is>
          <t>Transform</t>
        </is>
      </c>
      <c r="L40" s="7" t="inlineStr">
        <is>
          <t>Waterfall</t>
        </is>
      </c>
      <c r="M40" s="7" t="inlineStr">
        <is>
          <t>CAPEX</t>
        </is>
      </c>
      <c r="N40" s="7" t="inlineStr">
        <is>
          <t>Channel B (&gt;$200K)</t>
        </is>
      </c>
      <c r="O40" s="7" t="inlineStr">
        <is>
          <t>FY25-26</t>
        </is>
      </c>
      <c r="P40" s="8" t="n">
        <v>45975</v>
      </c>
      <c r="Q40" s="8" t="n">
        <v>46095</v>
      </c>
      <c r="R40" s="8" t="n">
        <v>46056</v>
      </c>
      <c r="S40" s="7" t="n">
        <v>77</v>
      </c>
      <c r="T40" s="7" t="n">
        <v>3125205</v>
      </c>
      <c r="U40" s="7" t="n">
        <v>1978668</v>
      </c>
      <c r="V40" s="7" t="n">
        <v>1146537</v>
      </c>
      <c r="W40" s="7">
        <f>U40+V40</f>
        <v/>
      </c>
      <c r="X40" s="7" t="n">
        <v>3009820</v>
      </c>
      <c r="Y40" s="7" t="n">
        <v>2981676</v>
      </c>
      <c r="Z40" s="7">
        <f>T40-X40</f>
        <v/>
      </c>
      <c r="AA40" s="7">
        <f>T40-Y40</f>
        <v/>
      </c>
      <c r="AB40" s="7" t="n">
        <v>312520</v>
      </c>
      <c r="AC40" s="7" t="n">
        <v>7060917</v>
      </c>
      <c r="AD40" s="7" t="n">
        <v>1816759</v>
      </c>
      <c r="AE40" s="7">
        <f>AC40-AD40</f>
        <v/>
      </c>
      <c r="AF40" s="7">
        <f>IFERROR(AD40/AC40,0)</f>
        <v/>
      </c>
      <c r="AG40" s="7" t="n">
        <v>3125205</v>
      </c>
      <c r="AH40" s="7" t="n">
        <v>3009820</v>
      </c>
      <c r="AI40" s="7" t="n">
        <v>2981676</v>
      </c>
      <c r="AJ40" s="7" t="inlineStr">
        <is>
          <t>Active</t>
        </is>
      </c>
      <c r="AK40" s="7" t="inlineStr">
        <is>
          <t>Green</t>
        </is>
      </c>
    </row>
    <row r="41" ht="15" customHeight="1" s="5">
      <c r="A41" s="7" t="inlineStr">
        <is>
          <t>PRJ040</t>
        </is>
      </c>
      <c r="B41" s="7" t="inlineStr">
        <is>
          <t>Zero-Trust Net</t>
        </is>
      </c>
      <c r="C41" s="7" t="inlineStr">
        <is>
          <t>Customer Experience</t>
        </is>
      </c>
      <c r="D41" s="7" t="inlineStr">
        <is>
          <t>Digital &amp; Applications</t>
        </is>
      </c>
      <c r="E41" s="7" t="inlineStr">
        <is>
          <t>CAPEX</t>
        </is>
      </c>
      <c r="F41" s="7" t="inlineStr">
        <is>
          <t>Technology</t>
        </is>
      </c>
      <c r="G41" s="7" t="inlineStr">
        <is>
          <t>CIO</t>
        </is>
      </c>
      <c r="H41" s="7" t="inlineStr">
        <is>
          <t>Alex Brown</t>
        </is>
      </c>
      <c r="I41" s="7" t="inlineStr">
        <is>
          <t>Jane Doe</t>
        </is>
      </c>
      <c r="J41" s="7" t="inlineStr">
        <is>
          <t>P2 - High</t>
        </is>
      </c>
      <c r="K41" s="7" t="inlineStr">
        <is>
          <t>Grow</t>
        </is>
      </c>
      <c r="L41" s="7" t="inlineStr">
        <is>
          <t>Waterfall</t>
        </is>
      </c>
      <c r="M41" s="7" t="inlineStr">
        <is>
          <t>Mixed</t>
        </is>
      </c>
      <c r="N41" s="7" t="inlineStr">
        <is>
          <t>Channel B (&gt;$200K)</t>
        </is>
      </c>
      <c r="O41" s="7" t="inlineStr">
        <is>
          <t>FY25-26</t>
        </is>
      </c>
      <c r="P41" s="8" t="n">
        <v>45694</v>
      </c>
      <c r="Q41" s="8" t="n">
        <v>46135</v>
      </c>
      <c r="R41" s="8" t="n">
        <v>46121</v>
      </c>
      <c r="S41" s="7" t="n">
        <v>63</v>
      </c>
      <c r="T41" s="7" t="n">
        <v>1693219</v>
      </c>
      <c r="U41" s="7" t="n">
        <v>1255149</v>
      </c>
      <c r="V41" s="7" t="n">
        <v>438070</v>
      </c>
      <c r="W41" s="7">
        <f>U41+V41</f>
        <v/>
      </c>
      <c r="X41" s="7" t="n">
        <v>925203</v>
      </c>
      <c r="Y41" s="7" t="n">
        <v>1458579</v>
      </c>
      <c r="Z41" s="7">
        <f>T41-X41</f>
        <v/>
      </c>
      <c r="AA41" s="7">
        <f>T41-Y41</f>
        <v/>
      </c>
      <c r="AB41" s="7" t="n">
        <v>169322</v>
      </c>
      <c r="AC41" s="7" t="n">
        <v>2909947</v>
      </c>
      <c r="AD41" s="7" t="n">
        <v>493617</v>
      </c>
      <c r="AE41" s="7">
        <f>AC41-AD41</f>
        <v/>
      </c>
      <c r="AF41" s="7">
        <f>IFERROR(AD41/AC41,0)</f>
        <v/>
      </c>
      <c r="AG41" s="7" t="n">
        <v>1693219</v>
      </c>
      <c r="AH41" s="7" t="n">
        <v>925203</v>
      </c>
      <c r="AI41" s="7" t="n">
        <v>1458579</v>
      </c>
      <c r="AJ41" s="7" t="inlineStr">
        <is>
          <t>Active</t>
        </is>
      </c>
      <c r="AK41" s="7" t="inlineStr">
        <is>
          <t>Green</t>
        </is>
      </c>
    </row>
    <row r="42" ht="15" customHeight="1" s="5">
      <c r="C42" s="7" t="n"/>
      <c r="D42" s="7" t="n"/>
      <c r="E42" s="7" t="n"/>
      <c r="F42" s="7" t="n"/>
      <c r="G42" s="7" t="n"/>
      <c r="J42" s="7" t="n"/>
      <c r="K42" s="7" t="n"/>
      <c r="M42" s="7" t="n"/>
      <c r="N42" s="7" t="n"/>
      <c r="O42" s="7" t="n"/>
      <c r="AJ42" s="7" t="n"/>
      <c r="AK42" s="7" t="n"/>
    </row>
    <row r="43" ht="15" customHeight="1" s="5">
      <c r="C43" s="7" t="n"/>
      <c r="D43" s="7" t="n"/>
      <c r="E43" s="7" t="n"/>
      <c r="F43" s="7" t="n"/>
      <c r="G43" s="7" t="n"/>
      <c r="J43" s="7" t="n"/>
      <c r="K43" s="7" t="n"/>
      <c r="M43" s="7" t="n"/>
      <c r="N43" s="7" t="n"/>
      <c r="O43" s="7" t="n"/>
      <c r="AJ43" s="7" t="n"/>
      <c r="AK43" s="7" t="n"/>
    </row>
    <row r="44" ht="15" customHeight="1" s="5">
      <c r="C44" s="7" t="n"/>
      <c r="D44" s="7" t="n"/>
      <c r="E44" s="7" t="n"/>
      <c r="F44" s="7" t="n"/>
      <c r="G44" s="7" t="n"/>
      <c r="J44" s="7" t="n"/>
      <c r="K44" s="7" t="n"/>
      <c r="M44" s="7" t="n"/>
      <c r="N44" s="7" t="n"/>
      <c r="O44" s="7" t="n"/>
      <c r="AJ44" s="7" t="n"/>
      <c r="AK44" s="7" t="n"/>
    </row>
    <row r="45" ht="15" customHeight="1" s="5">
      <c r="C45" s="7" t="n"/>
      <c r="D45" s="7" t="n"/>
      <c r="E45" s="7" t="n"/>
      <c r="F45" s="7" t="n"/>
      <c r="G45" s="7" t="n"/>
      <c r="J45" s="7" t="n"/>
      <c r="K45" s="7" t="n"/>
      <c r="M45" s="7" t="n"/>
      <c r="N45" s="7" t="n"/>
      <c r="O45" s="7" t="n"/>
      <c r="AJ45" s="7" t="n"/>
      <c r="AK45" s="7" t="n"/>
    </row>
    <row r="46" ht="15" customHeight="1" s="5">
      <c r="C46" s="7" t="n"/>
      <c r="D46" s="7" t="n"/>
      <c r="E46" s="7" t="n"/>
      <c r="F46" s="7" t="n"/>
      <c r="G46" s="7" t="n"/>
      <c r="J46" s="7" t="n"/>
      <c r="K46" s="7" t="n"/>
      <c r="M46" s="7" t="n"/>
      <c r="N46" s="7" t="n"/>
      <c r="O46" s="7" t="n"/>
      <c r="AJ46" s="7" t="n"/>
      <c r="AK46" s="7" t="n"/>
    </row>
    <row r="47" ht="15" customHeight="1" s="5">
      <c r="C47" s="7" t="n"/>
      <c r="D47" s="7" t="n"/>
      <c r="E47" s="7" t="n"/>
      <c r="F47" s="7" t="n"/>
      <c r="G47" s="7" t="n"/>
      <c r="J47" s="7" t="n"/>
      <c r="K47" s="7" t="n"/>
      <c r="M47" s="7" t="n"/>
      <c r="N47" s="7" t="n"/>
      <c r="O47" s="7" t="n"/>
      <c r="AJ47" s="7" t="n"/>
      <c r="AK47" s="7" t="n"/>
    </row>
    <row r="48" ht="15" customHeight="1" s="5">
      <c r="C48" s="7" t="n"/>
      <c r="D48" s="7" t="n"/>
      <c r="E48" s="7" t="n"/>
      <c r="F48" s="7" t="n"/>
      <c r="G48" s="7" t="n"/>
      <c r="J48" s="7" t="n"/>
      <c r="K48" s="7" t="n"/>
      <c r="M48" s="7" t="n"/>
      <c r="N48" s="7" t="n"/>
      <c r="O48" s="7" t="n"/>
      <c r="AJ48" s="7" t="n"/>
      <c r="AK48" s="7" t="n"/>
    </row>
    <row r="49" ht="15" customHeight="1" s="5">
      <c r="C49" s="7" t="n"/>
      <c r="D49" s="7" t="n"/>
      <c r="E49" s="7" t="n"/>
      <c r="F49" s="7" t="n"/>
      <c r="G49" s="7" t="n"/>
      <c r="J49" s="7" t="n"/>
      <c r="K49" s="7" t="n"/>
      <c r="M49" s="7" t="n"/>
      <c r="N49" s="7" t="n"/>
      <c r="O49" s="7" t="n"/>
      <c r="AJ49" s="7" t="n"/>
      <c r="AK49" s="7" t="n"/>
    </row>
    <row r="50" ht="15" customHeight="1" s="5">
      <c r="C50" s="7" t="n"/>
      <c r="D50" s="7" t="n"/>
      <c r="E50" s="7" t="n"/>
      <c r="F50" s="7" t="n"/>
      <c r="G50" s="7" t="n"/>
      <c r="J50" s="7" t="n"/>
      <c r="K50" s="7" t="n"/>
      <c r="M50" s="7" t="n"/>
      <c r="N50" s="7" t="n"/>
      <c r="O50" s="7" t="n"/>
      <c r="AJ50" s="7" t="n"/>
      <c r="AK50" s="7" t="n"/>
    </row>
    <row r="51" ht="15" customHeight="1" s="5">
      <c r="C51" s="7" t="n"/>
      <c r="D51" s="7" t="n"/>
      <c r="E51" s="7" t="n"/>
      <c r="F51" s="7" t="n"/>
      <c r="G51" s="7" t="n"/>
      <c r="J51" s="7" t="n"/>
      <c r="K51" s="7" t="n"/>
      <c r="M51" s="7" t="n"/>
      <c r="N51" s="7" t="n"/>
      <c r="O51" s="7" t="n"/>
      <c r="AJ51" s="7" t="n"/>
      <c r="AK51" s="7" t="n"/>
    </row>
    <row r="52" ht="15" customHeight="1" s="5">
      <c r="C52" s="7" t="n"/>
      <c r="D52" s="7" t="n"/>
      <c r="E52" s="7" t="n"/>
      <c r="F52" s="7" t="n"/>
      <c r="G52" s="7" t="n"/>
      <c r="J52" s="7" t="n"/>
      <c r="K52" s="7" t="n"/>
      <c r="M52" s="7" t="n"/>
      <c r="N52" s="7" t="n"/>
      <c r="O52" s="7" t="n"/>
      <c r="AJ52" s="7" t="n"/>
      <c r="AK52" s="7" t="n"/>
    </row>
    <row r="53" ht="15" customHeight="1" s="5">
      <c r="C53" s="7" t="n"/>
      <c r="D53" s="7" t="n"/>
      <c r="E53" s="7" t="n"/>
      <c r="F53" s="7" t="n"/>
      <c r="G53" s="7" t="n"/>
      <c r="J53" s="7" t="n"/>
      <c r="K53" s="7" t="n"/>
      <c r="M53" s="7" t="n"/>
      <c r="N53" s="7" t="n"/>
      <c r="O53" s="7" t="n"/>
      <c r="AJ53" s="7" t="n"/>
      <c r="AK53" s="7" t="n"/>
    </row>
    <row r="54" ht="15" customHeight="1" s="5">
      <c r="C54" s="7" t="n"/>
      <c r="D54" s="7" t="n"/>
      <c r="E54" s="7" t="n"/>
      <c r="F54" s="7" t="n"/>
      <c r="G54" s="7" t="n"/>
      <c r="J54" s="7" t="n"/>
      <c r="K54" s="7" t="n"/>
      <c r="M54" s="7" t="n"/>
      <c r="N54" s="7" t="n"/>
      <c r="O54" s="7" t="n"/>
      <c r="AJ54" s="7" t="n"/>
      <c r="AK54" s="7" t="n"/>
    </row>
    <row r="55" ht="15" customHeight="1" s="5">
      <c r="C55" s="7" t="n"/>
      <c r="D55" s="7" t="n"/>
      <c r="E55" s="7" t="n"/>
      <c r="F55" s="7" t="n"/>
      <c r="G55" s="7" t="n"/>
      <c r="J55" s="7" t="n"/>
      <c r="K55" s="7" t="n"/>
      <c r="M55" s="7" t="n"/>
      <c r="N55" s="7" t="n"/>
      <c r="O55" s="7" t="n"/>
      <c r="AJ55" s="7" t="n"/>
      <c r="AK55" s="7" t="n"/>
    </row>
    <row r="56" ht="15" customHeight="1" s="5">
      <c r="C56" s="7" t="n"/>
      <c r="D56" s="7" t="n"/>
      <c r="E56" s="7" t="n"/>
      <c r="F56" s="7" t="n"/>
      <c r="G56" s="7" t="n"/>
      <c r="J56" s="7" t="n"/>
      <c r="K56" s="7" t="n"/>
      <c r="M56" s="7" t="n"/>
      <c r="N56" s="7" t="n"/>
      <c r="O56" s="7" t="n"/>
      <c r="AJ56" s="7" t="n"/>
      <c r="AK56" s="7" t="n"/>
    </row>
    <row r="57" ht="15" customHeight="1" s="5">
      <c r="C57" s="7" t="n"/>
      <c r="D57" s="7" t="n"/>
      <c r="E57" s="7" t="n"/>
      <c r="F57" s="7" t="n"/>
      <c r="G57" s="7" t="n"/>
      <c r="J57" s="7" t="n"/>
      <c r="K57" s="7" t="n"/>
      <c r="M57" s="7" t="n"/>
      <c r="N57" s="7" t="n"/>
      <c r="O57" s="7" t="n"/>
      <c r="AJ57" s="7" t="n"/>
      <c r="AK57" s="7" t="n"/>
    </row>
    <row r="58" ht="15" customHeight="1" s="5">
      <c r="C58" s="7" t="n"/>
      <c r="D58" s="7" t="n"/>
      <c r="E58" s="7" t="n"/>
      <c r="F58" s="7" t="n"/>
      <c r="G58" s="7" t="n"/>
      <c r="J58" s="7" t="n"/>
      <c r="K58" s="7" t="n"/>
      <c r="M58" s="7" t="n"/>
      <c r="N58" s="7" t="n"/>
      <c r="O58" s="7" t="n"/>
      <c r="AJ58" s="7" t="n"/>
      <c r="AK58" s="7" t="n"/>
    </row>
    <row r="59" ht="15" customHeight="1" s="5">
      <c r="C59" s="7" t="n"/>
      <c r="D59" s="7" t="n"/>
      <c r="E59" s="7" t="n"/>
      <c r="F59" s="7" t="n"/>
      <c r="G59" s="7" t="n"/>
      <c r="J59" s="7" t="n"/>
      <c r="K59" s="7" t="n"/>
      <c r="M59" s="7" t="n"/>
      <c r="N59" s="7" t="n"/>
      <c r="O59" s="7" t="n"/>
      <c r="AJ59" s="7" t="n"/>
      <c r="AK59" s="7" t="n"/>
    </row>
    <row r="60" ht="15" customHeight="1" s="5">
      <c r="C60" s="7" t="n"/>
      <c r="D60" s="7" t="n"/>
      <c r="E60" s="7" t="n"/>
      <c r="F60" s="7" t="n"/>
      <c r="G60" s="7" t="n"/>
      <c r="J60" s="7" t="n"/>
      <c r="K60" s="7" t="n"/>
      <c r="M60" s="7" t="n"/>
      <c r="N60" s="7" t="n"/>
      <c r="O60" s="7" t="n"/>
      <c r="AJ60" s="7" t="n"/>
      <c r="AK60" s="7" t="n"/>
    </row>
    <row r="61" ht="15" customHeight="1" s="5">
      <c r="C61" s="7" t="n"/>
      <c r="D61" s="7" t="n"/>
      <c r="E61" s="7" t="n"/>
      <c r="F61" s="7" t="n"/>
      <c r="G61" s="7" t="n"/>
      <c r="J61" s="7" t="n"/>
      <c r="K61" s="7" t="n"/>
      <c r="M61" s="7" t="n"/>
      <c r="N61" s="7" t="n"/>
      <c r="O61" s="7" t="n"/>
      <c r="AJ61" s="7" t="n"/>
      <c r="AK61" s="7" t="n"/>
    </row>
    <row r="62" ht="15" customHeight="1" s="5">
      <c r="C62" s="7" t="n"/>
      <c r="D62" s="7" t="n"/>
      <c r="E62" s="7" t="n"/>
      <c r="F62" s="7" t="n"/>
      <c r="G62" s="7" t="n"/>
      <c r="J62" s="7" t="n"/>
      <c r="K62" s="7" t="n"/>
      <c r="M62" s="7" t="n"/>
      <c r="N62" s="7" t="n"/>
      <c r="O62" s="7" t="n"/>
      <c r="AJ62" s="7" t="n"/>
      <c r="AK62" s="7" t="n"/>
    </row>
    <row r="63" ht="15" customHeight="1" s="5">
      <c r="C63" s="7" t="n"/>
      <c r="D63" s="7" t="n"/>
      <c r="E63" s="7" t="n"/>
      <c r="F63" s="7" t="n"/>
      <c r="G63" s="7" t="n"/>
      <c r="J63" s="7" t="n"/>
      <c r="K63" s="7" t="n"/>
      <c r="M63" s="7" t="n"/>
      <c r="N63" s="7" t="n"/>
      <c r="O63" s="7" t="n"/>
      <c r="AJ63" s="7" t="n"/>
      <c r="AK63" s="7" t="n"/>
    </row>
    <row r="64" ht="15" customHeight="1" s="5">
      <c r="C64" s="7" t="n"/>
      <c r="D64" s="7" t="n"/>
      <c r="E64" s="7" t="n"/>
      <c r="F64" s="7" t="n"/>
      <c r="G64" s="7" t="n"/>
      <c r="J64" s="7" t="n"/>
      <c r="K64" s="7" t="n"/>
      <c r="M64" s="7" t="n"/>
      <c r="N64" s="7" t="n"/>
      <c r="O64" s="7" t="n"/>
      <c r="AJ64" s="7" t="n"/>
      <c r="AK64" s="7" t="n"/>
    </row>
    <row r="65" ht="15" customHeight="1" s="5">
      <c r="C65" s="7" t="n"/>
      <c r="D65" s="7" t="n"/>
      <c r="E65" s="7" t="n"/>
      <c r="F65" s="7" t="n"/>
      <c r="G65" s="7" t="n"/>
      <c r="J65" s="7" t="n"/>
      <c r="K65" s="7" t="n"/>
      <c r="M65" s="7" t="n"/>
      <c r="N65" s="7" t="n"/>
      <c r="O65" s="7" t="n"/>
      <c r="AJ65" s="7" t="n"/>
      <c r="AK65" s="7" t="n"/>
    </row>
    <row r="66" ht="15" customHeight="1" s="5">
      <c r="C66" s="7" t="n"/>
      <c r="D66" s="7" t="n"/>
      <c r="E66" s="7" t="n"/>
      <c r="F66" s="7" t="n"/>
      <c r="G66" s="7" t="n"/>
      <c r="J66" s="7" t="n"/>
      <c r="K66" s="7" t="n"/>
      <c r="M66" s="7" t="n"/>
      <c r="N66" s="7" t="n"/>
      <c r="O66" s="7" t="n"/>
      <c r="AJ66" s="7" t="n"/>
      <c r="AK66" s="7" t="n"/>
    </row>
    <row r="67" ht="15" customHeight="1" s="5">
      <c r="C67" s="7" t="n"/>
      <c r="D67" s="7" t="n"/>
      <c r="E67" s="7" t="n"/>
      <c r="F67" s="7" t="n"/>
      <c r="G67" s="7" t="n"/>
      <c r="J67" s="7" t="n"/>
      <c r="K67" s="7" t="n"/>
      <c r="M67" s="7" t="n"/>
      <c r="N67" s="7" t="n"/>
      <c r="O67" s="7" t="n"/>
      <c r="AJ67" s="7" t="n"/>
      <c r="AK67" s="7" t="n"/>
    </row>
    <row r="68" ht="15" customHeight="1" s="5">
      <c r="C68" s="7" t="n"/>
      <c r="D68" s="7" t="n"/>
      <c r="E68" s="7" t="n"/>
      <c r="F68" s="7" t="n"/>
      <c r="G68" s="7" t="n"/>
      <c r="J68" s="7" t="n"/>
      <c r="K68" s="7" t="n"/>
      <c r="M68" s="7" t="n"/>
      <c r="N68" s="7" t="n"/>
      <c r="O68" s="7" t="n"/>
      <c r="AJ68" s="7" t="n"/>
      <c r="AK68" s="7" t="n"/>
    </row>
    <row r="69" ht="15" customHeight="1" s="5">
      <c r="C69" s="7" t="n"/>
      <c r="D69" s="7" t="n"/>
      <c r="E69" s="7" t="n"/>
      <c r="F69" s="7" t="n"/>
      <c r="G69" s="7" t="n"/>
      <c r="J69" s="7" t="n"/>
      <c r="K69" s="7" t="n"/>
      <c r="M69" s="7" t="n"/>
      <c r="N69" s="7" t="n"/>
      <c r="O69" s="7" t="n"/>
      <c r="AJ69" s="7" t="n"/>
      <c r="AK69" s="7" t="n"/>
    </row>
    <row r="70" ht="15" customHeight="1" s="5">
      <c r="C70" s="7" t="n"/>
      <c r="D70" s="7" t="n"/>
      <c r="E70" s="7" t="n"/>
      <c r="F70" s="7" t="n"/>
      <c r="G70" s="7" t="n"/>
      <c r="J70" s="7" t="n"/>
      <c r="K70" s="7" t="n"/>
      <c r="M70" s="7" t="n"/>
      <c r="N70" s="7" t="n"/>
      <c r="O70" s="7" t="n"/>
      <c r="AJ70" s="7" t="n"/>
      <c r="AK70" s="7" t="n"/>
    </row>
    <row r="71" ht="15" customHeight="1" s="5">
      <c r="C71" s="7" t="n"/>
      <c r="D71" s="7" t="n"/>
      <c r="E71" s="7" t="n"/>
      <c r="F71" s="7" t="n"/>
      <c r="G71" s="7" t="n"/>
      <c r="J71" s="7" t="n"/>
      <c r="K71" s="7" t="n"/>
      <c r="M71" s="7" t="n"/>
      <c r="N71" s="7" t="n"/>
      <c r="O71" s="7" t="n"/>
      <c r="AJ71" s="7" t="n"/>
      <c r="AK71" s="7" t="n"/>
    </row>
    <row r="72" ht="15" customHeight="1" s="5">
      <c r="C72" s="7" t="n"/>
      <c r="D72" s="7" t="n"/>
      <c r="E72" s="7" t="n"/>
      <c r="F72" s="7" t="n"/>
      <c r="G72" s="7" t="n"/>
      <c r="J72" s="7" t="n"/>
      <c r="K72" s="7" t="n"/>
      <c r="M72" s="7" t="n"/>
      <c r="N72" s="7" t="n"/>
      <c r="O72" s="7" t="n"/>
      <c r="AJ72" s="7" t="n"/>
      <c r="AK72" s="7" t="n"/>
    </row>
    <row r="73" ht="15" customHeight="1" s="5">
      <c r="C73" s="7" t="n"/>
      <c r="D73" s="7" t="n"/>
      <c r="E73" s="7" t="n"/>
      <c r="F73" s="7" t="n"/>
      <c r="G73" s="7" t="n"/>
      <c r="J73" s="7" t="n"/>
      <c r="K73" s="7" t="n"/>
      <c r="M73" s="7" t="n"/>
      <c r="N73" s="7" t="n"/>
      <c r="O73" s="7" t="n"/>
      <c r="AJ73" s="7" t="n"/>
      <c r="AK73" s="7" t="n"/>
    </row>
    <row r="74" ht="15" customHeight="1" s="5">
      <c r="C74" s="7" t="n"/>
      <c r="D74" s="7" t="n"/>
      <c r="E74" s="7" t="n"/>
      <c r="F74" s="7" t="n"/>
      <c r="G74" s="7" t="n"/>
      <c r="J74" s="7" t="n"/>
      <c r="K74" s="7" t="n"/>
      <c r="M74" s="7" t="n"/>
      <c r="N74" s="7" t="n"/>
      <c r="O74" s="7" t="n"/>
      <c r="AJ74" s="7" t="n"/>
      <c r="AK74" s="7" t="n"/>
    </row>
    <row r="75" ht="15" customHeight="1" s="5">
      <c r="C75" s="7" t="n"/>
      <c r="D75" s="7" t="n"/>
      <c r="E75" s="7" t="n"/>
      <c r="F75" s="7" t="n"/>
      <c r="G75" s="7" t="n"/>
      <c r="J75" s="7" t="n"/>
      <c r="K75" s="7" t="n"/>
      <c r="M75" s="7" t="n"/>
      <c r="N75" s="7" t="n"/>
      <c r="O75" s="7" t="n"/>
      <c r="AJ75" s="7" t="n"/>
      <c r="AK75" s="7" t="n"/>
    </row>
    <row r="76" ht="15" customHeight="1" s="5">
      <c r="C76" s="7" t="n"/>
      <c r="D76" s="7" t="n"/>
      <c r="E76" s="7" t="n"/>
      <c r="F76" s="7" t="n"/>
      <c r="G76" s="7" t="n"/>
      <c r="J76" s="7" t="n"/>
      <c r="K76" s="7" t="n"/>
      <c r="M76" s="7" t="n"/>
      <c r="N76" s="7" t="n"/>
      <c r="O76" s="7" t="n"/>
      <c r="AJ76" s="7" t="n"/>
      <c r="AK76" s="7" t="n"/>
    </row>
    <row r="77" ht="15" customHeight="1" s="5">
      <c r="C77" s="7" t="n"/>
      <c r="D77" s="7" t="n"/>
      <c r="E77" s="7" t="n"/>
      <c r="F77" s="7" t="n"/>
      <c r="G77" s="7" t="n"/>
      <c r="J77" s="7" t="n"/>
      <c r="K77" s="7" t="n"/>
      <c r="M77" s="7" t="n"/>
      <c r="N77" s="7" t="n"/>
      <c r="O77" s="7" t="n"/>
      <c r="AJ77" s="7" t="n"/>
      <c r="AK77" s="7" t="n"/>
    </row>
    <row r="78" ht="15" customHeight="1" s="5">
      <c r="C78" s="7" t="n"/>
      <c r="D78" s="7" t="n"/>
      <c r="E78" s="7" t="n"/>
      <c r="F78" s="7" t="n"/>
      <c r="G78" s="7" t="n"/>
      <c r="J78" s="7" t="n"/>
      <c r="K78" s="7" t="n"/>
      <c r="M78" s="7" t="n"/>
      <c r="N78" s="7" t="n"/>
      <c r="O78" s="7" t="n"/>
      <c r="AJ78" s="7" t="n"/>
      <c r="AK78" s="7" t="n"/>
    </row>
    <row r="79" ht="15" customHeight="1" s="5">
      <c r="C79" s="7" t="n"/>
      <c r="D79" s="7" t="n"/>
      <c r="E79" s="7" t="n"/>
      <c r="F79" s="7" t="n"/>
      <c r="G79" s="7" t="n"/>
      <c r="J79" s="7" t="n"/>
      <c r="K79" s="7" t="n"/>
      <c r="M79" s="7" t="n"/>
      <c r="N79" s="7" t="n"/>
      <c r="O79" s="7" t="n"/>
      <c r="AJ79" s="7" t="n"/>
      <c r="AK79" s="7" t="n"/>
    </row>
    <row r="80" ht="15" customHeight="1" s="5">
      <c r="C80" s="7" t="n"/>
      <c r="D80" s="7" t="n"/>
      <c r="E80" s="7" t="n"/>
      <c r="F80" s="7" t="n"/>
      <c r="G80" s="7" t="n"/>
      <c r="J80" s="7" t="n"/>
      <c r="K80" s="7" t="n"/>
      <c r="M80" s="7" t="n"/>
      <c r="N80" s="7" t="n"/>
      <c r="O80" s="7" t="n"/>
      <c r="AJ80" s="7" t="n"/>
      <c r="AK80" s="7" t="n"/>
    </row>
    <row r="81" ht="15" customHeight="1" s="5">
      <c r="C81" s="7" t="n"/>
      <c r="D81" s="7" t="n"/>
      <c r="E81" s="7" t="n"/>
      <c r="F81" s="7" t="n"/>
      <c r="G81" s="7" t="n"/>
      <c r="J81" s="7" t="n"/>
      <c r="K81" s="7" t="n"/>
      <c r="M81" s="7" t="n"/>
      <c r="N81" s="7" t="n"/>
      <c r="O81" s="7" t="n"/>
      <c r="AJ81" s="7" t="n"/>
      <c r="AK81" s="7" t="n"/>
    </row>
    <row r="82" ht="15" customHeight="1" s="5">
      <c r="C82" s="7" t="n"/>
      <c r="D82" s="7" t="n"/>
      <c r="E82" s="7" t="n"/>
      <c r="F82" s="7" t="n"/>
      <c r="G82" s="7" t="n"/>
      <c r="J82" s="7" t="n"/>
      <c r="K82" s="7" t="n"/>
      <c r="M82" s="7" t="n"/>
      <c r="N82" s="7" t="n"/>
      <c r="O82" s="7" t="n"/>
      <c r="AJ82" s="7" t="n"/>
      <c r="AK82" s="7" t="n"/>
    </row>
    <row r="83" ht="15" customHeight="1" s="5">
      <c r="C83" s="7" t="n"/>
      <c r="D83" s="7" t="n"/>
      <c r="E83" s="7" t="n"/>
      <c r="F83" s="7" t="n"/>
      <c r="G83" s="7" t="n"/>
      <c r="J83" s="7" t="n"/>
      <c r="K83" s="7" t="n"/>
      <c r="M83" s="7" t="n"/>
      <c r="N83" s="7" t="n"/>
      <c r="O83" s="7" t="n"/>
      <c r="AJ83" s="7" t="n"/>
      <c r="AK83" s="7" t="n"/>
    </row>
    <row r="84" ht="15" customHeight="1" s="5">
      <c r="C84" s="7" t="n"/>
      <c r="D84" s="7" t="n"/>
      <c r="E84" s="7" t="n"/>
      <c r="F84" s="7" t="n"/>
      <c r="G84" s="7" t="n"/>
      <c r="J84" s="7" t="n"/>
      <c r="K84" s="7" t="n"/>
      <c r="M84" s="7" t="n"/>
      <c r="N84" s="7" t="n"/>
      <c r="O84" s="7" t="n"/>
      <c r="AJ84" s="7" t="n"/>
      <c r="AK84" s="7" t="n"/>
    </row>
    <row r="85" ht="15" customHeight="1" s="5">
      <c r="C85" s="7" t="n"/>
      <c r="D85" s="7" t="n"/>
      <c r="E85" s="7" t="n"/>
      <c r="F85" s="7" t="n"/>
      <c r="G85" s="7" t="n"/>
      <c r="J85" s="7" t="n"/>
      <c r="K85" s="7" t="n"/>
      <c r="M85" s="7" t="n"/>
      <c r="N85" s="7" t="n"/>
      <c r="O85" s="7" t="n"/>
      <c r="AJ85" s="7" t="n"/>
      <c r="AK85" s="7" t="n"/>
    </row>
    <row r="86" ht="15" customHeight="1" s="5">
      <c r="C86" s="7" t="n"/>
      <c r="D86" s="7" t="n"/>
      <c r="E86" s="7" t="n"/>
      <c r="F86" s="7" t="n"/>
      <c r="G86" s="7" t="n"/>
      <c r="J86" s="7" t="n"/>
      <c r="K86" s="7" t="n"/>
      <c r="M86" s="7" t="n"/>
      <c r="N86" s="7" t="n"/>
      <c r="O86" s="7" t="n"/>
      <c r="AJ86" s="7" t="n"/>
      <c r="AK86" s="7" t="n"/>
    </row>
    <row r="87" ht="15" customHeight="1" s="5">
      <c r="C87" s="7" t="n"/>
      <c r="D87" s="7" t="n"/>
      <c r="E87" s="7" t="n"/>
      <c r="F87" s="7" t="n"/>
      <c r="G87" s="7" t="n"/>
      <c r="J87" s="7" t="n"/>
      <c r="K87" s="7" t="n"/>
      <c r="M87" s="7" t="n"/>
      <c r="N87" s="7" t="n"/>
      <c r="O87" s="7" t="n"/>
      <c r="AJ87" s="7" t="n"/>
      <c r="AK87" s="7" t="n"/>
    </row>
    <row r="88" ht="15" customHeight="1" s="5">
      <c r="C88" s="7" t="n"/>
      <c r="D88" s="7" t="n"/>
      <c r="E88" s="7" t="n"/>
      <c r="F88" s="7" t="n"/>
      <c r="G88" s="7" t="n"/>
      <c r="J88" s="7" t="n"/>
      <c r="K88" s="7" t="n"/>
      <c r="M88" s="7" t="n"/>
      <c r="N88" s="7" t="n"/>
      <c r="O88" s="7" t="n"/>
      <c r="AJ88" s="7" t="n"/>
      <c r="AK88" s="7" t="n"/>
    </row>
    <row r="89" ht="15" customHeight="1" s="5">
      <c r="C89" s="7" t="n"/>
      <c r="D89" s="7" t="n"/>
      <c r="E89" s="7" t="n"/>
      <c r="F89" s="7" t="n"/>
      <c r="G89" s="7" t="n"/>
      <c r="J89" s="7" t="n"/>
      <c r="K89" s="7" t="n"/>
      <c r="M89" s="7" t="n"/>
      <c r="N89" s="7" t="n"/>
      <c r="O89" s="7" t="n"/>
      <c r="AJ89" s="7" t="n"/>
      <c r="AK89" s="7" t="n"/>
    </row>
    <row r="90" ht="15" customHeight="1" s="5">
      <c r="C90" s="7" t="n"/>
      <c r="D90" s="7" t="n"/>
      <c r="E90" s="7" t="n"/>
      <c r="F90" s="7" t="n"/>
      <c r="G90" s="7" t="n"/>
      <c r="J90" s="7" t="n"/>
      <c r="K90" s="7" t="n"/>
      <c r="M90" s="7" t="n"/>
      <c r="N90" s="7" t="n"/>
      <c r="O90" s="7" t="n"/>
      <c r="AJ90" s="7" t="n"/>
      <c r="AK90" s="7" t="n"/>
    </row>
    <row r="91" ht="15" customHeight="1" s="5">
      <c r="C91" s="7" t="n"/>
      <c r="D91" s="7" t="n"/>
      <c r="E91" s="7" t="n"/>
      <c r="F91" s="7" t="n"/>
      <c r="G91" s="7" t="n"/>
      <c r="J91" s="7" t="n"/>
      <c r="K91" s="7" t="n"/>
      <c r="M91" s="7" t="n"/>
      <c r="N91" s="7" t="n"/>
      <c r="O91" s="7" t="n"/>
      <c r="AJ91" s="7" t="n"/>
      <c r="AK91" s="7" t="n"/>
    </row>
    <row r="92" ht="15" customHeight="1" s="5">
      <c r="C92" s="7" t="n"/>
      <c r="D92" s="7" t="n"/>
      <c r="E92" s="7" t="n"/>
      <c r="F92" s="7" t="n"/>
      <c r="G92" s="7" t="n"/>
      <c r="J92" s="7" t="n"/>
      <c r="K92" s="7" t="n"/>
      <c r="M92" s="7" t="n"/>
      <c r="N92" s="7" t="n"/>
      <c r="O92" s="7" t="n"/>
      <c r="AJ92" s="7" t="n"/>
      <c r="AK92" s="7" t="n"/>
    </row>
    <row r="93" ht="15" customHeight="1" s="5">
      <c r="C93" s="7" t="n"/>
      <c r="D93" s="7" t="n"/>
      <c r="E93" s="7" t="n"/>
      <c r="F93" s="7" t="n"/>
      <c r="G93" s="7" t="n"/>
      <c r="J93" s="7" t="n"/>
      <c r="K93" s="7" t="n"/>
      <c r="M93" s="7" t="n"/>
      <c r="N93" s="7" t="n"/>
      <c r="O93" s="7" t="n"/>
      <c r="AJ93" s="7" t="n"/>
      <c r="AK93" s="7" t="n"/>
    </row>
    <row r="94" ht="15" customHeight="1" s="5">
      <c r="C94" s="7" t="n"/>
      <c r="D94" s="7" t="n"/>
      <c r="E94" s="7" t="n"/>
      <c r="F94" s="7" t="n"/>
      <c r="G94" s="7" t="n"/>
      <c r="J94" s="7" t="n"/>
      <c r="K94" s="7" t="n"/>
      <c r="M94" s="7" t="n"/>
      <c r="N94" s="7" t="n"/>
      <c r="O94" s="7" t="n"/>
      <c r="AJ94" s="7" t="n"/>
      <c r="AK94" s="7" t="n"/>
    </row>
    <row r="95" ht="15" customHeight="1" s="5">
      <c r="C95" s="7" t="n"/>
      <c r="D95" s="7" t="n"/>
      <c r="E95" s="7" t="n"/>
      <c r="F95" s="7" t="n"/>
      <c r="G95" s="7" t="n"/>
      <c r="J95" s="7" t="n"/>
      <c r="K95" s="7" t="n"/>
      <c r="M95" s="7" t="n"/>
      <c r="N95" s="7" t="n"/>
      <c r="O95" s="7" t="n"/>
      <c r="AJ95" s="7" t="n"/>
      <c r="AK95" s="7" t="n"/>
    </row>
    <row r="96" ht="15" customHeight="1" s="5">
      <c r="C96" s="7" t="n"/>
      <c r="D96" s="7" t="n"/>
      <c r="E96" s="7" t="n"/>
      <c r="F96" s="7" t="n"/>
      <c r="G96" s="7" t="n"/>
      <c r="J96" s="7" t="n"/>
      <c r="K96" s="7" t="n"/>
      <c r="M96" s="7" t="n"/>
      <c r="N96" s="7" t="n"/>
      <c r="O96" s="7" t="n"/>
      <c r="AJ96" s="7" t="n"/>
      <c r="AK96" s="7" t="n"/>
    </row>
    <row r="97" ht="15" customHeight="1" s="5">
      <c r="C97" s="7" t="n"/>
      <c r="D97" s="7" t="n"/>
      <c r="E97" s="7" t="n"/>
      <c r="F97" s="7" t="n"/>
      <c r="G97" s="7" t="n"/>
      <c r="J97" s="7" t="n"/>
      <c r="K97" s="7" t="n"/>
      <c r="M97" s="7" t="n"/>
      <c r="N97" s="7" t="n"/>
      <c r="O97" s="7" t="n"/>
      <c r="AJ97" s="7" t="n"/>
      <c r="AK97" s="7" t="n"/>
    </row>
    <row r="98" ht="15" customHeight="1" s="5">
      <c r="C98" s="7" t="n"/>
      <c r="D98" s="7" t="n"/>
      <c r="E98" s="7" t="n"/>
      <c r="F98" s="7" t="n"/>
      <c r="G98" s="7" t="n"/>
      <c r="J98" s="7" t="n"/>
      <c r="K98" s="7" t="n"/>
      <c r="M98" s="7" t="n"/>
      <c r="N98" s="7" t="n"/>
      <c r="O98" s="7" t="n"/>
      <c r="AJ98" s="7" t="n"/>
      <c r="AK98" s="7" t="n"/>
    </row>
    <row r="99" ht="15" customHeight="1" s="5">
      <c r="C99" s="7" t="n"/>
      <c r="D99" s="7" t="n"/>
      <c r="E99" s="7" t="n"/>
      <c r="F99" s="7" t="n"/>
      <c r="G99" s="7" t="n"/>
      <c r="J99" s="7" t="n"/>
      <c r="K99" s="7" t="n"/>
      <c r="M99" s="7" t="n"/>
      <c r="N99" s="7" t="n"/>
      <c r="O99" s="7" t="n"/>
      <c r="AJ99" s="7" t="n"/>
      <c r="AK99" s="7" t="n"/>
    </row>
    <row r="100" ht="15" customHeight="1" s="5">
      <c r="C100" s="7" t="n"/>
      <c r="D100" s="7" t="n"/>
      <c r="E100" s="7" t="n"/>
      <c r="F100" s="7" t="n"/>
      <c r="G100" s="7" t="n"/>
      <c r="J100" s="7" t="n"/>
      <c r="K100" s="7" t="n"/>
      <c r="M100" s="7" t="n"/>
      <c r="N100" s="7" t="n"/>
      <c r="O100" s="7" t="n"/>
      <c r="AJ100" s="7" t="n"/>
      <c r="AK100" s="7" t="n"/>
    </row>
    <row r="101" ht="15" customHeight="1" s="5">
      <c r="C101" s="7" t="n"/>
      <c r="D101" s="7" t="n"/>
      <c r="E101" s="7" t="n"/>
      <c r="F101" s="7" t="n"/>
      <c r="G101" s="7" t="n"/>
      <c r="J101" s="7" t="n"/>
      <c r="K101" s="7" t="n"/>
      <c r="M101" s="7" t="n"/>
      <c r="N101" s="7" t="n"/>
      <c r="O101" s="7" t="n"/>
      <c r="AJ101" s="7" t="n"/>
      <c r="AK101" s="7" t="n"/>
    </row>
    <row r="102" ht="15" customHeight="1" s="5">
      <c r="C102" s="7" t="n"/>
      <c r="D102" s="7" t="n"/>
      <c r="E102" s="7" t="n"/>
      <c r="F102" s="7" t="n"/>
      <c r="G102" s="7" t="n"/>
      <c r="J102" s="7" t="n"/>
      <c r="K102" s="7" t="n"/>
      <c r="M102" s="7" t="n"/>
      <c r="N102" s="7" t="n"/>
      <c r="O102" s="7" t="n"/>
      <c r="AJ102" s="7" t="n"/>
      <c r="AK102" s="7" t="n"/>
    </row>
    <row r="103" ht="15" customHeight="1" s="5">
      <c r="C103" s="7" t="n"/>
      <c r="D103" s="7" t="n"/>
      <c r="E103" s="7" t="n"/>
      <c r="F103" s="7" t="n"/>
      <c r="G103" s="7" t="n"/>
      <c r="J103" s="7" t="n"/>
      <c r="K103" s="7" t="n"/>
      <c r="M103" s="7" t="n"/>
      <c r="N103" s="7" t="n"/>
      <c r="O103" s="7" t="n"/>
      <c r="AJ103" s="7" t="n"/>
      <c r="AK103" s="7" t="n"/>
    </row>
    <row r="104" ht="15" customHeight="1" s="5">
      <c r="C104" s="7" t="n"/>
      <c r="D104" s="7" t="n"/>
      <c r="E104" s="7" t="n"/>
      <c r="F104" s="7" t="n"/>
      <c r="G104" s="7" t="n"/>
      <c r="J104" s="7" t="n"/>
      <c r="K104" s="7" t="n"/>
      <c r="M104" s="7" t="n"/>
      <c r="N104" s="7" t="n"/>
      <c r="O104" s="7" t="n"/>
      <c r="AJ104" s="7" t="n"/>
      <c r="AK104" s="7" t="n"/>
    </row>
    <row r="105" ht="15" customHeight="1" s="5">
      <c r="C105" s="7" t="n"/>
      <c r="D105" s="7" t="n"/>
      <c r="E105" s="7" t="n"/>
      <c r="F105" s="7" t="n"/>
      <c r="G105" s="7" t="n"/>
      <c r="J105" s="7" t="n"/>
      <c r="K105" s="7" t="n"/>
      <c r="M105" s="7" t="n"/>
      <c r="N105" s="7" t="n"/>
      <c r="O105" s="7" t="n"/>
      <c r="AJ105" s="7" t="n"/>
      <c r="AK105" s="7" t="n"/>
    </row>
    <row r="106" ht="15" customHeight="1" s="5">
      <c r="C106" s="7" t="n"/>
      <c r="D106" s="7" t="n"/>
      <c r="E106" s="7" t="n"/>
      <c r="F106" s="7" t="n"/>
      <c r="G106" s="7" t="n"/>
      <c r="J106" s="7" t="n"/>
      <c r="K106" s="7" t="n"/>
      <c r="M106" s="7" t="n"/>
      <c r="N106" s="7" t="n"/>
      <c r="O106" s="7" t="n"/>
      <c r="AJ106" s="7" t="n"/>
      <c r="AK106" s="7" t="n"/>
    </row>
    <row r="107" ht="15" customHeight="1" s="5">
      <c r="C107" s="7" t="n"/>
      <c r="D107" s="7" t="n"/>
      <c r="E107" s="7" t="n"/>
      <c r="F107" s="7" t="n"/>
      <c r="G107" s="7" t="n"/>
      <c r="J107" s="7" t="n"/>
      <c r="K107" s="7" t="n"/>
      <c r="M107" s="7" t="n"/>
      <c r="N107" s="7" t="n"/>
      <c r="O107" s="7" t="n"/>
      <c r="AJ107" s="7" t="n"/>
      <c r="AK107" s="7" t="n"/>
    </row>
    <row r="108" ht="15" customHeight="1" s="5">
      <c r="C108" s="7" t="n"/>
      <c r="D108" s="7" t="n"/>
      <c r="E108" s="7" t="n"/>
      <c r="F108" s="7" t="n"/>
      <c r="G108" s="7" t="n"/>
      <c r="J108" s="7" t="n"/>
      <c r="K108" s="7" t="n"/>
      <c r="M108" s="7" t="n"/>
      <c r="N108" s="7" t="n"/>
      <c r="O108" s="7" t="n"/>
      <c r="AJ108" s="7" t="n"/>
      <c r="AK108" s="7" t="n"/>
    </row>
    <row r="109" ht="15" customHeight="1" s="5">
      <c r="C109" s="7" t="n"/>
      <c r="D109" s="7" t="n"/>
      <c r="E109" s="7" t="n"/>
      <c r="F109" s="7" t="n"/>
      <c r="G109" s="7" t="n"/>
      <c r="J109" s="7" t="n"/>
      <c r="K109" s="7" t="n"/>
      <c r="M109" s="7" t="n"/>
      <c r="N109" s="7" t="n"/>
      <c r="O109" s="7" t="n"/>
      <c r="AJ109" s="7" t="n"/>
      <c r="AK109" s="7" t="n"/>
    </row>
    <row r="110" ht="15" customHeight="1" s="5">
      <c r="C110" s="7" t="n"/>
      <c r="D110" s="7" t="n"/>
      <c r="E110" s="7" t="n"/>
      <c r="F110" s="7" t="n"/>
      <c r="G110" s="7" t="n"/>
      <c r="J110" s="7" t="n"/>
      <c r="K110" s="7" t="n"/>
      <c r="M110" s="7" t="n"/>
      <c r="N110" s="7" t="n"/>
      <c r="O110" s="7" t="n"/>
      <c r="AJ110" s="7" t="n"/>
      <c r="AK110" s="7" t="n"/>
    </row>
    <row r="111" ht="15" customHeight="1" s="5">
      <c r="C111" s="7" t="n"/>
      <c r="D111" s="7" t="n"/>
      <c r="E111" s="7" t="n"/>
      <c r="F111" s="7" t="n"/>
      <c r="G111" s="7" t="n"/>
      <c r="J111" s="7" t="n"/>
      <c r="K111" s="7" t="n"/>
      <c r="M111" s="7" t="n"/>
      <c r="N111" s="7" t="n"/>
      <c r="O111" s="7" t="n"/>
      <c r="AJ111" s="7" t="n"/>
      <c r="AK111" s="7" t="n"/>
    </row>
    <row r="112" ht="15" customHeight="1" s="5">
      <c r="C112" s="7" t="n"/>
      <c r="D112" s="7" t="n"/>
      <c r="E112" s="7" t="n"/>
      <c r="F112" s="7" t="n"/>
      <c r="G112" s="7" t="n"/>
      <c r="J112" s="7" t="n"/>
      <c r="K112" s="7" t="n"/>
      <c r="M112" s="7" t="n"/>
      <c r="N112" s="7" t="n"/>
      <c r="O112" s="7" t="n"/>
      <c r="AJ112" s="7" t="n"/>
      <c r="AK112" s="7" t="n"/>
    </row>
    <row r="113" ht="15" customHeight="1" s="5">
      <c r="C113" s="7" t="n"/>
      <c r="D113" s="7" t="n"/>
      <c r="E113" s="7" t="n"/>
      <c r="F113" s="7" t="n"/>
      <c r="G113" s="7" t="n"/>
      <c r="J113" s="7" t="n"/>
      <c r="K113" s="7" t="n"/>
      <c r="M113" s="7" t="n"/>
      <c r="N113" s="7" t="n"/>
      <c r="O113" s="7" t="n"/>
      <c r="AJ113" s="7" t="n"/>
      <c r="AK113" s="7" t="n"/>
    </row>
    <row r="114" ht="15" customHeight="1" s="5">
      <c r="C114" s="7" t="n"/>
      <c r="D114" s="7" t="n"/>
      <c r="E114" s="7" t="n"/>
      <c r="F114" s="7" t="n"/>
      <c r="G114" s="7" t="n"/>
      <c r="J114" s="7" t="n"/>
      <c r="K114" s="7" t="n"/>
      <c r="M114" s="7" t="n"/>
      <c r="N114" s="7" t="n"/>
      <c r="O114" s="7" t="n"/>
      <c r="AJ114" s="7" t="n"/>
      <c r="AK114" s="7" t="n"/>
    </row>
    <row r="115" ht="15" customHeight="1" s="5">
      <c r="C115" s="7" t="n"/>
      <c r="D115" s="7" t="n"/>
      <c r="E115" s="7" t="n"/>
      <c r="F115" s="7" t="n"/>
      <c r="G115" s="7" t="n"/>
      <c r="J115" s="7" t="n"/>
      <c r="K115" s="7" t="n"/>
      <c r="M115" s="7" t="n"/>
      <c r="N115" s="7" t="n"/>
      <c r="O115" s="7" t="n"/>
      <c r="AJ115" s="7" t="n"/>
      <c r="AK115" s="7" t="n"/>
    </row>
    <row r="116" ht="15" customHeight="1" s="5">
      <c r="C116" s="7" t="n"/>
      <c r="D116" s="7" t="n"/>
      <c r="E116" s="7" t="n"/>
      <c r="F116" s="7" t="n"/>
      <c r="G116" s="7" t="n"/>
      <c r="J116" s="7" t="n"/>
      <c r="K116" s="7" t="n"/>
      <c r="M116" s="7" t="n"/>
      <c r="N116" s="7" t="n"/>
      <c r="O116" s="7" t="n"/>
      <c r="AJ116" s="7" t="n"/>
      <c r="AK116" s="7" t="n"/>
    </row>
    <row r="117" ht="15" customHeight="1" s="5">
      <c r="C117" s="7" t="n"/>
      <c r="D117" s="7" t="n"/>
      <c r="E117" s="7" t="n"/>
      <c r="F117" s="7" t="n"/>
      <c r="G117" s="7" t="n"/>
      <c r="J117" s="7" t="n"/>
      <c r="K117" s="7" t="n"/>
      <c r="M117" s="7" t="n"/>
      <c r="N117" s="7" t="n"/>
      <c r="O117" s="7" t="n"/>
      <c r="AJ117" s="7" t="n"/>
      <c r="AK117" s="7" t="n"/>
    </row>
    <row r="118" ht="15" customHeight="1" s="5">
      <c r="C118" s="7" t="n"/>
      <c r="D118" s="7" t="n"/>
      <c r="E118" s="7" t="n"/>
      <c r="F118" s="7" t="n"/>
      <c r="G118" s="7" t="n"/>
      <c r="J118" s="7" t="n"/>
      <c r="K118" s="7" t="n"/>
      <c r="M118" s="7" t="n"/>
      <c r="N118" s="7" t="n"/>
      <c r="O118" s="7" t="n"/>
      <c r="AJ118" s="7" t="n"/>
      <c r="AK118" s="7" t="n"/>
    </row>
    <row r="119" ht="15" customHeight="1" s="5">
      <c r="C119" s="7" t="n"/>
      <c r="D119" s="7" t="n"/>
      <c r="E119" s="7" t="n"/>
      <c r="F119" s="7" t="n"/>
      <c r="G119" s="7" t="n"/>
      <c r="J119" s="7" t="n"/>
      <c r="K119" s="7" t="n"/>
      <c r="M119" s="7" t="n"/>
      <c r="N119" s="7" t="n"/>
      <c r="O119" s="7" t="n"/>
      <c r="AJ119" s="7" t="n"/>
      <c r="AK119" s="7" t="n"/>
    </row>
    <row r="120" ht="15" customHeight="1" s="5">
      <c r="C120" s="7" t="n"/>
      <c r="D120" s="7" t="n"/>
      <c r="E120" s="7" t="n"/>
      <c r="F120" s="7" t="n"/>
      <c r="G120" s="7" t="n"/>
      <c r="J120" s="7" t="n"/>
      <c r="K120" s="7" t="n"/>
      <c r="M120" s="7" t="n"/>
      <c r="N120" s="7" t="n"/>
      <c r="O120" s="7" t="n"/>
      <c r="AJ120" s="7" t="n"/>
      <c r="AK120" s="7" t="n"/>
    </row>
    <row r="121" ht="15" customHeight="1" s="5">
      <c r="C121" s="7" t="n"/>
      <c r="D121" s="7" t="n"/>
      <c r="E121" s="7" t="n"/>
      <c r="F121" s="7" t="n"/>
      <c r="G121" s="7" t="n"/>
      <c r="J121" s="7" t="n"/>
      <c r="K121" s="7" t="n"/>
      <c r="M121" s="7" t="n"/>
      <c r="N121" s="7" t="n"/>
      <c r="O121" s="7" t="n"/>
      <c r="AJ121" s="7" t="n"/>
      <c r="AK121" s="7" t="n"/>
    </row>
    <row r="122" ht="15" customHeight="1" s="5">
      <c r="C122" s="7" t="n"/>
      <c r="D122" s="7" t="n"/>
      <c r="E122" s="7" t="n"/>
      <c r="F122" s="7" t="n"/>
      <c r="G122" s="7" t="n"/>
      <c r="J122" s="7" t="n"/>
      <c r="K122" s="7" t="n"/>
      <c r="M122" s="7" t="n"/>
      <c r="N122" s="7" t="n"/>
      <c r="O122" s="7" t="n"/>
      <c r="AJ122" s="7" t="n"/>
      <c r="AK122" s="7" t="n"/>
    </row>
    <row r="123" ht="15" customHeight="1" s="5">
      <c r="C123" s="7" t="n"/>
      <c r="D123" s="7" t="n"/>
      <c r="E123" s="7" t="n"/>
      <c r="F123" s="7" t="n"/>
      <c r="G123" s="7" t="n"/>
      <c r="J123" s="7" t="n"/>
      <c r="K123" s="7" t="n"/>
      <c r="M123" s="7" t="n"/>
      <c r="N123" s="7" t="n"/>
      <c r="O123" s="7" t="n"/>
      <c r="AJ123" s="7" t="n"/>
      <c r="AK123" s="7" t="n"/>
    </row>
    <row r="124" ht="15" customHeight="1" s="5">
      <c r="C124" s="7" t="n"/>
      <c r="D124" s="7" t="n"/>
      <c r="E124" s="7" t="n"/>
      <c r="F124" s="7" t="n"/>
      <c r="G124" s="7" t="n"/>
      <c r="J124" s="7" t="n"/>
      <c r="K124" s="7" t="n"/>
      <c r="M124" s="7" t="n"/>
      <c r="N124" s="7" t="n"/>
      <c r="O124" s="7" t="n"/>
      <c r="AJ124" s="7" t="n"/>
      <c r="AK124" s="7" t="n"/>
    </row>
    <row r="125" ht="15" customHeight="1" s="5">
      <c r="C125" s="7" t="n"/>
      <c r="D125" s="7" t="n"/>
      <c r="E125" s="7" t="n"/>
      <c r="F125" s="7" t="n"/>
      <c r="G125" s="7" t="n"/>
      <c r="J125" s="7" t="n"/>
      <c r="K125" s="7" t="n"/>
      <c r="M125" s="7" t="n"/>
      <c r="N125" s="7" t="n"/>
      <c r="O125" s="7" t="n"/>
      <c r="AJ125" s="7" t="n"/>
      <c r="AK125" s="7" t="n"/>
    </row>
    <row r="126" ht="15" customHeight="1" s="5">
      <c r="C126" s="7" t="n"/>
      <c r="D126" s="7" t="n"/>
      <c r="E126" s="7" t="n"/>
      <c r="F126" s="7" t="n"/>
      <c r="G126" s="7" t="n"/>
      <c r="J126" s="7" t="n"/>
      <c r="K126" s="7" t="n"/>
      <c r="M126" s="7" t="n"/>
      <c r="N126" s="7" t="n"/>
      <c r="O126" s="7" t="n"/>
      <c r="AJ126" s="7" t="n"/>
      <c r="AK126" s="7" t="n"/>
    </row>
    <row r="127" ht="15" customHeight="1" s="5">
      <c r="C127" s="7" t="n"/>
      <c r="D127" s="7" t="n"/>
      <c r="E127" s="7" t="n"/>
      <c r="F127" s="7" t="n"/>
      <c r="G127" s="7" t="n"/>
      <c r="J127" s="7" t="n"/>
      <c r="K127" s="7" t="n"/>
      <c r="M127" s="7" t="n"/>
      <c r="N127" s="7" t="n"/>
      <c r="O127" s="7" t="n"/>
      <c r="AJ127" s="7" t="n"/>
      <c r="AK127" s="7" t="n"/>
    </row>
    <row r="128" ht="15" customHeight="1" s="5">
      <c r="C128" s="7" t="n"/>
      <c r="D128" s="7" t="n"/>
      <c r="E128" s="7" t="n"/>
      <c r="F128" s="7" t="n"/>
      <c r="G128" s="7" t="n"/>
      <c r="J128" s="7" t="n"/>
      <c r="K128" s="7" t="n"/>
      <c r="M128" s="7" t="n"/>
      <c r="N128" s="7" t="n"/>
      <c r="O128" s="7" t="n"/>
      <c r="AJ128" s="7" t="n"/>
      <c r="AK128" s="7" t="n"/>
    </row>
    <row r="129" ht="15" customHeight="1" s="5">
      <c r="C129" s="7" t="n"/>
      <c r="D129" s="7" t="n"/>
      <c r="E129" s="7" t="n"/>
      <c r="F129" s="7" t="n"/>
      <c r="G129" s="7" t="n"/>
      <c r="J129" s="7" t="n"/>
      <c r="K129" s="7" t="n"/>
      <c r="M129" s="7" t="n"/>
      <c r="N129" s="7" t="n"/>
      <c r="O129" s="7" t="n"/>
      <c r="AJ129" s="7" t="n"/>
      <c r="AK129" s="7" t="n"/>
    </row>
    <row r="130" ht="15" customHeight="1" s="5">
      <c r="C130" s="7" t="n"/>
      <c r="D130" s="7" t="n"/>
      <c r="E130" s="7" t="n"/>
      <c r="F130" s="7" t="n"/>
      <c r="G130" s="7" t="n"/>
      <c r="J130" s="7" t="n"/>
      <c r="K130" s="7" t="n"/>
      <c r="M130" s="7" t="n"/>
      <c r="N130" s="7" t="n"/>
      <c r="O130" s="7" t="n"/>
      <c r="AJ130" s="7" t="n"/>
      <c r="AK130" s="7" t="n"/>
    </row>
    <row r="131" ht="15" customHeight="1" s="5">
      <c r="C131" s="7" t="n"/>
      <c r="D131" s="7" t="n"/>
      <c r="E131" s="7" t="n"/>
      <c r="F131" s="7" t="n"/>
      <c r="G131" s="7" t="n"/>
      <c r="J131" s="7" t="n"/>
      <c r="K131" s="7" t="n"/>
      <c r="M131" s="7" t="n"/>
      <c r="N131" s="7" t="n"/>
      <c r="O131" s="7" t="n"/>
      <c r="AJ131" s="7" t="n"/>
      <c r="AK131" s="7" t="n"/>
    </row>
    <row r="132" ht="15" customHeight="1" s="5">
      <c r="C132" s="7" t="n"/>
      <c r="D132" s="7" t="n"/>
      <c r="E132" s="7" t="n"/>
      <c r="F132" s="7" t="n"/>
      <c r="G132" s="7" t="n"/>
      <c r="J132" s="7" t="n"/>
      <c r="K132" s="7" t="n"/>
      <c r="M132" s="7" t="n"/>
      <c r="N132" s="7" t="n"/>
      <c r="O132" s="7" t="n"/>
      <c r="AJ132" s="7" t="n"/>
      <c r="AK132" s="7" t="n"/>
    </row>
    <row r="133" ht="15" customHeight="1" s="5">
      <c r="C133" s="7" t="n"/>
      <c r="D133" s="7" t="n"/>
      <c r="E133" s="7" t="n"/>
      <c r="F133" s="7" t="n"/>
      <c r="G133" s="7" t="n"/>
      <c r="J133" s="7" t="n"/>
      <c r="K133" s="7" t="n"/>
      <c r="M133" s="7" t="n"/>
      <c r="N133" s="7" t="n"/>
      <c r="O133" s="7" t="n"/>
      <c r="AJ133" s="7" t="n"/>
      <c r="AK133" s="7" t="n"/>
    </row>
    <row r="134" ht="15" customHeight="1" s="5">
      <c r="C134" s="7" t="n"/>
      <c r="D134" s="7" t="n"/>
      <c r="E134" s="7" t="n"/>
      <c r="F134" s="7" t="n"/>
      <c r="G134" s="7" t="n"/>
      <c r="J134" s="7" t="n"/>
      <c r="K134" s="7" t="n"/>
      <c r="M134" s="7" t="n"/>
      <c r="N134" s="7" t="n"/>
      <c r="O134" s="7" t="n"/>
      <c r="AJ134" s="7" t="n"/>
      <c r="AK134" s="7" t="n"/>
    </row>
    <row r="135" ht="15" customHeight="1" s="5">
      <c r="C135" s="7" t="n"/>
      <c r="D135" s="7" t="n"/>
      <c r="E135" s="7" t="n"/>
      <c r="F135" s="7" t="n"/>
      <c r="G135" s="7" t="n"/>
      <c r="J135" s="7" t="n"/>
      <c r="K135" s="7" t="n"/>
      <c r="M135" s="7" t="n"/>
      <c r="N135" s="7" t="n"/>
      <c r="O135" s="7" t="n"/>
      <c r="AJ135" s="7" t="n"/>
      <c r="AK135" s="7" t="n"/>
    </row>
    <row r="136" ht="15" customHeight="1" s="5">
      <c r="C136" s="7" t="n"/>
      <c r="D136" s="7" t="n"/>
      <c r="E136" s="7" t="n"/>
      <c r="F136" s="7" t="n"/>
      <c r="G136" s="7" t="n"/>
      <c r="J136" s="7" t="n"/>
      <c r="K136" s="7" t="n"/>
      <c r="M136" s="7" t="n"/>
      <c r="N136" s="7" t="n"/>
      <c r="O136" s="7" t="n"/>
      <c r="AJ136" s="7" t="n"/>
      <c r="AK136" s="7" t="n"/>
    </row>
    <row r="137" ht="15" customHeight="1" s="5">
      <c r="C137" s="7" t="n"/>
      <c r="D137" s="7" t="n"/>
      <c r="E137" s="7" t="n"/>
      <c r="F137" s="7" t="n"/>
      <c r="G137" s="7" t="n"/>
      <c r="J137" s="7" t="n"/>
      <c r="K137" s="7" t="n"/>
      <c r="M137" s="7" t="n"/>
      <c r="N137" s="7" t="n"/>
      <c r="O137" s="7" t="n"/>
      <c r="AJ137" s="7" t="n"/>
      <c r="AK137" s="7" t="n"/>
    </row>
    <row r="138" ht="15" customHeight="1" s="5">
      <c r="C138" s="7" t="n"/>
      <c r="D138" s="7" t="n"/>
      <c r="E138" s="7" t="n"/>
      <c r="F138" s="7" t="n"/>
      <c r="G138" s="7" t="n"/>
      <c r="J138" s="7" t="n"/>
      <c r="K138" s="7" t="n"/>
      <c r="M138" s="7" t="n"/>
      <c r="N138" s="7" t="n"/>
      <c r="O138" s="7" t="n"/>
      <c r="AJ138" s="7" t="n"/>
      <c r="AK138" s="7" t="n"/>
    </row>
    <row r="139" ht="15" customHeight="1" s="5">
      <c r="C139" s="7" t="n"/>
      <c r="D139" s="7" t="n"/>
      <c r="E139" s="7" t="n"/>
      <c r="F139" s="7" t="n"/>
      <c r="G139" s="7" t="n"/>
      <c r="J139" s="7" t="n"/>
      <c r="K139" s="7" t="n"/>
      <c r="M139" s="7" t="n"/>
      <c r="N139" s="7" t="n"/>
      <c r="O139" s="7" t="n"/>
      <c r="AJ139" s="7" t="n"/>
      <c r="AK139" s="7" t="n"/>
    </row>
    <row r="140" ht="15" customHeight="1" s="5">
      <c r="C140" s="7" t="n"/>
      <c r="D140" s="7" t="n"/>
      <c r="E140" s="7" t="n"/>
      <c r="F140" s="7" t="n"/>
      <c r="G140" s="7" t="n"/>
      <c r="J140" s="7" t="n"/>
      <c r="K140" s="7" t="n"/>
      <c r="M140" s="7" t="n"/>
      <c r="N140" s="7" t="n"/>
      <c r="O140" s="7" t="n"/>
      <c r="AJ140" s="7" t="n"/>
      <c r="AK140" s="7" t="n"/>
    </row>
    <row r="141" ht="15" customHeight="1" s="5">
      <c r="C141" s="7" t="n"/>
      <c r="D141" s="7" t="n"/>
      <c r="E141" s="7" t="n"/>
      <c r="F141" s="7" t="n"/>
      <c r="G141" s="7" t="n"/>
      <c r="J141" s="7" t="n"/>
      <c r="K141" s="7" t="n"/>
      <c r="M141" s="7" t="n"/>
      <c r="N141" s="7" t="n"/>
      <c r="O141" s="7" t="n"/>
      <c r="AJ141" s="7" t="n"/>
      <c r="AK141" s="7" t="n"/>
    </row>
    <row r="142" ht="15" customHeight="1" s="5">
      <c r="C142" s="7" t="n"/>
      <c r="D142" s="7" t="n"/>
      <c r="E142" s="7" t="n"/>
      <c r="F142" s="7" t="n"/>
      <c r="G142" s="7" t="n"/>
      <c r="J142" s="7" t="n"/>
      <c r="K142" s="7" t="n"/>
      <c r="M142" s="7" t="n"/>
      <c r="N142" s="7" t="n"/>
      <c r="O142" s="7" t="n"/>
      <c r="AJ142" s="7" t="n"/>
      <c r="AK142" s="7" t="n"/>
    </row>
    <row r="143" ht="15" customHeight="1" s="5">
      <c r="C143" s="7" t="n"/>
      <c r="D143" s="7" t="n"/>
      <c r="E143" s="7" t="n"/>
      <c r="F143" s="7" t="n"/>
      <c r="G143" s="7" t="n"/>
      <c r="J143" s="7" t="n"/>
      <c r="K143" s="7" t="n"/>
      <c r="M143" s="7" t="n"/>
      <c r="N143" s="7" t="n"/>
      <c r="O143" s="7" t="n"/>
      <c r="AJ143" s="7" t="n"/>
      <c r="AK143" s="7" t="n"/>
    </row>
    <row r="144" ht="15" customHeight="1" s="5">
      <c r="C144" s="7" t="n"/>
      <c r="D144" s="7" t="n"/>
      <c r="E144" s="7" t="n"/>
      <c r="F144" s="7" t="n"/>
      <c r="G144" s="7" t="n"/>
      <c r="J144" s="7" t="n"/>
      <c r="K144" s="7" t="n"/>
      <c r="M144" s="7" t="n"/>
      <c r="N144" s="7" t="n"/>
      <c r="O144" s="7" t="n"/>
      <c r="AJ144" s="7" t="n"/>
      <c r="AK144" s="7" t="n"/>
    </row>
    <row r="145" ht="15" customHeight="1" s="5">
      <c r="C145" s="7" t="n"/>
      <c r="D145" s="7" t="n"/>
      <c r="E145" s="7" t="n"/>
      <c r="F145" s="7" t="n"/>
      <c r="G145" s="7" t="n"/>
      <c r="J145" s="7" t="n"/>
      <c r="K145" s="7" t="n"/>
      <c r="M145" s="7" t="n"/>
      <c r="N145" s="7" t="n"/>
      <c r="O145" s="7" t="n"/>
      <c r="AJ145" s="7" t="n"/>
      <c r="AK145" s="7" t="n"/>
    </row>
    <row r="146" ht="15" customHeight="1" s="5">
      <c r="C146" s="7" t="n"/>
      <c r="D146" s="7" t="n"/>
      <c r="E146" s="7" t="n"/>
      <c r="F146" s="7" t="n"/>
      <c r="G146" s="7" t="n"/>
      <c r="J146" s="7" t="n"/>
      <c r="K146" s="7" t="n"/>
      <c r="M146" s="7" t="n"/>
      <c r="N146" s="7" t="n"/>
      <c r="O146" s="7" t="n"/>
      <c r="AJ146" s="7" t="n"/>
      <c r="AK146" s="7" t="n"/>
    </row>
    <row r="147" ht="15" customHeight="1" s="5">
      <c r="C147" s="7" t="n"/>
      <c r="D147" s="7" t="n"/>
      <c r="E147" s="7" t="n"/>
      <c r="F147" s="7" t="n"/>
      <c r="G147" s="7" t="n"/>
      <c r="J147" s="7" t="n"/>
      <c r="K147" s="7" t="n"/>
      <c r="M147" s="7" t="n"/>
      <c r="N147" s="7" t="n"/>
      <c r="O147" s="7" t="n"/>
      <c r="AJ147" s="7" t="n"/>
      <c r="AK147" s="7" t="n"/>
    </row>
    <row r="148" ht="15" customHeight="1" s="5">
      <c r="C148" s="7" t="n"/>
      <c r="D148" s="7" t="n"/>
      <c r="E148" s="7" t="n"/>
      <c r="F148" s="7" t="n"/>
      <c r="G148" s="7" t="n"/>
      <c r="J148" s="7" t="n"/>
      <c r="K148" s="7" t="n"/>
      <c r="M148" s="7" t="n"/>
      <c r="N148" s="7" t="n"/>
      <c r="O148" s="7" t="n"/>
      <c r="AJ148" s="7" t="n"/>
      <c r="AK148" s="7" t="n"/>
    </row>
    <row r="149" ht="15" customHeight="1" s="5">
      <c r="C149" s="7" t="n"/>
      <c r="D149" s="7" t="n"/>
      <c r="E149" s="7" t="n"/>
      <c r="F149" s="7" t="n"/>
      <c r="G149" s="7" t="n"/>
      <c r="J149" s="7" t="n"/>
      <c r="K149" s="7" t="n"/>
      <c r="M149" s="7" t="n"/>
      <c r="N149" s="7" t="n"/>
      <c r="O149" s="7" t="n"/>
      <c r="AJ149" s="7" t="n"/>
      <c r="AK149" s="7" t="n"/>
    </row>
    <row r="150" ht="15" customHeight="1" s="5">
      <c r="C150" s="7" t="n"/>
      <c r="D150" s="7" t="n"/>
      <c r="E150" s="7" t="n"/>
      <c r="F150" s="7" t="n"/>
      <c r="G150" s="7" t="n"/>
      <c r="J150" s="7" t="n"/>
      <c r="K150" s="7" t="n"/>
      <c r="M150" s="7" t="n"/>
      <c r="N150" s="7" t="n"/>
      <c r="O150" s="7" t="n"/>
      <c r="AJ150" s="7" t="n"/>
      <c r="AK150" s="7" t="n"/>
    </row>
    <row r="151" ht="15" customHeight="1" s="5">
      <c r="C151" s="7" t="n"/>
      <c r="D151" s="7" t="n"/>
      <c r="E151" s="7" t="n"/>
      <c r="F151" s="7" t="n"/>
      <c r="G151" s="7" t="n"/>
      <c r="J151" s="7" t="n"/>
      <c r="K151" s="7" t="n"/>
      <c r="M151" s="7" t="n"/>
      <c r="N151" s="7" t="n"/>
      <c r="O151" s="7" t="n"/>
      <c r="AJ151" s="7" t="n"/>
      <c r="AK151" s="7" t="n"/>
    </row>
    <row r="152" ht="15" customHeight="1" s="5">
      <c r="C152" s="7" t="n"/>
      <c r="D152" s="7" t="n"/>
      <c r="E152" s="7" t="n"/>
      <c r="F152" s="7" t="n"/>
      <c r="G152" s="7" t="n"/>
      <c r="J152" s="7" t="n"/>
      <c r="K152" s="7" t="n"/>
      <c r="M152" s="7" t="n"/>
      <c r="N152" s="7" t="n"/>
      <c r="O152" s="7" t="n"/>
      <c r="AJ152" s="7" t="n"/>
      <c r="AK152" s="7" t="n"/>
    </row>
    <row r="153" ht="15" customHeight="1" s="5">
      <c r="C153" s="7" t="n"/>
      <c r="D153" s="7" t="n"/>
      <c r="E153" s="7" t="n"/>
      <c r="F153" s="7" t="n"/>
      <c r="G153" s="7" t="n"/>
      <c r="J153" s="7" t="n"/>
      <c r="K153" s="7" t="n"/>
      <c r="M153" s="7" t="n"/>
      <c r="N153" s="7" t="n"/>
      <c r="O153" s="7" t="n"/>
      <c r="AJ153" s="7" t="n"/>
      <c r="AK153" s="7" t="n"/>
    </row>
    <row r="154" ht="15" customHeight="1" s="5">
      <c r="C154" s="7" t="n"/>
      <c r="D154" s="7" t="n"/>
      <c r="E154" s="7" t="n"/>
      <c r="F154" s="7" t="n"/>
      <c r="G154" s="7" t="n"/>
      <c r="J154" s="7" t="n"/>
      <c r="K154" s="7" t="n"/>
      <c r="M154" s="7" t="n"/>
      <c r="N154" s="7" t="n"/>
      <c r="O154" s="7" t="n"/>
      <c r="AJ154" s="7" t="n"/>
      <c r="AK154" s="7" t="n"/>
    </row>
    <row r="155" ht="15" customHeight="1" s="5">
      <c r="C155" s="7" t="n"/>
      <c r="D155" s="7" t="n"/>
      <c r="E155" s="7" t="n"/>
      <c r="F155" s="7" t="n"/>
      <c r="G155" s="7" t="n"/>
      <c r="J155" s="7" t="n"/>
      <c r="K155" s="7" t="n"/>
      <c r="M155" s="7" t="n"/>
      <c r="N155" s="7" t="n"/>
      <c r="O155" s="7" t="n"/>
      <c r="AJ155" s="7" t="n"/>
      <c r="AK155" s="7" t="n"/>
    </row>
    <row r="156" ht="15" customHeight="1" s="5">
      <c r="C156" s="7" t="n"/>
      <c r="D156" s="7" t="n"/>
      <c r="E156" s="7" t="n"/>
      <c r="F156" s="7" t="n"/>
      <c r="G156" s="7" t="n"/>
      <c r="J156" s="7" t="n"/>
      <c r="K156" s="7" t="n"/>
      <c r="M156" s="7" t="n"/>
      <c r="N156" s="7" t="n"/>
      <c r="O156" s="7" t="n"/>
      <c r="AJ156" s="7" t="n"/>
      <c r="AK156" s="7" t="n"/>
    </row>
    <row r="157" ht="15" customHeight="1" s="5">
      <c r="C157" s="7" t="n"/>
      <c r="D157" s="7" t="n"/>
      <c r="E157" s="7" t="n"/>
      <c r="F157" s="7" t="n"/>
      <c r="G157" s="7" t="n"/>
      <c r="J157" s="7" t="n"/>
      <c r="K157" s="7" t="n"/>
      <c r="M157" s="7" t="n"/>
      <c r="N157" s="7" t="n"/>
      <c r="O157" s="7" t="n"/>
      <c r="AJ157" s="7" t="n"/>
      <c r="AK157" s="7" t="n"/>
    </row>
    <row r="158" ht="15" customHeight="1" s="5">
      <c r="C158" s="7" t="n"/>
      <c r="D158" s="7" t="n"/>
      <c r="E158" s="7" t="n"/>
      <c r="F158" s="7" t="n"/>
      <c r="G158" s="7" t="n"/>
      <c r="J158" s="7" t="n"/>
      <c r="K158" s="7" t="n"/>
      <c r="M158" s="7" t="n"/>
      <c r="N158" s="7" t="n"/>
      <c r="O158" s="7" t="n"/>
      <c r="AJ158" s="7" t="n"/>
      <c r="AK158" s="7" t="n"/>
    </row>
    <row r="159" ht="15" customHeight="1" s="5">
      <c r="C159" s="7" t="n"/>
      <c r="D159" s="7" t="n"/>
      <c r="E159" s="7" t="n"/>
      <c r="F159" s="7" t="n"/>
      <c r="G159" s="7" t="n"/>
      <c r="J159" s="7" t="n"/>
      <c r="K159" s="7" t="n"/>
      <c r="M159" s="7" t="n"/>
      <c r="N159" s="7" t="n"/>
      <c r="O159" s="7" t="n"/>
      <c r="AJ159" s="7" t="n"/>
      <c r="AK159" s="7" t="n"/>
    </row>
    <row r="160" ht="15" customHeight="1" s="5">
      <c r="C160" s="7" t="n"/>
      <c r="D160" s="7" t="n"/>
      <c r="E160" s="7" t="n"/>
      <c r="F160" s="7" t="n"/>
      <c r="G160" s="7" t="n"/>
      <c r="J160" s="7" t="n"/>
      <c r="K160" s="7" t="n"/>
      <c r="M160" s="7" t="n"/>
      <c r="N160" s="7" t="n"/>
      <c r="O160" s="7" t="n"/>
      <c r="AJ160" s="7" t="n"/>
      <c r="AK160" s="7" t="n"/>
    </row>
    <row r="161" ht="15" customHeight="1" s="5">
      <c r="C161" s="7" t="n"/>
      <c r="D161" s="7" t="n"/>
      <c r="E161" s="7" t="n"/>
      <c r="F161" s="7" t="n"/>
      <c r="G161" s="7" t="n"/>
      <c r="J161" s="7" t="n"/>
      <c r="K161" s="7" t="n"/>
      <c r="M161" s="7" t="n"/>
      <c r="N161" s="7" t="n"/>
      <c r="O161" s="7" t="n"/>
      <c r="AJ161" s="7" t="n"/>
      <c r="AK161" s="7" t="n"/>
    </row>
    <row r="162" ht="15" customHeight="1" s="5">
      <c r="C162" s="7" t="n"/>
      <c r="D162" s="7" t="n"/>
      <c r="E162" s="7" t="n"/>
      <c r="F162" s="7" t="n"/>
      <c r="G162" s="7" t="n"/>
      <c r="J162" s="7" t="n"/>
      <c r="K162" s="7" t="n"/>
      <c r="M162" s="7" t="n"/>
      <c r="N162" s="7" t="n"/>
      <c r="O162" s="7" t="n"/>
      <c r="AJ162" s="7" t="n"/>
      <c r="AK162" s="7" t="n"/>
    </row>
    <row r="163" ht="15" customHeight="1" s="5">
      <c r="C163" s="7" t="n"/>
      <c r="D163" s="7" t="n"/>
      <c r="E163" s="7" t="n"/>
      <c r="F163" s="7" t="n"/>
      <c r="G163" s="7" t="n"/>
      <c r="J163" s="7" t="n"/>
      <c r="K163" s="7" t="n"/>
      <c r="M163" s="7" t="n"/>
      <c r="N163" s="7" t="n"/>
      <c r="O163" s="7" t="n"/>
      <c r="AJ163" s="7" t="n"/>
      <c r="AK163" s="7" t="n"/>
    </row>
    <row r="164" ht="15" customHeight="1" s="5">
      <c r="C164" s="7" t="n"/>
      <c r="D164" s="7" t="n"/>
      <c r="E164" s="7" t="n"/>
      <c r="F164" s="7" t="n"/>
      <c r="G164" s="7" t="n"/>
      <c r="J164" s="7" t="n"/>
      <c r="K164" s="7" t="n"/>
      <c r="M164" s="7" t="n"/>
      <c r="N164" s="7" t="n"/>
      <c r="O164" s="7" t="n"/>
      <c r="AJ164" s="7" t="n"/>
      <c r="AK164" s="7" t="n"/>
    </row>
    <row r="165" ht="15" customHeight="1" s="5">
      <c r="C165" s="7" t="n"/>
      <c r="D165" s="7" t="n"/>
      <c r="E165" s="7" t="n"/>
      <c r="F165" s="7" t="n"/>
      <c r="G165" s="7" t="n"/>
      <c r="J165" s="7" t="n"/>
      <c r="K165" s="7" t="n"/>
      <c r="M165" s="7" t="n"/>
      <c r="N165" s="7" t="n"/>
      <c r="O165" s="7" t="n"/>
      <c r="AJ165" s="7" t="n"/>
      <c r="AK165" s="7" t="n"/>
    </row>
    <row r="166" ht="15" customHeight="1" s="5">
      <c r="C166" s="7" t="n"/>
      <c r="D166" s="7" t="n"/>
      <c r="E166" s="7" t="n"/>
      <c r="F166" s="7" t="n"/>
      <c r="G166" s="7" t="n"/>
      <c r="J166" s="7" t="n"/>
      <c r="K166" s="7" t="n"/>
      <c r="M166" s="7" t="n"/>
      <c r="N166" s="7" t="n"/>
      <c r="O166" s="7" t="n"/>
      <c r="AJ166" s="7" t="n"/>
      <c r="AK166" s="7" t="n"/>
    </row>
    <row r="167" ht="15" customHeight="1" s="5">
      <c r="C167" s="7" t="n"/>
      <c r="D167" s="7" t="n"/>
      <c r="E167" s="7" t="n"/>
      <c r="F167" s="7" t="n"/>
      <c r="G167" s="7" t="n"/>
      <c r="J167" s="7" t="n"/>
      <c r="K167" s="7" t="n"/>
      <c r="M167" s="7" t="n"/>
      <c r="N167" s="7" t="n"/>
      <c r="O167" s="7" t="n"/>
      <c r="AJ167" s="7" t="n"/>
      <c r="AK167" s="7" t="n"/>
    </row>
    <row r="168" ht="15" customHeight="1" s="5">
      <c r="C168" s="7" t="n"/>
      <c r="D168" s="7" t="n"/>
      <c r="E168" s="7" t="n"/>
      <c r="F168" s="7" t="n"/>
      <c r="G168" s="7" t="n"/>
      <c r="J168" s="7" t="n"/>
      <c r="K168" s="7" t="n"/>
      <c r="M168" s="7" t="n"/>
      <c r="N168" s="7" t="n"/>
      <c r="O168" s="7" t="n"/>
      <c r="AJ168" s="7" t="n"/>
      <c r="AK168" s="7" t="n"/>
    </row>
    <row r="169" ht="15" customHeight="1" s="5">
      <c r="C169" s="7" t="n"/>
      <c r="D169" s="7" t="n"/>
      <c r="E169" s="7" t="n"/>
      <c r="F169" s="7" t="n"/>
      <c r="G169" s="7" t="n"/>
      <c r="J169" s="7" t="n"/>
      <c r="K169" s="7" t="n"/>
      <c r="M169" s="7" t="n"/>
      <c r="N169" s="7" t="n"/>
      <c r="O169" s="7" t="n"/>
      <c r="AJ169" s="7" t="n"/>
      <c r="AK169" s="7" t="n"/>
    </row>
    <row r="170" ht="15" customHeight="1" s="5">
      <c r="C170" s="7" t="n"/>
      <c r="D170" s="7" t="n"/>
      <c r="E170" s="7" t="n"/>
      <c r="F170" s="7" t="n"/>
      <c r="G170" s="7" t="n"/>
      <c r="J170" s="7" t="n"/>
      <c r="K170" s="7" t="n"/>
      <c r="M170" s="7" t="n"/>
      <c r="N170" s="7" t="n"/>
      <c r="O170" s="7" t="n"/>
      <c r="AJ170" s="7" t="n"/>
      <c r="AK170" s="7" t="n"/>
    </row>
    <row r="171" ht="15" customHeight="1" s="5">
      <c r="C171" s="7" t="n"/>
      <c r="D171" s="7" t="n"/>
      <c r="E171" s="7" t="n"/>
      <c r="F171" s="7" t="n"/>
      <c r="G171" s="7" t="n"/>
      <c r="J171" s="7" t="n"/>
      <c r="K171" s="7" t="n"/>
      <c r="M171" s="7" t="n"/>
      <c r="N171" s="7" t="n"/>
      <c r="O171" s="7" t="n"/>
      <c r="AJ171" s="7" t="n"/>
      <c r="AK171" s="7" t="n"/>
    </row>
    <row r="172" ht="15" customHeight="1" s="5">
      <c r="C172" s="7" t="n"/>
      <c r="D172" s="7" t="n"/>
      <c r="E172" s="7" t="n"/>
      <c r="F172" s="7" t="n"/>
      <c r="G172" s="7" t="n"/>
      <c r="J172" s="7" t="n"/>
      <c r="K172" s="7" t="n"/>
      <c r="M172" s="7" t="n"/>
      <c r="N172" s="7" t="n"/>
      <c r="O172" s="7" t="n"/>
      <c r="AJ172" s="7" t="n"/>
      <c r="AK172" s="7" t="n"/>
    </row>
    <row r="173" ht="15" customHeight="1" s="5">
      <c r="C173" s="7" t="n"/>
      <c r="D173" s="7" t="n"/>
      <c r="E173" s="7" t="n"/>
      <c r="F173" s="7" t="n"/>
      <c r="G173" s="7" t="n"/>
      <c r="J173" s="7" t="n"/>
      <c r="K173" s="7" t="n"/>
      <c r="M173" s="7" t="n"/>
      <c r="N173" s="7" t="n"/>
      <c r="O173" s="7" t="n"/>
      <c r="AJ173" s="7" t="n"/>
      <c r="AK173" s="7" t="n"/>
    </row>
    <row r="174" ht="15" customHeight="1" s="5">
      <c r="C174" s="7" t="n"/>
      <c r="D174" s="7" t="n"/>
      <c r="E174" s="7" t="n"/>
      <c r="F174" s="7" t="n"/>
      <c r="G174" s="7" t="n"/>
      <c r="J174" s="7" t="n"/>
      <c r="K174" s="7" t="n"/>
      <c r="M174" s="7" t="n"/>
      <c r="N174" s="7" t="n"/>
      <c r="O174" s="7" t="n"/>
      <c r="AJ174" s="7" t="n"/>
      <c r="AK174" s="7" t="n"/>
    </row>
    <row r="175" ht="15" customHeight="1" s="5">
      <c r="C175" s="7" t="n"/>
      <c r="D175" s="7" t="n"/>
      <c r="E175" s="7" t="n"/>
      <c r="F175" s="7" t="n"/>
      <c r="G175" s="7" t="n"/>
      <c r="J175" s="7" t="n"/>
      <c r="K175" s="7" t="n"/>
      <c r="M175" s="7" t="n"/>
      <c r="N175" s="7" t="n"/>
      <c r="O175" s="7" t="n"/>
      <c r="AJ175" s="7" t="n"/>
      <c r="AK175" s="7" t="n"/>
    </row>
    <row r="176" ht="15" customHeight="1" s="5">
      <c r="C176" s="7" t="n"/>
      <c r="D176" s="7" t="n"/>
      <c r="E176" s="7" t="n"/>
      <c r="F176" s="7" t="n"/>
      <c r="G176" s="7" t="n"/>
      <c r="J176" s="7" t="n"/>
      <c r="K176" s="7" t="n"/>
      <c r="M176" s="7" t="n"/>
      <c r="N176" s="7" t="n"/>
      <c r="O176" s="7" t="n"/>
      <c r="AJ176" s="7" t="n"/>
      <c r="AK176" s="7" t="n"/>
    </row>
    <row r="177" ht="15" customHeight="1" s="5">
      <c r="C177" s="7" t="n"/>
      <c r="D177" s="7" t="n"/>
      <c r="E177" s="7" t="n"/>
      <c r="F177" s="7" t="n"/>
      <c r="G177" s="7" t="n"/>
      <c r="J177" s="7" t="n"/>
      <c r="K177" s="7" t="n"/>
      <c r="M177" s="7" t="n"/>
      <c r="N177" s="7" t="n"/>
      <c r="O177" s="7" t="n"/>
      <c r="AJ177" s="7" t="n"/>
      <c r="AK177" s="7" t="n"/>
    </row>
    <row r="178" ht="15" customHeight="1" s="5">
      <c r="C178" s="7" t="n"/>
      <c r="D178" s="7" t="n"/>
      <c r="E178" s="7" t="n"/>
      <c r="F178" s="7" t="n"/>
      <c r="G178" s="7" t="n"/>
      <c r="J178" s="7" t="n"/>
      <c r="K178" s="7" t="n"/>
      <c r="M178" s="7" t="n"/>
      <c r="N178" s="7" t="n"/>
      <c r="O178" s="7" t="n"/>
      <c r="AJ178" s="7" t="n"/>
      <c r="AK178" s="7" t="n"/>
    </row>
    <row r="179" ht="15" customHeight="1" s="5">
      <c r="C179" s="7" t="n"/>
      <c r="D179" s="7" t="n"/>
      <c r="E179" s="7" t="n"/>
      <c r="F179" s="7" t="n"/>
      <c r="G179" s="7" t="n"/>
      <c r="J179" s="7" t="n"/>
      <c r="K179" s="7" t="n"/>
      <c r="M179" s="7" t="n"/>
      <c r="N179" s="7" t="n"/>
      <c r="O179" s="7" t="n"/>
      <c r="AJ179" s="7" t="n"/>
      <c r="AK179" s="7" t="n"/>
    </row>
    <row r="180" ht="15" customHeight="1" s="5">
      <c r="C180" s="7" t="n"/>
      <c r="D180" s="7" t="n"/>
      <c r="E180" s="7" t="n"/>
      <c r="F180" s="7" t="n"/>
      <c r="G180" s="7" t="n"/>
      <c r="J180" s="7" t="n"/>
      <c r="K180" s="7" t="n"/>
      <c r="M180" s="7" t="n"/>
      <c r="N180" s="7" t="n"/>
      <c r="O180" s="7" t="n"/>
      <c r="AJ180" s="7" t="n"/>
      <c r="AK180" s="7" t="n"/>
    </row>
    <row r="181" ht="15" customHeight="1" s="5">
      <c r="C181" s="7" t="n"/>
      <c r="D181" s="7" t="n"/>
      <c r="E181" s="7" t="n"/>
      <c r="F181" s="7" t="n"/>
      <c r="G181" s="7" t="n"/>
      <c r="J181" s="7" t="n"/>
      <c r="K181" s="7" t="n"/>
      <c r="M181" s="7" t="n"/>
      <c r="N181" s="7" t="n"/>
      <c r="O181" s="7" t="n"/>
      <c r="AJ181" s="7" t="n"/>
      <c r="AK181" s="7" t="n"/>
    </row>
    <row r="182" ht="15" customHeight="1" s="5">
      <c r="C182" s="7" t="n"/>
      <c r="D182" s="7" t="n"/>
      <c r="E182" s="7" t="n"/>
      <c r="F182" s="7" t="n"/>
      <c r="G182" s="7" t="n"/>
      <c r="J182" s="7" t="n"/>
      <c r="K182" s="7" t="n"/>
      <c r="M182" s="7" t="n"/>
      <c r="N182" s="7" t="n"/>
      <c r="O182" s="7" t="n"/>
      <c r="AJ182" s="7" t="n"/>
      <c r="AK182" s="7" t="n"/>
    </row>
    <row r="183" ht="15" customHeight="1" s="5">
      <c r="C183" s="7" t="n"/>
      <c r="D183" s="7" t="n"/>
      <c r="E183" s="7" t="n"/>
      <c r="F183" s="7" t="n"/>
      <c r="G183" s="7" t="n"/>
      <c r="J183" s="7" t="n"/>
      <c r="K183" s="7" t="n"/>
      <c r="M183" s="7" t="n"/>
      <c r="N183" s="7" t="n"/>
      <c r="O183" s="7" t="n"/>
      <c r="AJ183" s="7" t="n"/>
      <c r="AK183" s="7" t="n"/>
    </row>
    <row r="184" ht="15" customHeight="1" s="5">
      <c r="C184" s="7" t="n"/>
      <c r="D184" s="7" t="n"/>
      <c r="E184" s="7" t="n"/>
      <c r="F184" s="7" t="n"/>
      <c r="G184" s="7" t="n"/>
      <c r="J184" s="7" t="n"/>
      <c r="K184" s="7" t="n"/>
      <c r="M184" s="7" t="n"/>
      <c r="N184" s="7" t="n"/>
      <c r="O184" s="7" t="n"/>
      <c r="AJ184" s="7" t="n"/>
      <c r="AK184" s="7" t="n"/>
    </row>
    <row r="185" ht="15" customHeight="1" s="5">
      <c r="C185" s="7" t="n"/>
      <c r="D185" s="7" t="n"/>
      <c r="E185" s="7" t="n"/>
      <c r="F185" s="7" t="n"/>
      <c r="G185" s="7" t="n"/>
      <c r="J185" s="7" t="n"/>
      <c r="K185" s="7" t="n"/>
      <c r="M185" s="7" t="n"/>
      <c r="N185" s="7" t="n"/>
      <c r="O185" s="7" t="n"/>
      <c r="AJ185" s="7" t="n"/>
      <c r="AK185" s="7" t="n"/>
    </row>
    <row r="186" ht="15" customHeight="1" s="5">
      <c r="C186" s="7" t="n"/>
      <c r="D186" s="7" t="n"/>
      <c r="E186" s="7" t="n"/>
      <c r="F186" s="7" t="n"/>
      <c r="G186" s="7" t="n"/>
      <c r="J186" s="7" t="n"/>
      <c r="K186" s="7" t="n"/>
      <c r="M186" s="7" t="n"/>
      <c r="N186" s="7" t="n"/>
      <c r="O186" s="7" t="n"/>
      <c r="AJ186" s="7" t="n"/>
      <c r="AK186" s="7" t="n"/>
    </row>
    <row r="187" ht="15" customHeight="1" s="5">
      <c r="C187" s="7" t="n"/>
      <c r="D187" s="7" t="n"/>
      <c r="E187" s="7" t="n"/>
      <c r="F187" s="7" t="n"/>
      <c r="G187" s="7" t="n"/>
      <c r="J187" s="7" t="n"/>
      <c r="K187" s="7" t="n"/>
      <c r="M187" s="7" t="n"/>
      <c r="N187" s="7" t="n"/>
      <c r="O187" s="7" t="n"/>
      <c r="AJ187" s="7" t="n"/>
      <c r="AK187" s="7" t="n"/>
    </row>
    <row r="188" ht="15" customHeight="1" s="5">
      <c r="C188" s="7" t="n"/>
      <c r="D188" s="7" t="n"/>
      <c r="E188" s="7" t="n"/>
      <c r="F188" s="7" t="n"/>
      <c r="G188" s="7" t="n"/>
      <c r="J188" s="7" t="n"/>
      <c r="K188" s="7" t="n"/>
      <c r="M188" s="7" t="n"/>
      <c r="N188" s="7" t="n"/>
      <c r="O188" s="7" t="n"/>
      <c r="AJ188" s="7" t="n"/>
      <c r="AK188" s="7" t="n"/>
    </row>
    <row r="189" ht="15" customHeight="1" s="5">
      <c r="C189" s="7" t="n"/>
      <c r="D189" s="7" t="n"/>
      <c r="E189" s="7" t="n"/>
      <c r="F189" s="7" t="n"/>
      <c r="G189" s="7" t="n"/>
      <c r="J189" s="7" t="n"/>
      <c r="K189" s="7" t="n"/>
      <c r="M189" s="7" t="n"/>
      <c r="N189" s="7" t="n"/>
      <c r="O189" s="7" t="n"/>
      <c r="AJ189" s="7" t="n"/>
      <c r="AK189" s="7" t="n"/>
    </row>
    <row r="190" ht="15" customHeight="1" s="5">
      <c r="C190" s="7" t="n"/>
      <c r="D190" s="7" t="n"/>
      <c r="E190" s="7" t="n"/>
      <c r="F190" s="7" t="n"/>
      <c r="G190" s="7" t="n"/>
      <c r="J190" s="7" t="n"/>
      <c r="K190" s="7" t="n"/>
      <c r="M190" s="7" t="n"/>
      <c r="N190" s="7" t="n"/>
      <c r="O190" s="7" t="n"/>
      <c r="AJ190" s="7" t="n"/>
      <c r="AK190" s="7" t="n"/>
    </row>
    <row r="191" ht="15" customHeight="1" s="5">
      <c r="C191" s="7" t="n"/>
      <c r="D191" s="7" t="n"/>
      <c r="E191" s="7" t="n"/>
      <c r="F191" s="7" t="n"/>
      <c r="G191" s="7" t="n"/>
      <c r="J191" s="7" t="n"/>
      <c r="K191" s="7" t="n"/>
      <c r="M191" s="7" t="n"/>
      <c r="N191" s="7" t="n"/>
      <c r="O191" s="7" t="n"/>
      <c r="AJ191" s="7" t="n"/>
      <c r="AK191" s="7" t="n"/>
    </row>
    <row r="192" ht="15" customHeight="1" s="5">
      <c r="C192" s="7" t="n"/>
      <c r="D192" s="7" t="n"/>
      <c r="E192" s="7" t="n"/>
      <c r="F192" s="7" t="n"/>
      <c r="G192" s="7" t="n"/>
      <c r="J192" s="7" t="n"/>
      <c r="K192" s="7" t="n"/>
      <c r="M192" s="7" t="n"/>
      <c r="N192" s="7" t="n"/>
      <c r="O192" s="7" t="n"/>
      <c r="AJ192" s="7" t="n"/>
      <c r="AK192" s="7" t="n"/>
    </row>
    <row r="193" ht="15" customHeight="1" s="5">
      <c r="C193" s="7" t="n"/>
      <c r="D193" s="7" t="n"/>
      <c r="E193" s="7" t="n"/>
      <c r="F193" s="7" t="n"/>
      <c r="G193" s="7" t="n"/>
      <c r="J193" s="7" t="n"/>
      <c r="K193" s="7" t="n"/>
      <c r="M193" s="7" t="n"/>
      <c r="N193" s="7" t="n"/>
      <c r="O193" s="7" t="n"/>
      <c r="AJ193" s="7" t="n"/>
      <c r="AK193" s="7" t="n"/>
    </row>
    <row r="194" ht="15" customHeight="1" s="5">
      <c r="C194" s="7" t="n"/>
      <c r="D194" s="7" t="n"/>
      <c r="E194" s="7" t="n"/>
      <c r="F194" s="7" t="n"/>
      <c r="G194" s="7" t="n"/>
      <c r="J194" s="7" t="n"/>
      <c r="K194" s="7" t="n"/>
      <c r="M194" s="7" t="n"/>
      <c r="N194" s="7" t="n"/>
      <c r="O194" s="7" t="n"/>
      <c r="AJ194" s="7" t="n"/>
      <c r="AK194" s="7" t="n"/>
    </row>
    <row r="195" ht="15" customHeight="1" s="5">
      <c r="C195" s="7" t="n"/>
      <c r="D195" s="7" t="n"/>
      <c r="E195" s="7" t="n"/>
      <c r="F195" s="7" t="n"/>
      <c r="G195" s="7" t="n"/>
      <c r="J195" s="7" t="n"/>
      <c r="K195" s="7" t="n"/>
      <c r="M195" s="7" t="n"/>
      <c r="N195" s="7" t="n"/>
      <c r="O195" s="7" t="n"/>
      <c r="AJ195" s="7" t="n"/>
      <c r="AK195" s="7" t="n"/>
    </row>
    <row r="196" ht="15" customHeight="1" s="5">
      <c r="C196" s="7" t="n"/>
      <c r="D196" s="7" t="n"/>
      <c r="E196" s="7" t="n"/>
      <c r="F196" s="7" t="n"/>
      <c r="G196" s="7" t="n"/>
      <c r="J196" s="7" t="n"/>
      <c r="K196" s="7" t="n"/>
      <c r="M196" s="7" t="n"/>
      <c r="N196" s="7" t="n"/>
      <c r="O196" s="7" t="n"/>
      <c r="AJ196" s="7" t="n"/>
      <c r="AK196" s="7" t="n"/>
    </row>
    <row r="197" ht="15" customHeight="1" s="5">
      <c r="C197" s="7" t="n"/>
      <c r="D197" s="7" t="n"/>
      <c r="E197" s="7" t="n"/>
      <c r="F197" s="7" t="n"/>
      <c r="G197" s="7" t="n"/>
      <c r="J197" s="7" t="n"/>
      <c r="K197" s="7" t="n"/>
      <c r="M197" s="7" t="n"/>
      <c r="N197" s="7" t="n"/>
      <c r="O197" s="7" t="n"/>
      <c r="AJ197" s="7" t="n"/>
      <c r="AK197" s="7" t="n"/>
    </row>
    <row r="198" ht="15" customHeight="1" s="5">
      <c r="C198" s="7" t="n"/>
      <c r="D198" s="7" t="n"/>
      <c r="E198" s="7" t="n"/>
      <c r="F198" s="7" t="n"/>
      <c r="G198" s="7" t="n"/>
      <c r="J198" s="7" t="n"/>
      <c r="K198" s="7" t="n"/>
      <c r="M198" s="7" t="n"/>
      <c r="N198" s="7" t="n"/>
      <c r="O198" s="7" t="n"/>
      <c r="AJ198" s="7" t="n"/>
      <c r="AK198" s="7" t="n"/>
    </row>
    <row r="199" ht="15" customHeight="1" s="5">
      <c r="C199" s="7" t="n"/>
      <c r="D199" s="7" t="n"/>
      <c r="E199" s="7" t="n"/>
      <c r="F199" s="7" t="n"/>
      <c r="G199" s="7" t="n"/>
      <c r="J199" s="7" t="n"/>
      <c r="K199" s="7" t="n"/>
      <c r="M199" s="7" t="n"/>
      <c r="N199" s="7" t="n"/>
      <c r="O199" s="7" t="n"/>
      <c r="AJ199" s="7" t="n"/>
      <c r="AK199" s="7" t="n"/>
    </row>
    <row r="200" ht="15" customHeight="1" s="5">
      <c r="C200" s="7" t="n"/>
      <c r="D200" s="7" t="n"/>
      <c r="E200" s="7" t="n"/>
      <c r="F200" s="7" t="n"/>
      <c r="G200" s="7" t="n"/>
      <c r="J200" s="7" t="n"/>
      <c r="K200" s="7" t="n"/>
      <c r="M200" s="7" t="n"/>
      <c r="N200" s="7" t="n"/>
      <c r="O200" s="7" t="n"/>
      <c r="AJ200" s="7" t="n"/>
      <c r="AK200" s="7" t="n"/>
    </row>
    <row r="201" ht="15" customHeight="1" s="5">
      <c r="C201" s="7" t="n"/>
      <c r="D201" s="7" t="n"/>
      <c r="E201" s="7" t="n"/>
      <c r="F201" s="7" t="n"/>
      <c r="G201" s="7" t="n"/>
      <c r="J201" s="7" t="n"/>
      <c r="K201" s="7" t="n"/>
      <c r="M201" s="7" t="n"/>
      <c r="N201" s="7" t="n"/>
      <c r="O201" s="7" t="n"/>
      <c r="AJ201" s="7" t="n"/>
      <c r="AK201" s="7" t="n"/>
    </row>
    <row r="202" ht="15" customHeight="1" s="5">
      <c r="C202" s="7" t="n"/>
      <c r="D202" s="7" t="n"/>
      <c r="E202" s="7" t="n"/>
      <c r="F202" s="7" t="n"/>
      <c r="G202" s="7" t="n"/>
      <c r="J202" s="7" t="n"/>
      <c r="K202" s="7" t="n"/>
      <c r="M202" s="7" t="n"/>
      <c r="N202" s="7" t="n"/>
      <c r="O202" s="7" t="n"/>
      <c r="AJ202" s="7" t="n"/>
      <c r="AK202" s="7" t="n"/>
    </row>
    <row r="203" ht="15" customHeight="1" s="5">
      <c r="C203" s="7" t="n"/>
      <c r="D203" s="7" t="n"/>
      <c r="E203" s="7" t="n"/>
      <c r="F203" s="7" t="n"/>
      <c r="G203" s="7" t="n"/>
      <c r="J203" s="7" t="n"/>
      <c r="K203" s="7" t="n"/>
      <c r="M203" s="7" t="n"/>
      <c r="N203" s="7" t="n"/>
      <c r="O203" s="7" t="n"/>
      <c r="AJ203" s="7" t="n"/>
      <c r="AK203" s="7" t="n"/>
    </row>
    <row r="204" ht="15" customHeight="1" s="5">
      <c r="C204" s="7" t="n"/>
      <c r="D204" s="7" t="n"/>
      <c r="E204" s="7" t="n"/>
      <c r="F204" s="7" t="n"/>
      <c r="G204" s="7" t="n"/>
      <c r="J204" s="7" t="n"/>
      <c r="K204" s="7" t="n"/>
      <c r="M204" s="7" t="n"/>
      <c r="N204" s="7" t="n"/>
      <c r="O204" s="7" t="n"/>
      <c r="AJ204" s="7" t="n"/>
      <c r="AK204" s="7" t="n"/>
    </row>
    <row r="205" ht="15" customHeight="1" s="5">
      <c r="C205" s="7" t="n"/>
      <c r="D205" s="7" t="n"/>
      <c r="E205" s="7" t="n"/>
      <c r="F205" s="7" t="n"/>
      <c r="G205" s="7" t="n"/>
      <c r="J205" s="7" t="n"/>
      <c r="K205" s="7" t="n"/>
      <c r="M205" s="7" t="n"/>
      <c r="N205" s="7" t="n"/>
      <c r="O205" s="7" t="n"/>
      <c r="AJ205" s="7" t="n"/>
      <c r="AK205" s="7" t="n"/>
    </row>
    <row r="206" ht="15" customHeight="1" s="5">
      <c r="C206" s="7" t="n"/>
      <c r="D206" s="7" t="n"/>
      <c r="E206" s="7" t="n"/>
      <c r="F206" s="7" t="n"/>
      <c r="G206" s="7" t="n"/>
      <c r="J206" s="7" t="n"/>
      <c r="K206" s="7" t="n"/>
      <c r="M206" s="7" t="n"/>
      <c r="N206" s="7" t="n"/>
      <c r="O206" s="7" t="n"/>
      <c r="AJ206" s="7" t="n"/>
      <c r="AK206" s="7" t="n"/>
    </row>
    <row r="207" ht="15" customHeight="1" s="5">
      <c r="C207" s="7" t="n"/>
      <c r="D207" s="7" t="n"/>
      <c r="E207" s="7" t="n"/>
      <c r="F207" s="7" t="n"/>
      <c r="G207" s="7" t="n"/>
      <c r="J207" s="7" t="n"/>
      <c r="K207" s="7" t="n"/>
      <c r="M207" s="7" t="n"/>
      <c r="N207" s="7" t="n"/>
      <c r="O207" s="7" t="n"/>
      <c r="AJ207" s="7" t="n"/>
      <c r="AK207" s="7" t="n"/>
    </row>
    <row r="208" ht="15" customHeight="1" s="5">
      <c r="C208" s="7" t="n"/>
      <c r="D208" s="7" t="n"/>
      <c r="E208" s="7" t="n"/>
      <c r="F208" s="7" t="n"/>
      <c r="G208" s="7" t="n"/>
      <c r="J208" s="7" t="n"/>
      <c r="K208" s="7" t="n"/>
      <c r="M208" s="7" t="n"/>
      <c r="N208" s="7" t="n"/>
      <c r="O208" s="7" t="n"/>
      <c r="AJ208" s="7" t="n"/>
      <c r="AK208" s="7" t="n"/>
    </row>
    <row r="209" ht="15" customHeight="1" s="5">
      <c r="C209" s="7" t="n"/>
      <c r="D209" s="7" t="n"/>
      <c r="E209" s="7" t="n"/>
      <c r="F209" s="7" t="n"/>
      <c r="G209" s="7" t="n"/>
      <c r="J209" s="7" t="n"/>
      <c r="K209" s="7" t="n"/>
      <c r="M209" s="7" t="n"/>
      <c r="N209" s="7" t="n"/>
      <c r="O209" s="7" t="n"/>
      <c r="AJ209" s="7" t="n"/>
      <c r="AK209" s="7" t="n"/>
    </row>
    <row r="210" ht="15" customHeight="1" s="5">
      <c r="C210" s="7" t="n"/>
      <c r="D210" s="7" t="n"/>
      <c r="E210" s="7" t="n"/>
      <c r="F210" s="7" t="n"/>
      <c r="G210" s="7" t="n"/>
      <c r="J210" s="7" t="n"/>
      <c r="K210" s="7" t="n"/>
      <c r="M210" s="7" t="n"/>
      <c r="N210" s="7" t="n"/>
      <c r="O210" s="7" t="n"/>
      <c r="AJ210" s="7" t="n"/>
      <c r="AK210" s="7" t="n"/>
    </row>
    <row r="211" ht="15" customHeight="1" s="5">
      <c r="C211" s="7" t="n"/>
      <c r="D211" s="7" t="n"/>
      <c r="E211" s="7" t="n"/>
      <c r="F211" s="7" t="n"/>
      <c r="G211" s="7" t="n"/>
      <c r="J211" s="7" t="n"/>
      <c r="K211" s="7" t="n"/>
      <c r="M211" s="7" t="n"/>
      <c r="N211" s="7" t="n"/>
      <c r="O211" s="7" t="n"/>
      <c r="AJ211" s="7" t="n"/>
      <c r="AK211" s="7" t="n"/>
    </row>
    <row r="212" ht="15" customHeight="1" s="5">
      <c r="C212" s="7" t="n"/>
      <c r="D212" s="7" t="n"/>
      <c r="E212" s="7" t="n"/>
      <c r="F212" s="7" t="n"/>
      <c r="G212" s="7" t="n"/>
      <c r="J212" s="7" t="n"/>
      <c r="K212" s="7" t="n"/>
      <c r="M212" s="7" t="n"/>
      <c r="N212" s="7" t="n"/>
      <c r="O212" s="7" t="n"/>
      <c r="AJ212" s="7" t="n"/>
      <c r="AK212" s="7" t="n"/>
    </row>
    <row r="213" ht="15" customHeight="1" s="5">
      <c r="C213" s="7" t="n"/>
      <c r="D213" s="7" t="n"/>
      <c r="E213" s="7" t="n"/>
      <c r="F213" s="7" t="n"/>
      <c r="G213" s="7" t="n"/>
      <c r="J213" s="7" t="n"/>
      <c r="K213" s="7" t="n"/>
      <c r="M213" s="7" t="n"/>
      <c r="N213" s="7" t="n"/>
      <c r="O213" s="7" t="n"/>
      <c r="AJ213" s="7" t="n"/>
      <c r="AK213" s="7" t="n"/>
    </row>
    <row r="214" ht="15" customHeight="1" s="5">
      <c r="C214" s="7" t="n"/>
      <c r="D214" s="7" t="n"/>
      <c r="E214" s="7" t="n"/>
      <c r="F214" s="7" t="n"/>
      <c r="G214" s="7" t="n"/>
      <c r="J214" s="7" t="n"/>
      <c r="K214" s="7" t="n"/>
      <c r="M214" s="7" t="n"/>
      <c r="N214" s="7" t="n"/>
      <c r="O214" s="7" t="n"/>
      <c r="AJ214" s="7" t="n"/>
      <c r="AK214" s="7" t="n"/>
    </row>
    <row r="215" ht="15" customHeight="1" s="5">
      <c r="C215" s="7" t="n"/>
      <c r="D215" s="7" t="n"/>
      <c r="E215" s="7" t="n"/>
      <c r="F215" s="7" t="n"/>
      <c r="G215" s="7" t="n"/>
      <c r="J215" s="7" t="n"/>
      <c r="K215" s="7" t="n"/>
      <c r="M215" s="7" t="n"/>
      <c r="N215" s="7" t="n"/>
      <c r="O215" s="7" t="n"/>
      <c r="AJ215" s="7" t="n"/>
      <c r="AK215" s="7" t="n"/>
    </row>
    <row r="216" ht="15" customHeight="1" s="5">
      <c r="C216" s="7" t="n"/>
      <c r="D216" s="7" t="n"/>
      <c r="E216" s="7" t="n"/>
      <c r="F216" s="7" t="n"/>
      <c r="G216" s="7" t="n"/>
      <c r="J216" s="7" t="n"/>
      <c r="K216" s="7" t="n"/>
      <c r="M216" s="7" t="n"/>
      <c r="N216" s="7" t="n"/>
      <c r="O216" s="7" t="n"/>
      <c r="AJ216" s="7" t="n"/>
      <c r="AK216" s="7" t="n"/>
    </row>
    <row r="217" ht="15" customHeight="1" s="5">
      <c r="C217" s="7" t="n"/>
      <c r="D217" s="7" t="n"/>
      <c r="E217" s="7" t="n"/>
      <c r="F217" s="7" t="n"/>
      <c r="G217" s="7" t="n"/>
      <c r="J217" s="7" t="n"/>
      <c r="K217" s="7" t="n"/>
      <c r="M217" s="7" t="n"/>
      <c r="N217" s="7" t="n"/>
      <c r="O217" s="7" t="n"/>
      <c r="AJ217" s="7" t="n"/>
      <c r="AK217" s="7" t="n"/>
    </row>
    <row r="218" ht="15" customHeight="1" s="5">
      <c r="C218" s="7" t="n"/>
      <c r="D218" s="7" t="n"/>
      <c r="E218" s="7" t="n"/>
      <c r="F218" s="7" t="n"/>
      <c r="G218" s="7" t="n"/>
      <c r="J218" s="7" t="n"/>
      <c r="K218" s="7" t="n"/>
      <c r="M218" s="7" t="n"/>
      <c r="N218" s="7" t="n"/>
      <c r="O218" s="7" t="n"/>
      <c r="AJ218" s="7" t="n"/>
      <c r="AK218" s="7" t="n"/>
    </row>
    <row r="219" ht="15" customHeight="1" s="5">
      <c r="C219" s="7" t="n"/>
      <c r="D219" s="7" t="n"/>
      <c r="E219" s="7" t="n"/>
      <c r="F219" s="7" t="n"/>
      <c r="G219" s="7" t="n"/>
      <c r="J219" s="7" t="n"/>
      <c r="K219" s="7" t="n"/>
      <c r="M219" s="7" t="n"/>
      <c r="N219" s="7" t="n"/>
      <c r="O219" s="7" t="n"/>
      <c r="AJ219" s="7" t="n"/>
      <c r="AK219" s="7" t="n"/>
    </row>
    <row r="220" ht="15" customHeight="1" s="5">
      <c r="C220" s="7" t="n"/>
      <c r="D220" s="7" t="n"/>
      <c r="E220" s="7" t="n"/>
      <c r="F220" s="7" t="n"/>
      <c r="G220" s="7" t="n"/>
      <c r="J220" s="7" t="n"/>
      <c r="K220" s="7" t="n"/>
      <c r="M220" s="7" t="n"/>
      <c r="N220" s="7" t="n"/>
      <c r="O220" s="7" t="n"/>
      <c r="AJ220" s="7" t="n"/>
      <c r="AK220" s="7" t="n"/>
    </row>
    <row r="221" ht="15" customHeight="1" s="5">
      <c r="C221" s="7" t="n"/>
      <c r="D221" s="7" t="n"/>
      <c r="E221" s="7" t="n"/>
      <c r="F221" s="7" t="n"/>
      <c r="G221" s="7" t="n"/>
      <c r="J221" s="7" t="n"/>
      <c r="K221" s="7" t="n"/>
      <c r="M221" s="7" t="n"/>
      <c r="N221" s="7" t="n"/>
      <c r="O221" s="7" t="n"/>
      <c r="AJ221" s="7" t="n"/>
      <c r="AK221" s="7" t="n"/>
    </row>
    <row r="222" ht="15" customHeight="1" s="5">
      <c r="C222" s="7" t="n"/>
      <c r="D222" s="7" t="n"/>
      <c r="E222" s="7" t="n"/>
      <c r="F222" s="7" t="n"/>
      <c r="G222" s="7" t="n"/>
      <c r="J222" s="7" t="n"/>
      <c r="K222" s="7" t="n"/>
      <c r="M222" s="7" t="n"/>
      <c r="N222" s="7" t="n"/>
      <c r="O222" s="7" t="n"/>
      <c r="AJ222" s="7" t="n"/>
      <c r="AK222" s="7" t="n"/>
    </row>
    <row r="223" ht="15" customHeight="1" s="5">
      <c r="C223" s="7" t="n"/>
      <c r="D223" s="7" t="n"/>
      <c r="E223" s="7" t="n"/>
      <c r="F223" s="7" t="n"/>
      <c r="G223" s="7" t="n"/>
      <c r="J223" s="7" t="n"/>
      <c r="K223" s="7" t="n"/>
      <c r="M223" s="7" t="n"/>
      <c r="N223" s="7" t="n"/>
      <c r="O223" s="7" t="n"/>
      <c r="AJ223" s="7" t="n"/>
      <c r="AK223" s="7" t="n"/>
    </row>
    <row r="224" ht="15" customHeight="1" s="5">
      <c r="C224" s="7" t="n"/>
      <c r="D224" s="7" t="n"/>
      <c r="E224" s="7" t="n"/>
      <c r="F224" s="7" t="n"/>
      <c r="G224" s="7" t="n"/>
      <c r="J224" s="7" t="n"/>
      <c r="K224" s="7" t="n"/>
      <c r="M224" s="7" t="n"/>
      <c r="N224" s="7" t="n"/>
      <c r="O224" s="7" t="n"/>
      <c r="AJ224" s="7" t="n"/>
      <c r="AK224" s="7" t="n"/>
    </row>
    <row r="225" ht="15" customHeight="1" s="5">
      <c r="C225" s="7" t="n"/>
      <c r="D225" s="7" t="n"/>
      <c r="E225" s="7" t="n"/>
      <c r="F225" s="7" t="n"/>
      <c r="G225" s="7" t="n"/>
      <c r="J225" s="7" t="n"/>
      <c r="K225" s="7" t="n"/>
      <c r="M225" s="7" t="n"/>
      <c r="N225" s="7" t="n"/>
      <c r="O225" s="7" t="n"/>
      <c r="AJ225" s="7" t="n"/>
      <c r="AK225" s="7" t="n"/>
    </row>
    <row r="226" ht="15" customHeight="1" s="5">
      <c r="C226" s="7" t="n"/>
      <c r="D226" s="7" t="n"/>
      <c r="E226" s="7" t="n"/>
      <c r="F226" s="7" t="n"/>
      <c r="G226" s="7" t="n"/>
      <c r="J226" s="7" t="n"/>
      <c r="K226" s="7" t="n"/>
      <c r="M226" s="7" t="n"/>
      <c r="N226" s="7" t="n"/>
      <c r="O226" s="7" t="n"/>
      <c r="AJ226" s="7" t="n"/>
      <c r="AK226" s="7" t="n"/>
    </row>
    <row r="227" ht="15" customHeight="1" s="5">
      <c r="C227" s="7" t="n"/>
      <c r="D227" s="7" t="n"/>
      <c r="E227" s="7" t="n"/>
      <c r="F227" s="7" t="n"/>
      <c r="G227" s="7" t="n"/>
      <c r="J227" s="7" t="n"/>
      <c r="K227" s="7" t="n"/>
      <c r="M227" s="7" t="n"/>
      <c r="N227" s="7" t="n"/>
      <c r="O227" s="7" t="n"/>
      <c r="AJ227" s="7" t="n"/>
      <c r="AK227" s="7" t="n"/>
    </row>
    <row r="228" ht="15" customHeight="1" s="5">
      <c r="C228" s="7" t="n"/>
      <c r="D228" s="7" t="n"/>
      <c r="E228" s="7" t="n"/>
      <c r="F228" s="7" t="n"/>
      <c r="G228" s="7" t="n"/>
      <c r="J228" s="7" t="n"/>
      <c r="K228" s="7" t="n"/>
      <c r="M228" s="7" t="n"/>
      <c r="N228" s="7" t="n"/>
      <c r="O228" s="7" t="n"/>
      <c r="AJ228" s="7" t="n"/>
      <c r="AK228" s="7" t="n"/>
    </row>
    <row r="229" ht="15" customHeight="1" s="5">
      <c r="C229" s="7" t="n"/>
      <c r="D229" s="7" t="n"/>
      <c r="E229" s="7" t="n"/>
      <c r="F229" s="7" t="n"/>
      <c r="G229" s="7" t="n"/>
      <c r="J229" s="7" t="n"/>
      <c r="K229" s="7" t="n"/>
      <c r="M229" s="7" t="n"/>
      <c r="N229" s="7" t="n"/>
      <c r="O229" s="7" t="n"/>
      <c r="AJ229" s="7" t="n"/>
      <c r="AK229" s="7" t="n"/>
    </row>
    <row r="230" ht="15" customHeight="1" s="5">
      <c r="C230" s="7" t="n"/>
      <c r="D230" s="7" t="n"/>
      <c r="E230" s="7" t="n"/>
      <c r="F230" s="7" t="n"/>
      <c r="G230" s="7" t="n"/>
      <c r="J230" s="7" t="n"/>
      <c r="K230" s="7" t="n"/>
      <c r="M230" s="7" t="n"/>
      <c r="N230" s="7" t="n"/>
      <c r="O230" s="7" t="n"/>
      <c r="AJ230" s="7" t="n"/>
      <c r="AK230" s="7" t="n"/>
    </row>
    <row r="231" ht="15" customHeight="1" s="5">
      <c r="C231" s="7" t="n"/>
      <c r="D231" s="7" t="n"/>
      <c r="E231" s="7" t="n"/>
      <c r="F231" s="7" t="n"/>
      <c r="G231" s="7" t="n"/>
      <c r="J231" s="7" t="n"/>
      <c r="K231" s="7" t="n"/>
      <c r="M231" s="7" t="n"/>
      <c r="N231" s="7" t="n"/>
      <c r="O231" s="7" t="n"/>
      <c r="AJ231" s="7" t="n"/>
      <c r="AK231" s="7" t="n"/>
    </row>
    <row r="232" ht="15" customHeight="1" s="5">
      <c r="C232" s="7" t="n"/>
      <c r="D232" s="7" t="n"/>
      <c r="E232" s="7" t="n"/>
      <c r="F232" s="7" t="n"/>
      <c r="G232" s="7" t="n"/>
      <c r="J232" s="7" t="n"/>
      <c r="K232" s="7" t="n"/>
      <c r="M232" s="7" t="n"/>
      <c r="N232" s="7" t="n"/>
      <c r="O232" s="7" t="n"/>
      <c r="AJ232" s="7" t="n"/>
      <c r="AK232" s="7" t="n"/>
    </row>
    <row r="233" ht="15" customHeight="1" s="5">
      <c r="C233" s="7" t="n"/>
      <c r="D233" s="7" t="n"/>
      <c r="E233" s="7" t="n"/>
      <c r="F233" s="7" t="n"/>
      <c r="G233" s="7" t="n"/>
      <c r="J233" s="7" t="n"/>
      <c r="K233" s="7" t="n"/>
      <c r="M233" s="7" t="n"/>
      <c r="N233" s="7" t="n"/>
      <c r="O233" s="7" t="n"/>
      <c r="AJ233" s="7" t="n"/>
      <c r="AK233" s="7" t="n"/>
    </row>
    <row r="234" ht="15" customHeight="1" s="5">
      <c r="C234" s="7" t="n"/>
      <c r="D234" s="7" t="n"/>
      <c r="E234" s="7" t="n"/>
      <c r="F234" s="7" t="n"/>
      <c r="G234" s="7" t="n"/>
      <c r="J234" s="7" t="n"/>
      <c r="K234" s="7" t="n"/>
      <c r="M234" s="7" t="n"/>
      <c r="N234" s="7" t="n"/>
      <c r="O234" s="7" t="n"/>
      <c r="AJ234" s="7" t="n"/>
      <c r="AK234" s="7" t="n"/>
    </row>
    <row r="235" ht="15" customHeight="1" s="5">
      <c r="C235" s="7" t="n"/>
      <c r="D235" s="7" t="n"/>
      <c r="E235" s="7" t="n"/>
      <c r="F235" s="7" t="n"/>
      <c r="G235" s="7" t="n"/>
      <c r="J235" s="7" t="n"/>
      <c r="K235" s="7" t="n"/>
      <c r="M235" s="7" t="n"/>
      <c r="N235" s="7" t="n"/>
      <c r="O235" s="7" t="n"/>
      <c r="AJ235" s="7" t="n"/>
      <c r="AK235" s="7" t="n"/>
    </row>
    <row r="236" ht="15" customHeight="1" s="5">
      <c r="C236" s="7" t="n"/>
      <c r="D236" s="7" t="n"/>
      <c r="E236" s="7" t="n"/>
      <c r="F236" s="7" t="n"/>
      <c r="G236" s="7" t="n"/>
      <c r="J236" s="7" t="n"/>
      <c r="K236" s="7" t="n"/>
      <c r="M236" s="7" t="n"/>
      <c r="N236" s="7" t="n"/>
      <c r="O236" s="7" t="n"/>
      <c r="AJ236" s="7" t="n"/>
      <c r="AK236" s="7" t="n"/>
    </row>
    <row r="237" ht="15" customHeight="1" s="5">
      <c r="C237" s="7" t="n"/>
      <c r="D237" s="7" t="n"/>
      <c r="E237" s="7" t="n"/>
      <c r="F237" s="7" t="n"/>
      <c r="G237" s="7" t="n"/>
      <c r="J237" s="7" t="n"/>
      <c r="K237" s="7" t="n"/>
      <c r="M237" s="7" t="n"/>
      <c r="N237" s="7" t="n"/>
      <c r="O237" s="7" t="n"/>
      <c r="AJ237" s="7" t="n"/>
      <c r="AK237" s="7" t="n"/>
    </row>
    <row r="238" ht="15" customHeight="1" s="5">
      <c r="C238" s="7" t="n"/>
      <c r="D238" s="7" t="n"/>
      <c r="E238" s="7" t="n"/>
      <c r="F238" s="7" t="n"/>
      <c r="G238" s="7" t="n"/>
      <c r="J238" s="7" t="n"/>
      <c r="K238" s="7" t="n"/>
      <c r="M238" s="7" t="n"/>
      <c r="N238" s="7" t="n"/>
      <c r="O238" s="7" t="n"/>
      <c r="AJ238" s="7" t="n"/>
      <c r="AK238" s="7" t="n"/>
    </row>
    <row r="239" ht="15" customHeight="1" s="5">
      <c r="C239" s="7" t="n"/>
      <c r="D239" s="7" t="n"/>
      <c r="E239" s="7" t="n"/>
      <c r="F239" s="7" t="n"/>
      <c r="G239" s="7" t="n"/>
      <c r="J239" s="7" t="n"/>
      <c r="K239" s="7" t="n"/>
      <c r="M239" s="7" t="n"/>
      <c r="N239" s="7" t="n"/>
      <c r="O239" s="7" t="n"/>
      <c r="AJ239" s="7" t="n"/>
      <c r="AK239" s="7" t="n"/>
    </row>
    <row r="240" ht="15" customHeight="1" s="5">
      <c r="C240" s="7" t="n"/>
      <c r="D240" s="7" t="n"/>
      <c r="E240" s="7" t="n"/>
      <c r="F240" s="7" t="n"/>
      <c r="G240" s="7" t="n"/>
      <c r="J240" s="7" t="n"/>
      <c r="K240" s="7" t="n"/>
      <c r="M240" s="7" t="n"/>
      <c r="N240" s="7" t="n"/>
      <c r="O240" s="7" t="n"/>
      <c r="AJ240" s="7" t="n"/>
      <c r="AK240" s="7" t="n"/>
    </row>
    <row r="241" ht="15" customHeight="1" s="5">
      <c r="C241" s="7" t="n"/>
      <c r="D241" s="7" t="n"/>
      <c r="E241" s="7" t="n"/>
      <c r="F241" s="7" t="n"/>
      <c r="G241" s="7" t="n"/>
      <c r="J241" s="7" t="n"/>
      <c r="K241" s="7" t="n"/>
      <c r="M241" s="7" t="n"/>
      <c r="N241" s="7" t="n"/>
      <c r="O241" s="7" t="n"/>
      <c r="AJ241" s="7" t="n"/>
      <c r="AK241" s="7" t="n"/>
    </row>
    <row r="242" ht="15" customHeight="1" s="5">
      <c r="C242" s="7" t="n"/>
      <c r="D242" s="7" t="n"/>
      <c r="E242" s="7" t="n"/>
      <c r="F242" s="7" t="n"/>
      <c r="G242" s="7" t="n"/>
      <c r="J242" s="7" t="n"/>
      <c r="K242" s="7" t="n"/>
      <c r="M242" s="7" t="n"/>
      <c r="N242" s="7" t="n"/>
      <c r="O242" s="7" t="n"/>
      <c r="AJ242" s="7" t="n"/>
      <c r="AK242" s="7" t="n"/>
    </row>
    <row r="243" ht="15" customHeight="1" s="5">
      <c r="C243" s="7" t="n"/>
      <c r="D243" s="7" t="n"/>
      <c r="E243" s="7" t="n"/>
      <c r="F243" s="7" t="n"/>
      <c r="G243" s="7" t="n"/>
      <c r="J243" s="7" t="n"/>
      <c r="K243" s="7" t="n"/>
      <c r="M243" s="7" t="n"/>
      <c r="N243" s="7" t="n"/>
      <c r="O243" s="7" t="n"/>
      <c r="AJ243" s="7" t="n"/>
      <c r="AK243" s="7" t="n"/>
    </row>
    <row r="244" ht="15" customHeight="1" s="5">
      <c r="C244" s="7" t="n"/>
      <c r="D244" s="7" t="n"/>
      <c r="E244" s="7" t="n"/>
      <c r="F244" s="7" t="n"/>
      <c r="G244" s="7" t="n"/>
      <c r="J244" s="7" t="n"/>
      <c r="K244" s="7" t="n"/>
      <c r="M244" s="7" t="n"/>
      <c r="N244" s="7" t="n"/>
      <c r="O244" s="7" t="n"/>
      <c r="AJ244" s="7" t="n"/>
      <c r="AK244" s="7" t="n"/>
    </row>
    <row r="245" ht="15" customHeight="1" s="5">
      <c r="C245" s="7" t="n"/>
      <c r="D245" s="7" t="n"/>
      <c r="E245" s="7" t="n"/>
      <c r="F245" s="7" t="n"/>
      <c r="G245" s="7" t="n"/>
      <c r="J245" s="7" t="n"/>
      <c r="K245" s="7" t="n"/>
      <c r="M245" s="7" t="n"/>
      <c r="N245" s="7" t="n"/>
      <c r="O245" s="7" t="n"/>
      <c r="AJ245" s="7" t="n"/>
      <c r="AK245" s="7" t="n"/>
    </row>
    <row r="246" ht="15" customHeight="1" s="5">
      <c r="C246" s="7" t="n"/>
      <c r="D246" s="7" t="n"/>
      <c r="E246" s="7" t="n"/>
      <c r="F246" s="7" t="n"/>
      <c r="G246" s="7" t="n"/>
      <c r="J246" s="7" t="n"/>
      <c r="K246" s="7" t="n"/>
      <c r="M246" s="7" t="n"/>
      <c r="N246" s="7" t="n"/>
      <c r="O246" s="7" t="n"/>
      <c r="AJ246" s="7" t="n"/>
      <c r="AK246" s="7" t="n"/>
    </row>
    <row r="247" ht="15" customHeight="1" s="5">
      <c r="C247" s="7" t="n"/>
      <c r="D247" s="7" t="n"/>
      <c r="E247" s="7" t="n"/>
      <c r="F247" s="7" t="n"/>
      <c r="G247" s="7" t="n"/>
      <c r="J247" s="7" t="n"/>
      <c r="K247" s="7" t="n"/>
      <c r="M247" s="7" t="n"/>
      <c r="N247" s="7" t="n"/>
      <c r="O247" s="7" t="n"/>
      <c r="AJ247" s="7" t="n"/>
      <c r="AK247" s="7" t="n"/>
    </row>
    <row r="248" ht="15" customHeight="1" s="5">
      <c r="C248" s="7" t="n"/>
      <c r="D248" s="7" t="n"/>
      <c r="E248" s="7" t="n"/>
      <c r="F248" s="7" t="n"/>
      <c r="G248" s="7" t="n"/>
      <c r="J248" s="7" t="n"/>
      <c r="K248" s="7" t="n"/>
      <c r="M248" s="7" t="n"/>
      <c r="N248" s="7" t="n"/>
      <c r="O248" s="7" t="n"/>
      <c r="AJ248" s="7" t="n"/>
      <c r="AK248" s="7" t="n"/>
    </row>
    <row r="249" ht="15" customHeight="1" s="5">
      <c r="C249" s="7" t="n"/>
      <c r="D249" s="7" t="n"/>
      <c r="E249" s="7" t="n"/>
      <c r="F249" s="7" t="n"/>
      <c r="G249" s="7" t="n"/>
      <c r="J249" s="7" t="n"/>
      <c r="K249" s="7" t="n"/>
      <c r="M249" s="7" t="n"/>
      <c r="N249" s="7" t="n"/>
      <c r="O249" s="7" t="n"/>
      <c r="AJ249" s="7" t="n"/>
      <c r="AK249" s="7" t="n"/>
    </row>
    <row r="250" ht="15" customHeight="1" s="5">
      <c r="C250" s="7" t="n"/>
      <c r="D250" s="7" t="n"/>
      <c r="E250" s="7" t="n"/>
      <c r="F250" s="7" t="n"/>
      <c r="G250" s="7" t="n"/>
      <c r="J250" s="7" t="n"/>
      <c r="K250" s="7" t="n"/>
      <c r="M250" s="7" t="n"/>
      <c r="N250" s="7" t="n"/>
      <c r="O250" s="7" t="n"/>
      <c r="AJ250" s="7" t="n"/>
      <c r="AK250" s="7" t="n"/>
    </row>
    <row r="251" ht="15" customHeight="1" s="5">
      <c r="C251" s="7" t="n"/>
      <c r="D251" s="7" t="n"/>
      <c r="E251" s="7" t="n"/>
      <c r="F251" s="7" t="n"/>
      <c r="G251" s="7" t="n"/>
      <c r="J251" s="7" t="n"/>
      <c r="K251" s="7" t="n"/>
      <c r="M251" s="7" t="n"/>
      <c r="N251" s="7" t="n"/>
      <c r="O251" s="7" t="n"/>
      <c r="AJ251" s="7" t="n"/>
      <c r="AK251" s="7" t="n"/>
    </row>
    <row r="252" ht="15" customHeight="1" s="5">
      <c r="C252" s="7" t="n"/>
      <c r="D252" s="7" t="n"/>
      <c r="E252" s="7" t="n"/>
      <c r="F252" s="7" t="n"/>
      <c r="G252" s="7" t="n"/>
      <c r="J252" s="7" t="n"/>
      <c r="K252" s="7" t="n"/>
      <c r="M252" s="7" t="n"/>
      <c r="N252" s="7" t="n"/>
      <c r="O252" s="7" t="n"/>
      <c r="AJ252" s="7" t="n"/>
      <c r="AK252" s="7" t="n"/>
    </row>
    <row r="253" ht="15" customHeight="1" s="5">
      <c r="C253" s="7" t="n"/>
      <c r="D253" s="7" t="n"/>
      <c r="E253" s="7" t="n"/>
      <c r="F253" s="7" t="n"/>
      <c r="G253" s="7" t="n"/>
      <c r="J253" s="7" t="n"/>
      <c r="K253" s="7" t="n"/>
      <c r="M253" s="7" t="n"/>
      <c r="N253" s="7" t="n"/>
      <c r="O253" s="7" t="n"/>
      <c r="AJ253" s="7" t="n"/>
      <c r="AK253" s="7" t="n"/>
    </row>
    <row r="254" ht="15" customHeight="1" s="5">
      <c r="C254" s="7" t="n"/>
      <c r="D254" s="7" t="n"/>
      <c r="E254" s="7" t="n"/>
      <c r="F254" s="7" t="n"/>
      <c r="G254" s="7" t="n"/>
      <c r="J254" s="7" t="n"/>
      <c r="K254" s="7" t="n"/>
      <c r="M254" s="7" t="n"/>
      <c r="N254" s="7" t="n"/>
      <c r="O254" s="7" t="n"/>
      <c r="AJ254" s="7" t="n"/>
      <c r="AK254" s="7" t="n"/>
    </row>
    <row r="255" ht="15" customHeight="1" s="5">
      <c r="C255" s="7" t="n"/>
      <c r="D255" s="7" t="n"/>
      <c r="E255" s="7" t="n"/>
      <c r="F255" s="7" t="n"/>
      <c r="G255" s="7" t="n"/>
      <c r="J255" s="7" t="n"/>
      <c r="K255" s="7" t="n"/>
      <c r="M255" s="7" t="n"/>
      <c r="N255" s="7" t="n"/>
      <c r="O255" s="7" t="n"/>
      <c r="AJ255" s="7" t="n"/>
      <c r="AK255" s="7" t="n"/>
    </row>
    <row r="256" ht="15" customHeight="1" s="5">
      <c r="C256" s="7" t="n"/>
      <c r="D256" s="7" t="n"/>
      <c r="E256" s="7" t="n"/>
      <c r="F256" s="7" t="n"/>
      <c r="G256" s="7" t="n"/>
      <c r="J256" s="7" t="n"/>
      <c r="K256" s="7" t="n"/>
      <c r="M256" s="7" t="n"/>
      <c r="N256" s="7" t="n"/>
      <c r="O256" s="7" t="n"/>
      <c r="AJ256" s="7" t="n"/>
      <c r="AK256" s="7" t="n"/>
    </row>
    <row r="257" ht="15" customHeight="1" s="5">
      <c r="C257" s="7" t="n"/>
      <c r="D257" s="7" t="n"/>
      <c r="E257" s="7" t="n"/>
      <c r="F257" s="7" t="n"/>
      <c r="G257" s="7" t="n"/>
      <c r="J257" s="7" t="n"/>
      <c r="K257" s="7" t="n"/>
      <c r="M257" s="7" t="n"/>
      <c r="N257" s="7" t="n"/>
      <c r="O257" s="7" t="n"/>
      <c r="AJ257" s="7" t="n"/>
      <c r="AK257" s="7" t="n"/>
    </row>
    <row r="258" ht="15" customHeight="1" s="5">
      <c r="C258" s="7" t="n"/>
      <c r="D258" s="7" t="n"/>
      <c r="E258" s="7" t="n"/>
      <c r="F258" s="7" t="n"/>
      <c r="G258" s="7" t="n"/>
      <c r="J258" s="7" t="n"/>
      <c r="K258" s="7" t="n"/>
      <c r="M258" s="7" t="n"/>
      <c r="N258" s="7" t="n"/>
      <c r="O258" s="7" t="n"/>
      <c r="AJ258" s="7" t="n"/>
      <c r="AK258" s="7" t="n"/>
    </row>
    <row r="259" ht="15" customHeight="1" s="5">
      <c r="C259" s="7" t="n"/>
      <c r="D259" s="7" t="n"/>
      <c r="E259" s="7" t="n"/>
      <c r="F259" s="7" t="n"/>
      <c r="G259" s="7" t="n"/>
      <c r="J259" s="7" t="n"/>
      <c r="K259" s="7" t="n"/>
      <c r="M259" s="7" t="n"/>
      <c r="N259" s="7" t="n"/>
      <c r="O259" s="7" t="n"/>
      <c r="AJ259" s="7" t="n"/>
      <c r="AK259" s="7" t="n"/>
    </row>
    <row r="260" ht="15" customHeight="1" s="5">
      <c r="C260" s="7" t="n"/>
      <c r="D260" s="7" t="n"/>
      <c r="E260" s="7" t="n"/>
      <c r="F260" s="7" t="n"/>
      <c r="G260" s="7" t="n"/>
      <c r="J260" s="7" t="n"/>
      <c r="K260" s="7" t="n"/>
      <c r="M260" s="7" t="n"/>
      <c r="N260" s="7" t="n"/>
      <c r="O260" s="7" t="n"/>
      <c r="AJ260" s="7" t="n"/>
      <c r="AK260" s="7" t="n"/>
    </row>
    <row r="261" ht="15" customHeight="1" s="5">
      <c r="C261" s="7" t="n"/>
      <c r="D261" s="7" t="n"/>
      <c r="E261" s="7" t="n"/>
      <c r="F261" s="7" t="n"/>
      <c r="G261" s="7" t="n"/>
      <c r="J261" s="7" t="n"/>
      <c r="K261" s="7" t="n"/>
      <c r="M261" s="7" t="n"/>
      <c r="N261" s="7" t="n"/>
      <c r="O261" s="7" t="n"/>
      <c r="AJ261" s="7" t="n"/>
      <c r="AK261" s="7" t="n"/>
    </row>
    <row r="262" ht="15" customHeight="1" s="5">
      <c r="C262" s="7" t="n"/>
      <c r="D262" s="7" t="n"/>
      <c r="E262" s="7" t="n"/>
      <c r="F262" s="7" t="n"/>
      <c r="G262" s="7" t="n"/>
      <c r="J262" s="7" t="n"/>
      <c r="K262" s="7" t="n"/>
      <c r="M262" s="7" t="n"/>
      <c r="N262" s="7" t="n"/>
      <c r="O262" s="7" t="n"/>
      <c r="AJ262" s="7" t="n"/>
      <c r="AK262" s="7" t="n"/>
    </row>
    <row r="263" ht="15" customHeight="1" s="5">
      <c r="C263" s="7" t="n"/>
      <c r="D263" s="7" t="n"/>
      <c r="E263" s="7" t="n"/>
      <c r="F263" s="7" t="n"/>
      <c r="G263" s="7" t="n"/>
      <c r="J263" s="7" t="n"/>
      <c r="K263" s="7" t="n"/>
      <c r="M263" s="7" t="n"/>
      <c r="N263" s="7" t="n"/>
      <c r="O263" s="7" t="n"/>
      <c r="AJ263" s="7" t="n"/>
      <c r="AK263" s="7" t="n"/>
    </row>
    <row r="264" ht="15" customHeight="1" s="5">
      <c r="C264" s="7" t="n"/>
      <c r="D264" s="7" t="n"/>
      <c r="E264" s="7" t="n"/>
      <c r="F264" s="7" t="n"/>
      <c r="G264" s="7" t="n"/>
      <c r="J264" s="7" t="n"/>
      <c r="K264" s="7" t="n"/>
      <c r="M264" s="7" t="n"/>
      <c r="N264" s="7" t="n"/>
      <c r="O264" s="7" t="n"/>
      <c r="AJ264" s="7" t="n"/>
      <c r="AK264" s="7" t="n"/>
    </row>
    <row r="265" ht="15" customHeight="1" s="5">
      <c r="C265" s="7" t="n"/>
      <c r="D265" s="7" t="n"/>
      <c r="E265" s="7" t="n"/>
      <c r="F265" s="7" t="n"/>
      <c r="G265" s="7" t="n"/>
      <c r="J265" s="7" t="n"/>
      <c r="K265" s="7" t="n"/>
      <c r="M265" s="7" t="n"/>
      <c r="N265" s="7" t="n"/>
      <c r="O265" s="7" t="n"/>
      <c r="AJ265" s="7" t="n"/>
      <c r="AK265" s="7" t="n"/>
    </row>
    <row r="266" ht="15" customHeight="1" s="5">
      <c r="C266" s="7" t="n"/>
      <c r="D266" s="7" t="n"/>
      <c r="E266" s="7" t="n"/>
      <c r="F266" s="7" t="n"/>
      <c r="G266" s="7" t="n"/>
      <c r="J266" s="7" t="n"/>
      <c r="K266" s="7" t="n"/>
      <c r="M266" s="7" t="n"/>
      <c r="N266" s="7" t="n"/>
      <c r="O266" s="7" t="n"/>
      <c r="AJ266" s="7" t="n"/>
      <c r="AK266" s="7" t="n"/>
    </row>
    <row r="267" ht="15" customHeight="1" s="5">
      <c r="C267" s="7" t="n"/>
      <c r="D267" s="7" t="n"/>
      <c r="E267" s="7" t="n"/>
      <c r="F267" s="7" t="n"/>
      <c r="G267" s="7" t="n"/>
      <c r="J267" s="7" t="n"/>
      <c r="K267" s="7" t="n"/>
      <c r="M267" s="7" t="n"/>
      <c r="N267" s="7" t="n"/>
      <c r="O267" s="7" t="n"/>
      <c r="AJ267" s="7" t="n"/>
      <c r="AK267" s="7" t="n"/>
    </row>
    <row r="268" ht="15" customHeight="1" s="5">
      <c r="C268" s="7" t="n"/>
      <c r="D268" s="7" t="n"/>
      <c r="E268" s="7" t="n"/>
      <c r="F268" s="7" t="n"/>
      <c r="G268" s="7" t="n"/>
      <c r="J268" s="7" t="n"/>
      <c r="K268" s="7" t="n"/>
      <c r="M268" s="7" t="n"/>
      <c r="N268" s="7" t="n"/>
      <c r="O268" s="7" t="n"/>
      <c r="AJ268" s="7" t="n"/>
      <c r="AK268" s="7" t="n"/>
    </row>
    <row r="269" ht="15" customHeight="1" s="5">
      <c r="C269" s="7" t="n"/>
      <c r="D269" s="7" t="n"/>
      <c r="E269" s="7" t="n"/>
      <c r="F269" s="7" t="n"/>
      <c r="G269" s="7" t="n"/>
      <c r="J269" s="7" t="n"/>
      <c r="K269" s="7" t="n"/>
      <c r="M269" s="7" t="n"/>
      <c r="N269" s="7" t="n"/>
      <c r="O269" s="7" t="n"/>
      <c r="AJ269" s="7" t="n"/>
      <c r="AK269" s="7" t="n"/>
    </row>
    <row r="270" ht="15" customHeight="1" s="5">
      <c r="C270" s="7" t="n"/>
      <c r="D270" s="7" t="n"/>
      <c r="E270" s="7" t="n"/>
      <c r="F270" s="7" t="n"/>
      <c r="G270" s="7" t="n"/>
      <c r="J270" s="7" t="n"/>
      <c r="K270" s="7" t="n"/>
      <c r="M270" s="7" t="n"/>
      <c r="N270" s="7" t="n"/>
      <c r="O270" s="7" t="n"/>
      <c r="AJ270" s="7" t="n"/>
      <c r="AK270" s="7" t="n"/>
    </row>
    <row r="271" ht="15" customHeight="1" s="5">
      <c r="C271" s="7" t="n"/>
      <c r="D271" s="7" t="n"/>
      <c r="E271" s="7" t="n"/>
      <c r="F271" s="7" t="n"/>
      <c r="G271" s="7" t="n"/>
      <c r="J271" s="7" t="n"/>
      <c r="K271" s="7" t="n"/>
      <c r="M271" s="7" t="n"/>
      <c r="N271" s="7" t="n"/>
      <c r="O271" s="7" t="n"/>
      <c r="AJ271" s="7" t="n"/>
      <c r="AK271" s="7" t="n"/>
    </row>
    <row r="272" ht="15" customHeight="1" s="5">
      <c r="C272" s="7" t="n"/>
      <c r="D272" s="7" t="n"/>
      <c r="E272" s="7" t="n"/>
      <c r="F272" s="7" t="n"/>
      <c r="G272" s="7" t="n"/>
      <c r="J272" s="7" t="n"/>
      <c r="K272" s="7" t="n"/>
      <c r="M272" s="7" t="n"/>
      <c r="N272" s="7" t="n"/>
      <c r="O272" s="7" t="n"/>
      <c r="AJ272" s="7" t="n"/>
      <c r="AK272" s="7" t="n"/>
    </row>
    <row r="273" ht="15" customHeight="1" s="5">
      <c r="C273" s="7" t="n"/>
      <c r="D273" s="7" t="n"/>
      <c r="E273" s="7" t="n"/>
      <c r="F273" s="7" t="n"/>
      <c r="G273" s="7" t="n"/>
      <c r="J273" s="7" t="n"/>
      <c r="K273" s="7" t="n"/>
      <c r="M273" s="7" t="n"/>
      <c r="N273" s="7" t="n"/>
      <c r="O273" s="7" t="n"/>
      <c r="AJ273" s="7" t="n"/>
      <c r="AK273" s="7" t="n"/>
    </row>
    <row r="274" ht="15" customHeight="1" s="5">
      <c r="C274" s="7" t="n"/>
      <c r="D274" s="7" t="n"/>
      <c r="E274" s="7" t="n"/>
      <c r="F274" s="7" t="n"/>
      <c r="G274" s="7" t="n"/>
      <c r="J274" s="7" t="n"/>
      <c r="K274" s="7" t="n"/>
      <c r="M274" s="7" t="n"/>
      <c r="N274" s="7" t="n"/>
      <c r="O274" s="7" t="n"/>
      <c r="AJ274" s="7" t="n"/>
      <c r="AK274" s="7" t="n"/>
    </row>
    <row r="275" ht="15" customHeight="1" s="5">
      <c r="C275" s="7" t="n"/>
      <c r="D275" s="7" t="n"/>
      <c r="E275" s="7" t="n"/>
      <c r="F275" s="7" t="n"/>
      <c r="G275" s="7" t="n"/>
      <c r="J275" s="7" t="n"/>
      <c r="K275" s="7" t="n"/>
      <c r="M275" s="7" t="n"/>
      <c r="N275" s="7" t="n"/>
      <c r="O275" s="7" t="n"/>
      <c r="AJ275" s="7" t="n"/>
      <c r="AK275" s="7" t="n"/>
    </row>
    <row r="276" ht="15" customHeight="1" s="5">
      <c r="C276" s="7" t="n"/>
      <c r="D276" s="7" t="n"/>
      <c r="E276" s="7" t="n"/>
      <c r="F276" s="7" t="n"/>
      <c r="G276" s="7" t="n"/>
      <c r="J276" s="7" t="n"/>
      <c r="K276" s="7" t="n"/>
      <c r="M276" s="7" t="n"/>
      <c r="N276" s="7" t="n"/>
      <c r="O276" s="7" t="n"/>
      <c r="AJ276" s="7" t="n"/>
      <c r="AK276" s="7" t="n"/>
    </row>
    <row r="277" ht="15" customHeight="1" s="5">
      <c r="C277" s="7" t="n"/>
      <c r="D277" s="7" t="n"/>
      <c r="E277" s="7" t="n"/>
      <c r="F277" s="7" t="n"/>
      <c r="G277" s="7" t="n"/>
      <c r="J277" s="7" t="n"/>
      <c r="K277" s="7" t="n"/>
      <c r="M277" s="7" t="n"/>
      <c r="N277" s="7" t="n"/>
      <c r="O277" s="7" t="n"/>
      <c r="AJ277" s="7" t="n"/>
      <c r="AK277" s="7" t="n"/>
    </row>
    <row r="278" ht="15" customHeight="1" s="5">
      <c r="C278" s="7" t="n"/>
      <c r="D278" s="7" t="n"/>
      <c r="E278" s="7" t="n"/>
      <c r="F278" s="7" t="n"/>
      <c r="G278" s="7" t="n"/>
      <c r="J278" s="7" t="n"/>
      <c r="K278" s="7" t="n"/>
      <c r="M278" s="7" t="n"/>
      <c r="N278" s="7" t="n"/>
      <c r="O278" s="7" t="n"/>
      <c r="AJ278" s="7" t="n"/>
      <c r="AK278" s="7" t="n"/>
    </row>
    <row r="279" ht="15" customHeight="1" s="5">
      <c r="C279" s="7" t="n"/>
      <c r="D279" s="7" t="n"/>
      <c r="E279" s="7" t="n"/>
      <c r="F279" s="7" t="n"/>
      <c r="G279" s="7" t="n"/>
      <c r="J279" s="7" t="n"/>
      <c r="K279" s="7" t="n"/>
      <c r="M279" s="7" t="n"/>
      <c r="N279" s="7" t="n"/>
      <c r="O279" s="7" t="n"/>
      <c r="AJ279" s="7" t="n"/>
      <c r="AK279" s="7" t="n"/>
    </row>
    <row r="280" ht="15" customHeight="1" s="5">
      <c r="C280" s="7" t="n"/>
      <c r="D280" s="7" t="n"/>
      <c r="E280" s="7" t="n"/>
      <c r="F280" s="7" t="n"/>
      <c r="G280" s="7" t="n"/>
      <c r="J280" s="7" t="n"/>
      <c r="K280" s="7" t="n"/>
      <c r="M280" s="7" t="n"/>
      <c r="N280" s="7" t="n"/>
      <c r="O280" s="7" t="n"/>
      <c r="AJ280" s="7" t="n"/>
      <c r="AK280" s="7" t="n"/>
    </row>
    <row r="281" ht="15" customHeight="1" s="5">
      <c r="C281" s="7" t="n"/>
      <c r="D281" s="7" t="n"/>
      <c r="E281" s="7" t="n"/>
      <c r="F281" s="7" t="n"/>
      <c r="G281" s="7" t="n"/>
      <c r="J281" s="7" t="n"/>
      <c r="K281" s="7" t="n"/>
      <c r="M281" s="7" t="n"/>
      <c r="N281" s="7" t="n"/>
      <c r="O281" s="7" t="n"/>
      <c r="AJ281" s="7" t="n"/>
      <c r="AK281" s="7" t="n"/>
    </row>
    <row r="282" ht="15" customHeight="1" s="5">
      <c r="C282" s="7" t="n"/>
      <c r="D282" s="7" t="n"/>
      <c r="E282" s="7" t="n"/>
      <c r="F282" s="7" t="n"/>
      <c r="G282" s="7" t="n"/>
      <c r="J282" s="7" t="n"/>
      <c r="K282" s="7" t="n"/>
      <c r="M282" s="7" t="n"/>
      <c r="N282" s="7" t="n"/>
      <c r="O282" s="7" t="n"/>
      <c r="AJ282" s="7" t="n"/>
      <c r="AK282" s="7" t="n"/>
    </row>
    <row r="283" ht="15" customHeight="1" s="5">
      <c r="C283" s="7" t="n"/>
      <c r="D283" s="7" t="n"/>
      <c r="E283" s="7" t="n"/>
      <c r="F283" s="7" t="n"/>
      <c r="G283" s="7" t="n"/>
      <c r="J283" s="7" t="n"/>
      <c r="K283" s="7" t="n"/>
      <c r="M283" s="7" t="n"/>
      <c r="N283" s="7" t="n"/>
      <c r="O283" s="7" t="n"/>
      <c r="AJ283" s="7" t="n"/>
      <c r="AK283" s="7" t="n"/>
    </row>
    <row r="284" ht="15" customHeight="1" s="5">
      <c r="C284" s="7" t="n"/>
      <c r="D284" s="7" t="n"/>
      <c r="E284" s="7" t="n"/>
      <c r="F284" s="7" t="n"/>
      <c r="G284" s="7" t="n"/>
      <c r="J284" s="7" t="n"/>
      <c r="K284" s="7" t="n"/>
      <c r="M284" s="7" t="n"/>
      <c r="N284" s="7" t="n"/>
      <c r="O284" s="7" t="n"/>
      <c r="AJ284" s="7" t="n"/>
      <c r="AK284" s="7" t="n"/>
    </row>
    <row r="285" ht="15" customHeight="1" s="5">
      <c r="C285" s="7" t="n"/>
      <c r="D285" s="7" t="n"/>
      <c r="E285" s="7" t="n"/>
      <c r="F285" s="7" t="n"/>
      <c r="G285" s="7" t="n"/>
      <c r="J285" s="7" t="n"/>
      <c r="K285" s="7" t="n"/>
      <c r="M285" s="7" t="n"/>
      <c r="N285" s="7" t="n"/>
      <c r="O285" s="7" t="n"/>
      <c r="AJ285" s="7" t="n"/>
      <c r="AK285" s="7" t="n"/>
    </row>
    <row r="286" ht="15" customHeight="1" s="5">
      <c r="C286" s="7" t="n"/>
      <c r="D286" s="7" t="n"/>
      <c r="E286" s="7" t="n"/>
      <c r="F286" s="7" t="n"/>
      <c r="G286" s="7" t="n"/>
      <c r="J286" s="7" t="n"/>
      <c r="K286" s="7" t="n"/>
      <c r="M286" s="7" t="n"/>
      <c r="N286" s="7" t="n"/>
      <c r="O286" s="7" t="n"/>
      <c r="AJ286" s="7" t="n"/>
      <c r="AK286" s="7" t="n"/>
    </row>
    <row r="287" ht="15" customHeight="1" s="5">
      <c r="C287" s="7" t="n"/>
      <c r="D287" s="7" t="n"/>
      <c r="E287" s="7" t="n"/>
      <c r="F287" s="7" t="n"/>
      <c r="G287" s="7" t="n"/>
      <c r="J287" s="7" t="n"/>
      <c r="K287" s="7" t="n"/>
      <c r="M287" s="7" t="n"/>
      <c r="N287" s="7" t="n"/>
      <c r="O287" s="7" t="n"/>
      <c r="AJ287" s="7" t="n"/>
      <c r="AK287" s="7" t="n"/>
    </row>
    <row r="288" ht="15" customHeight="1" s="5">
      <c r="C288" s="7" t="n"/>
      <c r="D288" s="7" t="n"/>
      <c r="E288" s="7" t="n"/>
      <c r="F288" s="7" t="n"/>
      <c r="G288" s="7" t="n"/>
      <c r="J288" s="7" t="n"/>
      <c r="K288" s="7" t="n"/>
      <c r="M288" s="7" t="n"/>
      <c r="N288" s="7" t="n"/>
      <c r="O288" s="7" t="n"/>
      <c r="AJ288" s="7" t="n"/>
      <c r="AK288" s="7" t="n"/>
    </row>
    <row r="289" ht="15" customHeight="1" s="5">
      <c r="C289" s="7" t="n"/>
      <c r="D289" s="7" t="n"/>
      <c r="E289" s="7" t="n"/>
      <c r="F289" s="7" t="n"/>
      <c r="G289" s="7" t="n"/>
      <c r="J289" s="7" t="n"/>
      <c r="K289" s="7" t="n"/>
      <c r="M289" s="7" t="n"/>
      <c r="N289" s="7" t="n"/>
      <c r="O289" s="7" t="n"/>
      <c r="AJ289" s="7" t="n"/>
      <c r="AK289" s="7" t="n"/>
    </row>
    <row r="290" ht="15" customHeight="1" s="5">
      <c r="C290" s="7" t="n"/>
      <c r="D290" s="7" t="n"/>
      <c r="E290" s="7" t="n"/>
      <c r="F290" s="7" t="n"/>
      <c r="G290" s="7" t="n"/>
      <c r="J290" s="7" t="n"/>
      <c r="K290" s="7" t="n"/>
      <c r="M290" s="7" t="n"/>
      <c r="N290" s="7" t="n"/>
      <c r="O290" s="7" t="n"/>
      <c r="AJ290" s="7" t="n"/>
      <c r="AK290" s="7" t="n"/>
    </row>
    <row r="291" ht="15" customHeight="1" s="5">
      <c r="C291" s="7" t="n"/>
      <c r="D291" s="7" t="n"/>
      <c r="E291" s="7" t="n"/>
      <c r="F291" s="7" t="n"/>
      <c r="G291" s="7" t="n"/>
      <c r="J291" s="7" t="n"/>
      <c r="K291" s="7" t="n"/>
      <c r="M291" s="7" t="n"/>
      <c r="N291" s="7" t="n"/>
      <c r="O291" s="7" t="n"/>
      <c r="AJ291" s="7" t="n"/>
      <c r="AK291" s="7" t="n"/>
    </row>
    <row r="292" ht="15" customHeight="1" s="5">
      <c r="C292" s="7" t="n"/>
      <c r="D292" s="7" t="n"/>
      <c r="E292" s="7" t="n"/>
      <c r="F292" s="7" t="n"/>
      <c r="G292" s="7" t="n"/>
      <c r="J292" s="7" t="n"/>
      <c r="K292" s="7" t="n"/>
      <c r="M292" s="7" t="n"/>
      <c r="N292" s="7" t="n"/>
      <c r="O292" s="7" t="n"/>
      <c r="AJ292" s="7" t="n"/>
      <c r="AK292" s="7" t="n"/>
    </row>
    <row r="293" ht="15" customHeight="1" s="5">
      <c r="C293" s="7" t="n"/>
      <c r="D293" s="7" t="n"/>
      <c r="E293" s="7" t="n"/>
      <c r="F293" s="7" t="n"/>
      <c r="G293" s="7" t="n"/>
      <c r="J293" s="7" t="n"/>
      <c r="K293" s="7" t="n"/>
      <c r="M293" s="7" t="n"/>
      <c r="N293" s="7" t="n"/>
      <c r="O293" s="7" t="n"/>
      <c r="AJ293" s="7" t="n"/>
      <c r="AK293" s="7" t="n"/>
    </row>
    <row r="294" ht="15" customHeight="1" s="5">
      <c r="C294" s="7" t="n"/>
      <c r="D294" s="7" t="n"/>
      <c r="E294" s="7" t="n"/>
      <c r="F294" s="7" t="n"/>
      <c r="G294" s="7" t="n"/>
      <c r="J294" s="7" t="n"/>
      <c r="K294" s="7" t="n"/>
      <c r="M294" s="7" t="n"/>
      <c r="N294" s="7" t="n"/>
      <c r="O294" s="7" t="n"/>
      <c r="AJ294" s="7" t="n"/>
      <c r="AK294" s="7" t="n"/>
    </row>
    <row r="295" ht="15" customHeight="1" s="5">
      <c r="C295" s="7" t="n"/>
      <c r="D295" s="7" t="n"/>
      <c r="E295" s="7" t="n"/>
      <c r="F295" s="7" t="n"/>
      <c r="G295" s="7" t="n"/>
      <c r="J295" s="7" t="n"/>
      <c r="K295" s="7" t="n"/>
      <c r="M295" s="7" t="n"/>
      <c r="N295" s="7" t="n"/>
      <c r="O295" s="7" t="n"/>
      <c r="AJ295" s="7" t="n"/>
      <c r="AK295" s="7" t="n"/>
    </row>
    <row r="296" ht="15" customHeight="1" s="5">
      <c r="C296" s="7" t="n"/>
      <c r="D296" s="7" t="n"/>
      <c r="E296" s="7" t="n"/>
      <c r="F296" s="7" t="n"/>
      <c r="G296" s="7" t="n"/>
      <c r="J296" s="7" t="n"/>
      <c r="K296" s="7" t="n"/>
      <c r="M296" s="7" t="n"/>
      <c r="N296" s="7" t="n"/>
      <c r="O296" s="7" t="n"/>
      <c r="AJ296" s="7" t="n"/>
      <c r="AK296" s="7" t="n"/>
    </row>
    <row r="297" ht="15" customHeight="1" s="5">
      <c r="C297" s="7" t="n"/>
      <c r="D297" s="7" t="n"/>
      <c r="E297" s="7" t="n"/>
      <c r="F297" s="7" t="n"/>
      <c r="G297" s="7" t="n"/>
      <c r="J297" s="7" t="n"/>
      <c r="K297" s="7" t="n"/>
      <c r="M297" s="7" t="n"/>
      <c r="N297" s="7" t="n"/>
      <c r="O297" s="7" t="n"/>
      <c r="AJ297" s="7" t="n"/>
      <c r="AK297" s="7" t="n"/>
    </row>
    <row r="298" ht="15" customHeight="1" s="5">
      <c r="C298" s="7" t="n"/>
      <c r="D298" s="7" t="n"/>
      <c r="E298" s="7" t="n"/>
      <c r="F298" s="7" t="n"/>
      <c r="G298" s="7" t="n"/>
      <c r="J298" s="7" t="n"/>
      <c r="K298" s="7" t="n"/>
      <c r="M298" s="7" t="n"/>
      <c r="N298" s="7" t="n"/>
      <c r="O298" s="7" t="n"/>
      <c r="AJ298" s="7" t="n"/>
      <c r="AK298" s="7" t="n"/>
    </row>
    <row r="299" ht="15" customHeight="1" s="5">
      <c r="C299" s="7" t="n"/>
      <c r="D299" s="7" t="n"/>
      <c r="E299" s="7" t="n"/>
      <c r="F299" s="7" t="n"/>
      <c r="G299" s="7" t="n"/>
      <c r="J299" s="7" t="n"/>
      <c r="K299" s="7" t="n"/>
      <c r="M299" s="7" t="n"/>
      <c r="N299" s="7" t="n"/>
      <c r="O299" s="7" t="n"/>
      <c r="AJ299" s="7" t="n"/>
      <c r="AK299" s="7" t="n"/>
    </row>
    <row r="300" ht="15" customHeight="1" s="5">
      <c r="C300" s="7" t="n"/>
      <c r="D300" s="7" t="n"/>
      <c r="E300" s="7" t="n"/>
      <c r="F300" s="7" t="n"/>
      <c r="G300" s="7" t="n"/>
      <c r="J300" s="7" t="n"/>
      <c r="K300" s="7" t="n"/>
      <c r="M300" s="7" t="n"/>
      <c r="N300" s="7" t="n"/>
      <c r="O300" s="7" t="n"/>
      <c r="AJ300" s="7" t="n"/>
      <c r="AK300" s="7" t="n"/>
    </row>
    <row r="301" ht="15" customHeight="1" s="5">
      <c r="C301" s="7" t="n"/>
      <c r="D301" s="7" t="n"/>
      <c r="E301" s="7" t="n"/>
      <c r="F301" s="7" t="n"/>
      <c r="G301" s="7" t="n"/>
      <c r="J301" s="7" t="n"/>
      <c r="K301" s="7" t="n"/>
      <c r="M301" s="7" t="n"/>
      <c r="N301" s="7" t="n"/>
      <c r="O301" s="7" t="n"/>
      <c r="AJ301" s="7" t="n"/>
      <c r="AK301" s="7" t="n"/>
    </row>
    <row r="302" ht="15" customHeight="1" s="5">
      <c r="C302" s="7" t="n"/>
      <c r="D302" s="7" t="n"/>
      <c r="E302" s="7" t="n"/>
      <c r="F302" s="7" t="n"/>
      <c r="G302" s="7" t="n"/>
      <c r="J302" s="7" t="n"/>
      <c r="K302" s="7" t="n"/>
      <c r="M302" s="7" t="n"/>
      <c r="N302" s="7" t="n"/>
      <c r="O302" s="7" t="n"/>
      <c r="AJ302" s="7" t="n"/>
      <c r="AK302" s="7" t="n"/>
    </row>
    <row r="303" ht="15" customHeight="1" s="5">
      <c r="C303" s="7" t="n"/>
      <c r="D303" s="7" t="n"/>
      <c r="E303" s="7" t="n"/>
      <c r="F303" s="7" t="n"/>
      <c r="G303" s="7" t="n"/>
      <c r="J303" s="7" t="n"/>
      <c r="K303" s="7" t="n"/>
      <c r="M303" s="7" t="n"/>
      <c r="N303" s="7" t="n"/>
      <c r="O303" s="7" t="n"/>
      <c r="AJ303" s="7" t="n"/>
      <c r="AK303" s="7" t="n"/>
    </row>
    <row r="304" ht="15" customHeight="1" s="5">
      <c r="C304" s="7" t="n"/>
      <c r="D304" s="7" t="n"/>
      <c r="E304" s="7" t="n"/>
      <c r="F304" s="7" t="n"/>
      <c r="G304" s="7" t="n"/>
      <c r="J304" s="7" t="n"/>
      <c r="K304" s="7" t="n"/>
      <c r="M304" s="7" t="n"/>
      <c r="N304" s="7" t="n"/>
      <c r="O304" s="7" t="n"/>
      <c r="AJ304" s="7" t="n"/>
      <c r="AK304" s="7" t="n"/>
    </row>
    <row r="305" ht="15" customHeight="1" s="5">
      <c r="C305" s="7" t="n"/>
      <c r="D305" s="7" t="n"/>
      <c r="E305" s="7" t="n"/>
      <c r="F305" s="7" t="n"/>
      <c r="G305" s="7" t="n"/>
      <c r="J305" s="7" t="n"/>
      <c r="K305" s="7" t="n"/>
      <c r="M305" s="7" t="n"/>
      <c r="N305" s="7" t="n"/>
      <c r="O305" s="7" t="n"/>
      <c r="AJ305" s="7" t="n"/>
      <c r="AK305" s="7" t="n"/>
    </row>
    <row r="306" ht="15" customHeight="1" s="5">
      <c r="C306" s="7" t="n"/>
      <c r="D306" s="7" t="n"/>
      <c r="E306" s="7" t="n"/>
      <c r="F306" s="7" t="n"/>
      <c r="G306" s="7" t="n"/>
      <c r="J306" s="7" t="n"/>
      <c r="K306" s="7" t="n"/>
      <c r="M306" s="7" t="n"/>
      <c r="N306" s="7" t="n"/>
      <c r="O306" s="7" t="n"/>
      <c r="AJ306" s="7" t="n"/>
      <c r="AK306" s="7" t="n"/>
    </row>
    <row r="307" ht="15" customHeight="1" s="5">
      <c r="C307" s="7" t="n"/>
      <c r="D307" s="7" t="n"/>
      <c r="E307" s="7" t="n"/>
      <c r="F307" s="7" t="n"/>
      <c r="G307" s="7" t="n"/>
      <c r="J307" s="7" t="n"/>
      <c r="K307" s="7" t="n"/>
      <c r="M307" s="7" t="n"/>
      <c r="N307" s="7" t="n"/>
      <c r="O307" s="7" t="n"/>
      <c r="AJ307" s="7" t="n"/>
      <c r="AK307" s="7" t="n"/>
    </row>
    <row r="308" ht="15" customHeight="1" s="5">
      <c r="C308" s="7" t="n"/>
      <c r="D308" s="7" t="n"/>
      <c r="E308" s="7" t="n"/>
      <c r="F308" s="7" t="n"/>
      <c r="G308" s="7" t="n"/>
      <c r="J308" s="7" t="n"/>
      <c r="K308" s="7" t="n"/>
      <c r="M308" s="7" t="n"/>
      <c r="N308" s="7" t="n"/>
      <c r="O308" s="7" t="n"/>
      <c r="AJ308" s="7" t="n"/>
      <c r="AK308" s="7" t="n"/>
    </row>
    <row r="309" ht="15" customHeight="1" s="5">
      <c r="C309" s="7" t="n"/>
      <c r="D309" s="7" t="n"/>
      <c r="E309" s="7" t="n"/>
      <c r="F309" s="7" t="n"/>
      <c r="G309" s="7" t="n"/>
      <c r="J309" s="7" t="n"/>
      <c r="K309" s="7" t="n"/>
      <c r="M309" s="7" t="n"/>
      <c r="N309" s="7" t="n"/>
      <c r="O309" s="7" t="n"/>
      <c r="AJ309" s="7" t="n"/>
      <c r="AK309" s="7" t="n"/>
    </row>
    <row r="310" ht="15" customHeight="1" s="5">
      <c r="C310" s="7" t="n"/>
      <c r="D310" s="7" t="n"/>
      <c r="E310" s="7" t="n"/>
      <c r="F310" s="7" t="n"/>
      <c r="G310" s="7" t="n"/>
      <c r="J310" s="7" t="n"/>
      <c r="K310" s="7" t="n"/>
      <c r="M310" s="7" t="n"/>
      <c r="N310" s="7" t="n"/>
      <c r="O310" s="7" t="n"/>
      <c r="AJ310" s="7" t="n"/>
      <c r="AK310" s="7" t="n"/>
    </row>
    <row r="311" ht="15" customHeight="1" s="5">
      <c r="C311" s="7" t="n"/>
      <c r="D311" s="7" t="n"/>
      <c r="E311" s="7" t="n"/>
      <c r="F311" s="7" t="n"/>
      <c r="G311" s="7" t="n"/>
      <c r="J311" s="7" t="n"/>
      <c r="K311" s="7" t="n"/>
      <c r="M311" s="7" t="n"/>
      <c r="N311" s="7" t="n"/>
      <c r="O311" s="7" t="n"/>
      <c r="AJ311" s="7" t="n"/>
      <c r="AK311" s="7" t="n"/>
    </row>
    <row r="312" ht="15" customHeight="1" s="5">
      <c r="C312" s="7" t="n"/>
      <c r="D312" s="7" t="n"/>
      <c r="E312" s="7" t="n"/>
      <c r="F312" s="7" t="n"/>
      <c r="G312" s="7" t="n"/>
      <c r="J312" s="7" t="n"/>
      <c r="K312" s="7" t="n"/>
      <c r="M312" s="7" t="n"/>
      <c r="N312" s="7" t="n"/>
      <c r="O312" s="7" t="n"/>
      <c r="AJ312" s="7" t="n"/>
      <c r="AK312" s="7" t="n"/>
    </row>
    <row r="313" ht="15" customHeight="1" s="5">
      <c r="C313" s="7" t="n"/>
      <c r="D313" s="7" t="n"/>
      <c r="E313" s="7" t="n"/>
      <c r="F313" s="7" t="n"/>
      <c r="G313" s="7" t="n"/>
      <c r="J313" s="7" t="n"/>
      <c r="K313" s="7" t="n"/>
      <c r="M313" s="7" t="n"/>
      <c r="N313" s="7" t="n"/>
      <c r="O313" s="7" t="n"/>
      <c r="AJ313" s="7" t="n"/>
      <c r="AK313" s="7" t="n"/>
    </row>
    <row r="314" ht="15" customHeight="1" s="5">
      <c r="C314" s="7" t="n"/>
      <c r="D314" s="7" t="n"/>
      <c r="E314" s="7" t="n"/>
      <c r="F314" s="7" t="n"/>
      <c r="G314" s="7" t="n"/>
      <c r="J314" s="7" t="n"/>
      <c r="K314" s="7" t="n"/>
      <c r="M314" s="7" t="n"/>
      <c r="N314" s="7" t="n"/>
      <c r="O314" s="7" t="n"/>
      <c r="AJ314" s="7" t="n"/>
      <c r="AK314" s="7" t="n"/>
    </row>
    <row r="315" ht="15" customHeight="1" s="5">
      <c r="C315" s="7" t="n"/>
      <c r="D315" s="7" t="n"/>
      <c r="E315" s="7" t="n"/>
      <c r="F315" s="7" t="n"/>
      <c r="G315" s="7" t="n"/>
      <c r="J315" s="7" t="n"/>
      <c r="K315" s="7" t="n"/>
      <c r="M315" s="7" t="n"/>
      <c r="N315" s="7" t="n"/>
      <c r="O315" s="7" t="n"/>
      <c r="AJ315" s="7" t="n"/>
      <c r="AK315" s="7" t="n"/>
    </row>
    <row r="316" ht="15" customHeight="1" s="5">
      <c r="C316" s="7" t="n"/>
      <c r="D316" s="7" t="n"/>
      <c r="E316" s="7" t="n"/>
      <c r="F316" s="7" t="n"/>
      <c r="G316" s="7" t="n"/>
      <c r="J316" s="7" t="n"/>
      <c r="K316" s="7" t="n"/>
      <c r="M316" s="7" t="n"/>
      <c r="N316" s="7" t="n"/>
      <c r="O316" s="7" t="n"/>
      <c r="AJ316" s="7" t="n"/>
      <c r="AK316" s="7" t="n"/>
    </row>
    <row r="317" ht="15" customHeight="1" s="5">
      <c r="C317" s="7" t="n"/>
      <c r="D317" s="7" t="n"/>
      <c r="E317" s="7" t="n"/>
      <c r="F317" s="7" t="n"/>
      <c r="G317" s="7" t="n"/>
      <c r="J317" s="7" t="n"/>
      <c r="K317" s="7" t="n"/>
      <c r="M317" s="7" t="n"/>
      <c r="N317" s="7" t="n"/>
      <c r="O317" s="7" t="n"/>
      <c r="AJ317" s="7" t="n"/>
      <c r="AK317" s="7" t="n"/>
    </row>
    <row r="318" ht="15" customHeight="1" s="5">
      <c r="C318" s="7" t="n"/>
      <c r="D318" s="7" t="n"/>
      <c r="E318" s="7" t="n"/>
      <c r="F318" s="7" t="n"/>
      <c r="G318" s="7" t="n"/>
      <c r="J318" s="7" t="n"/>
      <c r="K318" s="7" t="n"/>
      <c r="M318" s="7" t="n"/>
      <c r="N318" s="7" t="n"/>
      <c r="O318" s="7" t="n"/>
      <c r="AJ318" s="7" t="n"/>
      <c r="AK318" s="7" t="n"/>
    </row>
    <row r="319" ht="15" customHeight="1" s="5">
      <c r="C319" s="7" t="n"/>
      <c r="D319" s="7" t="n"/>
      <c r="E319" s="7" t="n"/>
      <c r="F319" s="7" t="n"/>
      <c r="G319" s="7" t="n"/>
      <c r="J319" s="7" t="n"/>
      <c r="K319" s="7" t="n"/>
      <c r="M319" s="7" t="n"/>
      <c r="N319" s="7" t="n"/>
      <c r="O319" s="7" t="n"/>
      <c r="AJ319" s="7" t="n"/>
      <c r="AK319" s="7" t="n"/>
    </row>
    <row r="320" ht="15" customHeight="1" s="5">
      <c r="C320" s="7" t="n"/>
      <c r="D320" s="7" t="n"/>
      <c r="E320" s="7" t="n"/>
      <c r="F320" s="7" t="n"/>
      <c r="G320" s="7" t="n"/>
      <c r="J320" s="7" t="n"/>
      <c r="K320" s="7" t="n"/>
      <c r="M320" s="7" t="n"/>
      <c r="N320" s="7" t="n"/>
      <c r="O320" s="7" t="n"/>
      <c r="AJ320" s="7" t="n"/>
      <c r="AK320" s="7" t="n"/>
    </row>
    <row r="321" ht="15" customHeight="1" s="5">
      <c r="C321" s="7" t="n"/>
      <c r="D321" s="7" t="n"/>
      <c r="E321" s="7" t="n"/>
      <c r="F321" s="7" t="n"/>
      <c r="G321" s="7" t="n"/>
      <c r="J321" s="7" t="n"/>
      <c r="K321" s="7" t="n"/>
      <c r="M321" s="7" t="n"/>
      <c r="N321" s="7" t="n"/>
      <c r="O321" s="7" t="n"/>
      <c r="AJ321" s="7" t="n"/>
      <c r="AK321" s="7" t="n"/>
    </row>
    <row r="322" ht="15" customHeight="1" s="5">
      <c r="C322" s="7" t="n"/>
      <c r="D322" s="7" t="n"/>
      <c r="E322" s="7" t="n"/>
      <c r="F322" s="7" t="n"/>
      <c r="G322" s="7" t="n"/>
      <c r="J322" s="7" t="n"/>
      <c r="K322" s="7" t="n"/>
      <c r="M322" s="7" t="n"/>
      <c r="N322" s="7" t="n"/>
      <c r="O322" s="7" t="n"/>
      <c r="AJ322" s="7" t="n"/>
      <c r="AK322" s="7" t="n"/>
    </row>
    <row r="323" ht="15" customHeight="1" s="5">
      <c r="C323" s="7" t="n"/>
      <c r="D323" s="7" t="n"/>
      <c r="E323" s="7" t="n"/>
      <c r="F323" s="7" t="n"/>
      <c r="G323" s="7" t="n"/>
      <c r="J323" s="7" t="n"/>
      <c r="K323" s="7" t="n"/>
      <c r="M323" s="7" t="n"/>
      <c r="N323" s="7" t="n"/>
      <c r="O323" s="7" t="n"/>
      <c r="AJ323" s="7" t="n"/>
      <c r="AK323" s="7" t="n"/>
    </row>
    <row r="324" ht="15" customHeight="1" s="5">
      <c r="C324" s="7" t="n"/>
      <c r="D324" s="7" t="n"/>
      <c r="E324" s="7" t="n"/>
      <c r="F324" s="7" t="n"/>
      <c r="G324" s="7" t="n"/>
      <c r="J324" s="7" t="n"/>
      <c r="K324" s="7" t="n"/>
      <c r="M324" s="7" t="n"/>
      <c r="N324" s="7" t="n"/>
      <c r="O324" s="7" t="n"/>
      <c r="AJ324" s="7" t="n"/>
      <c r="AK324" s="7" t="n"/>
    </row>
    <row r="325" ht="15" customHeight="1" s="5">
      <c r="C325" s="7" t="n"/>
      <c r="D325" s="7" t="n"/>
      <c r="E325" s="7" t="n"/>
      <c r="F325" s="7" t="n"/>
      <c r="G325" s="7" t="n"/>
      <c r="J325" s="7" t="n"/>
      <c r="K325" s="7" t="n"/>
      <c r="M325" s="7" t="n"/>
      <c r="N325" s="7" t="n"/>
      <c r="O325" s="7" t="n"/>
      <c r="AJ325" s="7" t="n"/>
      <c r="AK325" s="7" t="n"/>
    </row>
    <row r="326" ht="15" customHeight="1" s="5">
      <c r="C326" s="7" t="n"/>
      <c r="D326" s="7" t="n"/>
      <c r="E326" s="7" t="n"/>
      <c r="F326" s="7" t="n"/>
      <c r="G326" s="7" t="n"/>
      <c r="J326" s="7" t="n"/>
      <c r="K326" s="7" t="n"/>
      <c r="M326" s="7" t="n"/>
      <c r="N326" s="7" t="n"/>
      <c r="O326" s="7" t="n"/>
      <c r="AJ326" s="7" t="n"/>
      <c r="AK326" s="7" t="n"/>
    </row>
    <row r="327" ht="15" customHeight="1" s="5">
      <c r="C327" s="7" t="n"/>
      <c r="D327" s="7" t="n"/>
      <c r="E327" s="7" t="n"/>
      <c r="F327" s="7" t="n"/>
      <c r="G327" s="7" t="n"/>
      <c r="J327" s="7" t="n"/>
      <c r="K327" s="7" t="n"/>
      <c r="M327" s="7" t="n"/>
      <c r="N327" s="7" t="n"/>
      <c r="O327" s="7" t="n"/>
      <c r="AJ327" s="7" t="n"/>
      <c r="AK327" s="7" t="n"/>
    </row>
    <row r="328" ht="15" customHeight="1" s="5">
      <c r="C328" s="7" t="n"/>
      <c r="D328" s="7" t="n"/>
      <c r="E328" s="7" t="n"/>
      <c r="F328" s="7" t="n"/>
      <c r="G328" s="7" t="n"/>
      <c r="J328" s="7" t="n"/>
      <c r="K328" s="7" t="n"/>
      <c r="M328" s="7" t="n"/>
      <c r="N328" s="7" t="n"/>
      <c r="O328" s="7" t="n"/>
      <c r="AJ328" s="7" t="n"/>
      <c r="AK328" s="7" t="n"/>
    </row>
    <row r="329" ht="15" customHeight="1" s="5">
      <c r="C329" s="7" t="n"/>
      <c r="D329" s="7" t="n"/>
      <c r="E329" s="7" t="n"/>
      <c r="F329" s="7" t="n"/>
      <c r="G329" s="7" t="n"/>
      <c r="J329" s="7" t="n"/>
      <c r="K329" s="7" t="n"/>
      <c r="M329" s="7" t="n"/>
      <c r="N329" s="7" t="n"/>
      <c r="O329" s="7" t="n"/>
      <c r="AJ329" s="7" t="n"/>
      <c r="AK329" s="7" t="n"/>
    </row>
    <row r="330" ht="15" customHeight="1" s="5">
      <c r="C330" s="7" t="n"/>
      <c r="D330" s="7" t="n"/>
      <c r="E330" s="7" t="n"/>
      <c r="F330" s="7" t="n"/>
      <c r="G330" s="7" t="n"/>
      <c r="J330" s="7" t="n"/>
      <c r="K330" s="7" t="n"/>
      <c r="M330" s="7" t="n"/>
      <c r="N330" s="7" t="n"/>
      <c r="O330" s="7" t="n"/>
      <c r="AJ330" s="7" t="n"/>
      <c r="AK330" s="7" t="n"/>
    </row>
    <row r="331" ht="15" customHeight="1" s="5">
      <c r="C331" s="7" t="n"/>
      <c r="D331" s="7" t="n"/>
      <c r="E331" s="7" t="n"/>
      <c r="F331" s="7" t="n"/>
      <c r="G331" s="7" t="n"/>
      <c r="J331" s="7" t="n"/>
      <c r="K331" s="7" t="n"/>
      <c r="M331" s="7" t="n"/>
      <c r="N331" s="7" t="n"/>
      <c r="O331" s="7" t="n"/>
      <c r="AJ331" s="7" t="n"/>
      <c r="AK331" s="7" t="n"/>
    </row>
    <row r="332" ht="15" customHeight="1" s="5">
      <c r="C332" s="7" t="n"/>
      <c r="D332" s="7" t="n"/>
      <c r="E332" s="7" t="n"/>
      <c r="F332" s="7" t="n"/>
      <c r="G332" s="7" t="n"/>
      <c r="J332" s="7" t="n"/>
      <c r="K332" s="7" t="n"/>
      <c r="M332" s="7" t="n"/>
      <c r="N332" s="7" t="n"/>
      <c r="O332" s="7" t="n"/>
      <c r="AJ332" s="7" t="n"/>
      <c r="AK332" s="7" t="n"/>
    </row>
    <row r="333" ht="15" customHeight="1" s="5">
      <c r="C333" s="7" t="n"/>
      <c r="D333" s="7" t="n"/>
      <c r="E333" s="7" t="n"/>
      <c r="F333" s="7" t="n"/>
      <c r="G333" s="7" t="n"/>
      <c r="J333" s="7" t="n"/>
      <c r="K333" s="7" t="n"/>
      <c r="M333" s="7" t="n"/>
      <c r="N333" s="7" t="n"/>
      <c r="O333" s="7" t="n"/>
      <c r="AJ333" s="7" t="n"/>
      <c r="AK333" s="7" t="n"/>
    </row>
    <row r="334" ht="15" customHeight="1" s="5">
      <c r="C334" s="7" t="n"/>
      <c r="D334" s="7" t="n"/>
      <c r="E334" s="7" t="n"/>
      <c r="F334" s="7" t="n"/>
      <c r="G334" s="7" t="n"/>
      <c r="J334" s="7" t="n"/>
      <c r="K334" s="7" t="n"/>
      <c r="M334" s="7" t="n"/>
      <c r="N334" s="7" t="n"/>
      <c r="O334" s="7" t="n"/>
      <c r="AJ334" s="7" t="n"/>
      <c r="AK334" s="7" t="n"/>
    </row>
    <row r="335" ht="15" customHeight="1" s="5">
      <c r="C335" s="7" t="n"/>
      <c r="D335" s="7" t="n"/>
      <c r="E335" s="7" t="n"/>
      <c r="F335" s="7" t="n"/>
      <c r="G335" s="7" t="n"/>
      <c r="J335" s="7" t="n"/>
      <c r="K335" s="7" t="n"/>
      <c r="M335" s="7" t="n"/>
      <c r="N335" s="7" t="n"/>
      <c r="O335" s="7" t="n"/>
      <c r="AJ335" s="7" t="n"/>
      <c r="AK335" s="7" t="n"/>
    </row>
    <row r="336" ht="15" customHeight="1" s="5">
      <c r="C336" s="7" t="n"/>
      <c r="D336" s="7" t="n"/>
      <c r="E336" s="7" t="n"/>
      <c r="F336" s="7" t="n"/>
      <c r="G336" s="7" t="n"/>
      <c r="J336" s="7" t="n"/>
      <c r="K336" s="7" t="n"/>
      <c r="M336" s="7" t="n"/>
      <c r="N336" s="7" t="n"/>
      <c r="O336" s="7" t="n"/>
      <c r="AJ336" s="7" t="n"/>
      <c r="AK336" s="7" t="n"/>
    </row>
    <row r="337" ht="15" customHeight="1" s="5">
      <c r="C337" s="7" t="n"/>
      <c r="D337" s="7" t="n"/>
      <c r="E337" s="7" t="n"/>
      <c r="F337" s="7" t="n"/>
      <c r="G337" s="7" t="n"/>
      <c r="J337" s="7" t="n"/>
      <c r="K337" s="7" t="n"/>
      <c r="M337" s="7" t="n"/>
      <c r="N337" s="7" t="n"/>
      <c r="O337" s="7" t="n"/>
      <c r="AJ337" s="7" t="n"/>
      <c r="AK337" s="7" t="n"/>
    </row>
    <row r="338" ht="15" customHeight="1" s="5">
      <c r="C338" s="7" t="n"/>
      <c r="D338" s="7" t="n"/>
      <c r="E338" s="7" t="n"/>
      <c r="F338" s="7" t="n"/>
      <c r="G338" s="7" t="n"/>
      <c r="J338" s="7" t="n"/>
      <c r="K338" s="7" t="n"/>
      <c r="M338" s="7" t="n"/>
      <c r="N338" s="7" t="n"/>
      <c r="O338" s="7" t="n"/>
      <c r="AJ338" s="7" t="n"/>
      <c r="AK338" s="7" t="n"/>
    </row>
    <row r="339" ht="15" customHeight="1" s="5">
      <c r="C339" s="7" t="n"/>
      <c r="D339" s="7" t="n"/>
      <c r="E339" s="7" t="n"/>
      <c r="F339" s="7" t="n"/>
      <c r="G339" s="7" t="n"/>
      <c r="J339" s="7" t="n"/>
      <c r="K339" s="7" t="n"/>
      <c r="M339" s="7" t="n"/>
      <c r="N339" s="7" t="n"/>
      <c r="O339" s="7" t="n"/>
      <c r="AJ339" s="7" t="n"/>
      <c r="AK339" s="7" t="n"/>
    </row>
    <row r="340" ht="15" customHeight="1" s="5">
      <c r="C340" s="7" t="n"/>
      <c r="D340" s="7" t="n"/>
      <c r="E340" s="7" t="n"/>
      <c r="F340" s="7" t="n"/>
      <c r="G340" s="7" t="n"/>
      <c r="J340" s="7" t="n"/>
      <c r="K340" s="7" t="n"/>
      <c r="M340" s="7" t="n"/>
      <c r="N340" s="7" t="n"/>
      <c r="O340" s="7" t="n"/>
      <c r="AJ340" s="7" t="n"/>
      <c r="AK340" s="7" t="n"/>
    </row>
    <row r="341" ht="15" customHeight="1" s="5">
      <c r="C341" s="7" t="n"/>
      <c r="D341" s="7" t="n"/>
      <c r="E341" s="7" t="n"/>
      <c r="F341" s="7" t="n"/>
      <c r="G341" s="7" t="n"/>
      <c r="J341" s="7" t="n"/>
      <c r="K341" s="7" t="n"/>
      <c r="M341" s="7" t="n"/>
      <c r="N341" s="7" t="n"/>
      <c r="O341" s="7" t="n"/>
      <c r="AJ341" s="7" t="n"/>
      <c r="AK341" s="7" t="n"/>
    </row>
    <row r="342" ht="15" customHeight="1" s="5">
      <c r="C342" s="7" t="n"/>
      <c r="D342" s="7" t="n"/>
      <c r="E342" s="7" t="n"/>
      <c r="F342" s="7" t="n"/>
      <c r="G342" s="7" t="n"/>
      <c r="J342" s="7" t="n"/>
      <c r="K342" s="7" t="n"/>
      <c r="M342" s="7" t="n"/>
      <c r="N342" s="7" t="n"/>
      <c r="O342" s="7" t="n"/>
      <c r="AJ342" s="7" t="n"/>
      <c r="AK342" s="7" t="n"/>
    </row>
    <row r="343" ht="15" customHeight="1" s="5">
      <c r="C343" s="7" t="n"/>
      <c r="D343" s="7" t="n"/>
      <c r="E343" s="7" t="n"/>
      <c r="F343" s="7" t="n"/>
      <c r="G343" s="7" t="n"/>
      <c r="J343" s="7" t="n"/>
      <c r="K343" s="7" t="n"/>
      <c r="M343" s="7" t="n"/>
      <c r="N343" s="7" t="n"/>
      <c r="O343" s="7" t="n"/>
      <c r="AJ343" s="7" t="n"/>
      <c r="AK343" s="7" t="n"/>
    </row>
    <row r="344" ht="15" customHeight="1" s="5">
      <c r="C344" s="7" t="n"/>
      <c r="D344" s="7" t="n"/>
      <c r="E344" s="7" t="n"/>
      <c r="F344" s="7" t="n"/>
      <c r="G344" s="7" t="n"/>
      <c r="J344" s="7" t="n"/>
      <c r="K344" s="7" t="n"/>
      <c r="M344" s="7" t="n"/>
      <c r="N344" s="7" t="n"/>
      <c r="O344" s="7" t="n"/>
      <c r="AJ344" s="7" t="n"/>
      <c r="AK344" s="7" t="n"/>
    </row>
    <row r="345" ht="15" customHeight="1" s="5">
      <c r="C345" s="7" t="n"/>
      <c r="D345" s="7" t="n"/>
      <c r="E345" s="7" t="n"/>
      <c r="F345" s="7" t="n"/>
      <c r="G345" s="7" t="n"/>
      <c r="J345" s="7" t="n"/>
      <c r="K345" s="7" t="n"/>
      <c r="M345" s="7" t="n"/>
      <c r="N345" s="7" t="n"/>
      <c r="O345" s="7" t="n"/>
      <c r="AJ345" s="7" t="n"/>
      <c r="AK345" s="7" t="n"/>
    </row>
    <row r="346" ht="15" customHeight="1" s="5">
      <c r="C346" s="7" t="n"/>
      <c r="D346" s="7" t="n"/>
      <c r="E346" s="7" t="n"/>
      <c r="F346" s="7" t="n"/>
      <c r="G346" s="7" t="n"/>
      <c r="J346" s="7" t="n"/>
      <c r="K346" s="7" t="n"/>
      <c r="M346" s="7" t="n"/>
      <c r="N346" s="7" t="n"/>
      <c r="O346" s="7" t="n"/>
      <c r="AJ346" s="7" t="n"/>
      <c r="AK346" s="7" t="n"/>
    </row>
    <row r="347" ht="15" customHeight="1" s="5">
      <c r="C347" s="7" t="n"/>
      <c r="D347" s="7" t="n"/>
      <c r="E347" s="7" t="n"/>
      <c r="F347" s="7" t="n"/>
      <c r="G347" s="7" t="n"/>
      <c r="J347" s="7" t="n"/>
      <c r="K347" s="7" t="n"/>
      <c r="M347" s="7" t="n"/>
      <c r="N347" s="7" t="n"/>
      <c r="O347" s="7" t="n"/>
      <c r="AJ347" s="7" t="n"/>
      <c r="AK347" s="7" t="n"/>
    </row>
    <row r="348" ht="15" customHeight="1" s="5">
      <c r="C348" s="7" t="n"/>
      <c r="D348" s="7" t="n"/>
      <c r="E348" s="7" t="n"/>
      <c r="F348" s="7" t="n"/>
      <c r="G348" s="7" t="n"/>
      <c r="J348" s="7" t="n"/>
      <c r="K348" s="7" t="n"/>
      <c r="M348" s="7" t="n"/>
      <c r="N348" s="7" t="n"/>
      <c r="O348" s="7" t="n"/>
      <c r="AJ348" s="7" t="n"/>
      <c r="AK348" s="7" t="n"/>
    </row>
    <row r="349" ht="15" customHeight="1" s="5">
      <c r="C349" s="7" t="n"/>
      <c r="D349" s="7" t="n"/>
      <c r="E349" s="7" t="n"/>
      <c r="F349" s="7" t="n"/>
      <c r="G349" s="7" t="n"/>
      <c r="J349" s="7" t="n"/>
      <c r="K349" s="7" t="n"/>
      <c r="M349" s="7" t="n"/>
      <c r="N349" s="7" t="n"/>
      <c r="O349" s="7" t="n"/>
      <c r="AJ349" s="7" t="n"/>
      <c r="AK349" s="7" t="n"/>
    </row>
    <row r="350" ht="15" customHeight="1" s="5">
      <c r="C350" s="7" t="n"/>
      <c r="D350" s="7" t="n"/>
      <c r="E350" s="7" t="n"/>
      <c r="F350" s="7" t="n"/>
      <c r="G350" s="7" t="n"/>
      <c r="J350" s="7" t="n"/>
      <c r="K350" s="7" t="n"/>
      <c r="M350" s="7" t="n"/>
      <c r="N350" s="7" t="n"/>
      <c r="O350" s="7" t="n"/>
      <c r="AJ350" s="7" t="n"/>
      <c r="AK350" s="7" t="n"/>
    </row>
    <row r="351" ht="15" customHeight="1" s="5">
      <c r="C351" s="7" t="n"/>
      <c r="D351" s="7" t="n"/>
      <c r="E351" s="7" t="n"/>
      <c r="F351" s="7" t="n"/>
      <c r="G351" s="7" t="n"/>
      <c r="J351" s="7" t="n"/>
      <c r="K351" s="7" t="n"/>
      <c r="M351" s="7" t="n"/>
      <c r="N351" s="7" t="n"/>
      <c r="O351" s="7" t="n"/>
      <c r="AJ351" s="7" t="n"/>
      <c r="AK351" s="7" t="n"/>
    </row>
    <row r="352" ht="15" customHeight="1" s="5">
      <c r="C352" s="7" t="n"/>
      <c r="D352" s="7" t="n"/>
      <c r="E352" s="7" t="n"/>
      <c r="F352" s="7" t="n"/>
      <c r="G352" s="7" t="n"/>
      <c r="J352" s="7" t="n"/>
      <c r="K352" s="7" t="n"/>
      <c r="M352" s="7" t="n"/>
      <c r="N352" s="7" t="n"/>
      <c r="O352" s="7" t="n"/>
      <c r="AJ352" s="7" t="n"/>
      <c r="AK352" s="7" t="n"/>
    </row>
    <row r="353" ht="15" customHeight="1" s="5">
      <c r="C353" s="7" t="n"/>
      <c r="D353" s="7" t="n"/>
      <c r="E353" s="7" t="n"/>
      <c r="F353" s="7" t="n"/>
      <c r="G353" s="7" t="n"/>
      <c r="J353" s="7" t="n"/>
      <c r="K353" s="7" t="n"/>
      <c r="M353" s="7" t="n"/>
      <c r="N353" s="7" t="n"/>
      <c r="O353" s="7" t="n"/>
      <c r="AJ353" s="7" t="n"/>
      <c r="AK353" s="7" t="n"/>
    </row>
    <row r="354" ht="15" customHeight="1" s="5">
      <c r="C354" s="7" t="n"/>
      <c r="D354" s="7" t="n"/>
      <c r="E354" s="7" t="n"/>
      <c r="F354" s="7" t="n"/>
      <c r="G354" s="7" t="n"/>
      <c r="J354" s="7" t="n"/>
      <c r="K354" s="7" t="n"/>
      <c r="M354" s="7" t="n"/>
      <c r="N354" s="7" t="n"/>
      <c r="O354" s="7" t="n"/>
      <c r="AJ354" s="7" t="n"/>
      <c r="AK354" s="7" t="n"/>
    </row>
    <row r="355" ht="15" customHeight="1" s="5">
      <c r="C355" s="7" t="n"/>
      <c r="D355" s="7" t="n"/>
      <c r="E355" s="7" t="n"/>
      <c r="F355" s="7" t="n"/>
      <c r="G355" s="7" t="n"/>
      <c r="J355" s="7" t="n"/>
      <c r="K355" s="7" t="n"/>
      <c r="M355" s="7" t="n"/>
      <c r="N355" s="7" t="n"/>
      <c r="O355" s="7" t="n"/>
      <c r="AJ355" s="7" t="n"/>
      <c r="AK355" s="7" t="n"/>
    </row>
    <row r="356" ht="15" customHeight="1" s="5">
      <c r="C356" s="7" t="n"/>
      <c r="D356" s="7" t="n"/>
      <c r="E356" s="7" t="n"/>
      <c r="F356" s="7" t="n"/>
      <c r="G356" s="7" t="n"/>
      <c r="J356" s="7" t="n"/>
      <c r="K356" s="7" t="n"/>
      <c r="M356" s="7" t="n"/>
      <c r="N356" s="7" t="n"/>
      <c r="O356" s="7" t="n"/>
      <c r="AJ356" s="7" t="n"/>
      <c r="AK356" s="7" t="n"/>
    </row>
    <row r="357" ht="15" customHeight="1" s="5">
      <c r="C357" s="7" t="n"/>
      <c r="D357" s="7" t="n"/>
      <c r="E357" s="7" t="n"/>
      <c r="F357" s="7" t="n"/>
      <c r="G357" s="7" t="n"/>
      <c r="J357" s="7" t="n"/>
      <c r="K357" s="7" t="n"/>
      <c r="M357" s="7" t="n"/>
      <c r="N357" s="7" t="n"/>
      <c r="O357" s="7" t="n"/>
      <c r="AJ357" s="7" t="n"/>
      <c r="AK357" s="7" t="n"/>
    </row>
    <row r="358" ht="15" customHeight="1" s="5">
      <c r="C358" s="7" t="n"/>
      <c r="D358" s="7" t="n"/>
      <c r="E358" s="7" t="n"/>
      <c r="F358" s="7" t="n"/>
      <c r="G358" s="7" t="n"/>
      <c r="J358" s="7" t="n"/>
      <c r="K358" s="7" t="n"/>
      <c r="M358" s="7" t="n"/>
      <c r="N358" s="7" t="n"/>
      <c r="O358" s="7" t="n"/>
      <c r="AJ358" s="7" t="n"/>
      <c r="AK358" s="7" t="n"/>
    </row>
    <row r="359" ht="15" customHeight="1" s="5">
      <c r="C359" s="7" t="n"/>
      <c r="D359" s="7" t="n"/>
      <c r="E359" s="7" t="n"/>
      <c r="F359" s="7" t="n"/>
      <c r="G359" s="7" t="n"/>
      <c r="J359" s="7" t="n"/>
      <c r="K359" s="7" t="n"/>
      <c r="M359" s="7" t="n"/>
      <c r="N359" s="7" t="n"/>
      <c r="O359" s="7" t="n"/>
      <c r="AJ359" s="7" t="n"/>
      <c r="AK359" s="7" t="n"/>
    </row>
    <row r="360" ht="15" customHeight="1" s="5">
      <c r="C360" s="7" t="n"/>
      <c r="D360" s="7" t="n"/>
      <c r="E360" s="7" t="n"/>
      <c r="F360" s="7" t="n"/>
      <c r="G360" s="7" t="n"/>
      <c r="J360" s="7" t="n"/>
      <c r="K360" s="7" t="n"/>
      <c r="M360" s="7" t="n"/>
      <c r="N360" s="7" t="n"/>
      <c r="O360" s="7" t="n"/>
      <c r="AJ360" s="7" t="n"/>
      <c r="AK360" s="7" t="n"/>
    </row>
    <row r="361" ht="15" customHeight="1" s="5">
      <c r="C361" s="7" t="n"/>
      <c r="D361" s="7" t="n"/>
      <c r="E361" s="7" t="n"/>
      <c r="F361" s="7" t="n"/>
      <c r="G361" s="7" t="n"/>
      <c r="J361" s="7" t="n"/>
      <c r="K361" s="7" t="n"/>
      <c r="M361" s="7" t="n"/>
      <c r="N361" s="7" t="n"/>
      <c r="O361" s="7" t="n"/>
      <c r="AJ361" s="7" t="n"/>
      <c r="AK361" s="7" t="n"/>
    </row>
    <row r="362" ht="15" customHeight="1" s="5">
      <c r="C362" s="7" t="n"/>
      <c r="D362" s="7" t="n"/>
      <c r="E362" s="7" t="n"/>
      <c r="F362" s="7" t="n"/>
      <c r="G362" s="7" t="n"/>
      <c r="J362" s="7" t="n"/>
      <c r="K362" s="7" t="n"/>
      <c r="M362" s="7" t="n"/>
      <c r="N362" s="7" t="n"/>
      <c r="O362" s="7" t="n"/>
      <c r="AJ362" s="7" t="n"/>
      <c r="AK362" s="7" t="n"/>
    </row>
    <row r="363" ht="15" customHeight="1" s="5">
      <c r="C363" s="7" t="n"/>
      <c r="D363" s="7" t="n"/>
      <c r="E363" s="7" t="n"/>
      <c r="F363" s="7" t="n"/>
      <c r="G363" s="7" t="n"/>
      <c r="J363" s="7" t="n"/>
      <c r="K363" s="7" t="n"/>
      <c r="M363" s="7" t="n"/>
      <c r="N363" s="7" t="n"/>
      <c r="O363" s="7" t="n"/>
      <c r="AJ363" s="7" t="n"/>
      <c r="AK363" s="7" t="n"/>
    </row>
    <row r="364" ht="15" customHeight="1" s="5">
      <c r="C364" s="7" t="n"/>
      <c r="D364" s="7" t="n"/>
      <c r="E364" s="7" t="n"/>
      <c r="F364" s="7" t="n"/>
      <c r="G364" s="7" t="n"/>
      <c r="J364" s="7" t="n"/>
      <c r="K364" s="7" t="n"/>
      <c r="M364" s="7" t="n"/>
      <c r="N364" s="7" t="n"/>
      <c r="O364" s="7" t="n"/>
      <c r="AJ364" s="7" t="n"/>
      <c r="AK364" s="7" t="n"/>
    </row>
    <row r="365" ht="15" customHeight="1" s="5">
      <c r="C365" s="7" t="n"/>
      <c r="D365" s="7" t="n"/>
      <c r="E365" s="7" t="n"/>
      <c r="F365" s="7" t="n"/>
      <c r="G365" s="7" t="n"/>
      <c r="J365" s="7" t="n"/>
      <c r="K365" s="7" t="n"/>
      <c r="M365" s="7" t="n"/>
      <c r="N365" s="7" t="n"/>
      <c r="O365" s="7" t="n"/>
      <c r="AJ365" s="7" t="n"/>
      <c r="AK365" s="7" t="n"/>
    </row>
    <row r="366" ht="15" customHeight="1" s="5">
      <c r="C366" s="7" t="n"/>
      <c r="D366" s="7" t="n"/>
      <c r="E366" s="7" t="n"/>
      <c r="F366" s="7" t="n"/>
      <c r="G366" s="7" t="n"/>
      <c r="J366" s="7" t="n"/>
      <c r="K366" s="7" t="n"/>
      <c r="M366" s="7" t="n"/>
      <c r="N366" s="7" t="n"/>
      <c r="O366" s="7" t="n"/>
      <c r="AJ366" s="7" t="n"/>
      <c r="AK366" s="7" t="n"/>
    </row>
    <row r="367" ht="15" customHeight="1" s="5">
      <c r="C367" s="7" t="n"/>
      <c r="D367" s="7" t="n"/>
      <c r="E367" s="7" t="n"/>
      <c r="F367" s="7" t="n"/>
      <c r="G367" s="7" t="n"/>
      <c r="J367" s="7" t="n"/>
      <c r="K367" s="7" t="n"/>
      <c r="M367" s="7" t="n"/>
      <c r="N367" s="7" t="n"/>
      <c r="O367" s="7" t="n"/>
      <c r="AJ367" s="7" t="n"/>
      <c r="AK367" s="7" t="n"/>
    </row>
    <row r="368" ht="15" customHeight="1" s="5">
      <c r="C368" s="7" t="n"/>
      <c r="D368" s="7" t="n"/>
      <c r="E368" s="7" t="n"/>
      <c r="F368" s="7" t="n"/>
      <c r="G368" s="7" t="n"/>
      <c r="J368" s="7" t="n"/>
      <c r="K368" s="7" t="n"/>
      <c r="M368" s="7" t="n"/>
      <c r="N368" s="7" t="n"/>
      <c r="O368" s="7" t="n"/>
      <c r="AJ368" s="7" t="n"/>
      <c r="AK368" s="7" t="n"/>
    </row>
    <row r="369" ht="15" customHeight="1" s="5">
      <c r="C369" s="7" t="n"/>
      <c r="D369" s="7" t="n"/>
      <c r="E369" s="7" t="n"/>
      <c r="F369" s="7" t="n"/>
      <c r="G369" s="7" t="n"/>
      <c r="J369" s="7" t="n"/>
      <c r="K369" s="7" t="n"/>
      <c r="M369" s="7" t="n"/>
      <c r="N369" s="7" t="n"/>
      <c r="O369" s="7" t="n"/>
      <c r="AJ369" s="7" t="n"/>
      <c r="AK369" s="7" t="n"/>
    </row>
    <row r="370" ht="15" customHeight="1" s="5">
      <c r="C370" s="7" t="n"/>
      <c r="D370" s="7" t="n"/>
      <c r="E370" s="7" t="n"/>
      <c r="F370" s="7" t="n"/>
      <c r="G370" s="7" t="n"/>
      <c r="J370" s="7" t="n"/>
      <c r="K370" s="7" t="n"/>
      <c r="M370" s="7" t="n"/>
      <c r="N370" s="7" t="n"/>
      <c r="O370" s="7" t="n"/>
      <c r="AJ370" s="7" t="n"/>
      <c r="AK370" s="7" t="n"/>
    </row>
    <row r="371" ht="15" customHeight="1" s="5">
      <c r="C371" s="7" t="n"/>
      <c r="D371" s="7" t="n"/>
      <c r="E371" s="7" t="n"/>
      <c r="F371" s="7" t="n"/>
      <c r="G371" s="7" t="n"/>
      <c r="J371" s="7" t="n"/>
      <c r="K371" s="7" t="n"/>
      <c r="M371" s="7" t="n"/>
      <c r="N371" s="7" t="n"/>
      <c r="O371" s="7" t="n"/>
      <c r="AJ371" s="7" t="n"/>
      <c r="AK371" s="7" t="n"/>
    </row>
    <row r="372" ht="15" customHeight="1" s="5">
      <c r="C372" s="7" t="n"/>
      <c r="D372" s="7" t="n"/>
      <c r="E372" s="7" t="n"/>
      <c r="F372" s="7" t="n"/>
      <c r="G372" s="7" t="n"/>
      <c r="J372" s="7" t="n"/>
      <c r="K372" s="7" t="n"/>
      <c r="M372" s="7" t="n"/>
      <c r="N372" s="7" t="n"/>
      <c r="O372" s="7" t="n"/>
      <c r="AJ372" s="7" t="n"/>
      <c r="AK372" s="7" t="n"/>
    </row>
    <row r="373" ht="15" customHeight="1" s="5">
      <c r="C373" s="7" t="n"/>
      <c r="D373" s="7" t="n"/>
      <c r="E373" s="7" t="n"/>
      <c r="F373" s="7" t="n"/>
      <c r="G373" s="7" t="n"/>
      <c r="J373" s="7" t="n"/>
      <c r="K373" s="7" t="n"/>
      <c r="M373" s="7" t="n"/>
      <c r="N373" s="7" t="n"/>
      <c r="O373" s="7" t="n"/>
      <c r="AJ373" s="7" t="n"/>
      <c r="AK373" s="7" t="n"/>
    </row>
    <row r="374" ht="15" customHeight="1" s="5">
      <c r="C374" s="7" t="n"/>
      <c r="D374" s="7" t="n"/>
      <c r="E374" s="7" t="n"/>
      <c r="F374" s="7" t="n"/>
      <c r="G374" s="7" t="n"/>
      <c r="J374" s="7" t="n"/>
      <c r="K374" s="7" t="n"/>
      <c r="M374" s="7" t="n"/>
      <c r="N374" s="7" t="n"/>
      <c r="O374" s="7" t="n"/>
      <c r="AJ374" s="7" t="n"/>
      <c r="AK374" s="7" t="n"/>
    </row>
    <row r="375" ht="15" customHeight="1" s="5">
      <c r="C375" s="7" t="n"/>
      <c r="D375" s="7" t="n"/>
      <c r="E375" s="7" t="n"/>
      <c r="F375" s="7" t="n"/>
      <c r="G375" s="7" t="n"/>
      <c r="J375" s="7" t="n"/>
      <c r="K375" s="7" t="n"/>
      <c r="M375" s="7" t="n"/>
      <c r="N375" s="7" t="n"/>
      <c r="O375" s="7" t="n"/>
      <c r="AJ375" s="7" t="n"/>
      <c r="AK375" s="7" t="n"/>
    </row>
    <row r="376" ht="15" customHeight="1" s="5">
      <c r="C376" s="7" t="n"/>
      <c r="D376" s="7" t="n"/>
      <c r="E376" s="7" t="n"/>
      <c r="F376" s="7" t="n"/>
      <c r="G376" s="7" t="n"/>
      <c r="J376" s="7" t="n"/>
      <c r="K376" s="7" t="n"/>
      <c r="M376" s="7" t="n"/>
      <c r="N376" s="7" t="n"/>
      <c r="O376" s="7" t="n"/>
      <c r="AJ376" s="7" t="n"/>
      <c r="AK376" s="7" t="n"/>
    </row>
    <row r="377" ht="15" customHeight="1" s="5">
      <c r="C377" s="7" t="n"/>
      <c r="D377" s="7" t="n"/>
      <c r="E377" s="7" t="n"/>
      <c r="F377" s="7" t="n"/>
      <c r="G377" s="7" t="n"/>
      <c r="J377" s="7" t="n"/>
      <c r="K377" s="7" t="n"/>
      <c r="M377" s="7" t="n"/>
      <c r="N377" s="7" t="n"/>
      <c r="O377" s="7" t="n"/>
      <c r="AJ377" s="7" t="n"/>
      <c r="AK377" s="7" t="n"/>
    </row>
    <row r="378" ht="15" customHeight="1" s="5">
      <c r="C378" s="7" t="n"/>
      <c r="D378" s="7" t="n"/>
      <c r="E378" s="7" t="n"/>
      <c r="F378" s="7" t="n"/>
      <c r="G378" s="7" t="n"/>
      <c r="J378" s="7" t="n"/>
      <c r="K378" s="7" t="n"/>
      <c r="M378" s="7" t="n"/>
      <c r="N378" s="7" t="n"/>
      <c r="O378" s="7" t="n"/>
      <c r="AJ378" s="7" t="n"/>
      <c r="AK378" s="7" t="n"/>
    </row>
    <row r="379" ht="15" customHeight="1" s="5">
      <c r="C379" s="7" t="n"/>
      <c r="D379" s="7" t="n"/>
      <c r="E379" s="7" t="n"/>
      <c r="F379" s="7" t="n"/>
      <c r="G379" s="7" t="n"/>
      <c r="J379" s="7" t="n"/>
      <c r="K379" s="7" t="n"/>
      <c r="M379" s="7" t="n"/>
      <c r="N379" s="7" t="n"/>
      <c r="O379" s="7" t="n"/>
      <c r="AJ379" s="7" t="n"/>
      <c r="AK379" s="7" t="n"/>
    </row>
    <row r="380" ht="15" customHeight="1" s="5">
      <c r="C380" s="7" t="n"/>
      <c r="D380" s="7" t="n"/>
      <c r="E380" s="7" t="n"/>
      <c r="F380" s="7" t="n"/>
      <c r="G380" s="7" t="n"/>
      <c r="J380" s="7" t="n"/>
      <c r="K380" s="7" t="n"/>
      <c r="M380" s="7" t="n"/>
      <c r="N380" s="7" t="n"/>
      <c r="O380" s="7" t="n"/>
      <c r="AJ380" s="7" t="n"/>
      <c r="AK380" s="7" t="n"/>
    </row>
    <row r="381" ht="15" customHeight="1" s="5">
      <c r="C381" s="7" t="n"/>
      <c r="D381" s="7" t="n"/>
      <c r="E381" s="7" t="n"/>
      <c r="F381" s="7" t="n"/>
      <c r="G381" s="7" t="n"/>
      <c r="J381" s="7" t="n"/>
      <c r="K381" s="7" t="n"/>
      <c r="M381" s="7" t="n"/>
      <c r="N381" s="7" t="n"/>
      <c r="O381" s="7" t="n"/>
      <c r="AJ381" s="7" t="n"/>
      <c r="AK381" s="7" t="n"/>
    </row>
    <row r="382" ht="15" customHeight="1" s="5">
      <c r="C382" s="7" t="n"/>
      <c r="D382" s="7" t="n"/>
      <c r="E382" s="7" t="n"/>
      <c r="F382" s="7" t="n"/>
      <c r="G382" s="7" t="n"/>
      <c r="J382" s="7" t="n"/>
      <c r="K382" s="7" t="n"/>
      <c r="M382" s="7" t="n"/>
      <c r="N382" s="7" t="n"/>
      <c r="O382" s="7" t="n"/>
      <c r="AJ382" s="7" t="n"/>
      <c r="AK382" s="7" t="n"/>
    </row>
    <row r="383" ht="15" customHeight="1" s="5">
      <c r="C383" s="7" t="n"/>
      <c r="D383" s="7" t="n"/>
      <c r="E383" s="7" t="n"/>
      <c r="F383" s="7" t="n"/>
      <c r="G383" s="7" t="n"/>
      <c r="J383" s="7" t="n"/>
      <c r="K383" s="7" t="n"/>
      <c r="M383" s="7" t="n"/>
      <c r="N383" s="7" t="n"/>
      <c r="O383" s="7" t="n"/>
      <c r="AJ383" s="7" t="n"/>
      <c r="AK383" s="7" t="n"/>
    </row>
    <row r="384" ht="15" customHeight="1" s="5">
      <c r="C384" s="7" t="n"/>
      <c r="D384" s="7" t="n"/>
      <c r="E384" s="7" t="n"/>
      <c r="F384" s="7" t="n"/>
      <c r="G384" s="7" t="n"/>
      <c r="J384" s="7" t="n"/>
      <c r="K384" s="7" t="n"/>
      <c r="M384" s="7" t="n"/>
      <c r="N384" s="7" t="n"/>
      <c r="O384" s="7" t="n"/>
      <c r="AJ384" s="7" t="n"/>
      <c r="AK384" s="7" t="n"/>
    </row>
    <row r="385" ht="15" customHeight="1" s="5">
      <c r="C385" s="7" t="n"/>
      <c r="D385" s="7" t="n"/>
      <c r="E385" s="7" t="n"/>
      <c r="F385" s="7" t="n"/>
      <c r="G385" s="7" t="n"/>
      <c r="J385" s="7" t="n"/>
      <c r="K385" s="7" t="n"/>
      <c r="M385" s="7" t="n"/>
      <c r="N385" s="7" t="n"/>
      <c r="O385" s="7" t="n"/>
      <c r="AJ385" s="7" t="n"/>
      <c r="AK385" s="7" t="n"/>
    </row>
    <row r="386" ht="15" customHeight="1" s="5">
      <c r="C386" s="7" t="n"/>
      <c r="D386" s="7" t="n"/>
      <c r="E386" s="7" t="n"/>
      <c r="F386" s="7" t="n"/>
      <c r="G386" s="7" t="n"/>
      <c r="J386" s="7" t="n"/>
      <c r="K386" s="7" t="n"/>
      <c r="M386" s="7" t="n"/>
      <c r="N386" s="7" t="n"/>
      <c r="O386" s="7" t="n"/>
      <c r="AJ386" s="7" t="n"/>
      <c r="AK386" s="7" t="n"/>
    </row>
    <row r="387" ht="15" customHeight="1" s="5">
      <c r="C387" s="7" t="n"/>
      <c r="D387" s="7" t="n"/>
      <c r="E387" s="7" t="n"/>
      <c r="F387" s="7" t="n"/>
      <c r="G387" s="7" t="n"/>
      <c r="J387" s="7" t="n"/>
      <c r="K387" s="7" t="n"/>
      <c r="M387" s="7" t="n"/>
      <c r="N387" s="7" t="n"/>
      <c r="O387" s="7" t="n"/>
      <c r="AJ387" s="7" t="n"/>
      <c r="AK387" s="7" t="n"/>
    </row>
    <row r="388" ht="15" customHeight="1" s="5">
      <c r="C388" s="7" t="n"/>
      <c r="D388" s="7" t="n"/>
      <c r="E388" s="7" t="n"/>
      <c r="F388" s="7" t="n"/>
      <c r="G388" s="7" t="n"/>
      <c r="J388" s="7" t="n"/>
      <c r="K388" s="7" t="n"/>
      <c r="M388" s="7" t="n"/>
      <c r="N388" s="7" t="n"/>
      <c r="O388" s="7" t="n"/>
      <c r="AJ388" s="7" t="n"/>
      <c r="AK388" s="7" t="n"/>
    </row>
    <row r="389" ht="15" customHeight="1" s="5">
      <c r="C389" s="7" t="n"/>
      <c r="D389" s="7" t="n"/>
      <c r="E389" s="7" t="n"/>
      <c r="F389" s="7" t="n"/>
      <c r="G389" s="7" t="n"/>
      <c r="J389" s="7" t="n"/>
      <c r="K389" s="7" t="n"/>
      <c r="M389" s="7" t="n"/>
      <c r="N389" s="7" t="n"/>
      <c r="O389" s="7" t="n"/>
      <c r="AJ389" s="7" t="n"/>
      <c r="AK389" s="7" t="n"/>
    </row>
    <row r="390" ht="15" customHeight="1" s="5">
      <c r="C390" s="7" t="n"/>
      <c r="D390" s="7" t="n"/>
      <c r="E390" s="7" t="n"/>
      <c r="F390" s="7" t="n"/>
      <c r="G390" s="7" t="n"/>
      <c r="J390" s="7" t="n"/>
      <c r="K390" s="7" t="n"/>
      <c r="M390" s="7" t="n"/>
      <c r="N390" s="7" t="n"/>
      <c r="O390" s="7" t="n"/>
      <c r="AJ390" s="7" t="n"/>
      <c r="AK390" s="7" t="n"/>
    </row>
    <row r="391" ht="15" customHeight="1" s="5">
      <c r="C391" s="7" t="n"/>
      <c r="D391" s="7" t="n"/>
      <c r="E391" s="7" t="n"/>
      <c r="F391" s="7" t="n"/>
      <c r="G391" s="7" t="n"/>
      <c r="J391" s="7" t="n"/>
      <c r="K391" s="7" t="n"/>
      <c r="M391" s="7" t="n"/>
      <c r="N391" s="7" t="n"/>
      <c r="O391" s="7" t="n"/>
      <c r="AJ391" s="7" t="n"/>
      <c r="AK391" s="7" t="n"/>
    </row>
    <row r="392" ht="15" customHeight="1" s="5">
      <c r="C392" s="7" t="n"/>
      <c r="D392" s="7" t="n"/>
      <c r="E392" s="7" t="n"/>
      <c r="F392" s="7" t="n"/>
      <c r="G392" s="7" t="n"/>
      <c r="J392" s="7" t="n"/>
      <c r="K392" s="7" t="n"/>
      <c r="M392" s="7" t="n"/>
      <c r="N392" s="7" t="n"/>
      <c r="O392" s="7" t="n"/>
      <c r="AJ392" s="7" t="n"/>
      <c r="AK392" s="7" t="n"/>
    </row>
    <row r="393" ht="15" customHeight="1" s="5">
      <c r="C393" s="7" t="n"/>
      <c r="D393" s="7" t="n"/>
      <c r="E393" s="7" t="n"/>
      <c r="F393" s="7" t="n"/>
      <c r="G393" s="7" t="n"/>
      <c r="J393" s="7" t="n"/>
      <c r="K393" s="7" t="n"/>
      <c r="M393" s="7" t="n"/>
      <c r="N393" s="7" t="n"/>
      <c r="O393" s="7" t="n"/>
      <c r="AJ393" s="7" t="n"/>
      <c r="AK393" s="7" t="n"/>
    </row>
    <row r="394" ht="15" customHeight="1" s="5">
      <c r="C394" s="7" t="n"/>
      <c r="D394" s="7" t="n"/>
      <c r="E394" s="7" t="n"/>
      <c r="F394" s="7" t="n"/>
      <c r="G394" s="7" t="n"/>
      <c r="J394" s="7" t="n"/>
      <c r="K394" s="7" t="n"/>
      <c r="M394" s="7" t="n"/>
      <c r="N394" s="7" t="n"/>
      <c r="O394" s="7" t="n"/>
      <c r="AJ394" s="7" t="n"/>
      <c r="AK394" s="7" t="n"/>
    </row>
    <row r="395" ht="15" customHeight="1" s="5">
      <c r="C395" s="7" t="n"/>
      <c r="D395" s="7" t="n"/>
      <c r="E395" s="7" t="n"/>
      <c r="F395" s="7" t="n"/>
      <c r="G395" s="7" t="n"/>
      <c r="J395" s="7" t="n"/>
      <c r="K395" s="7" t="n"/>
      <c r="M395" s="7" t="n"/>
      <c r="N395" s="7" t="n"/>
      <c r="O395" s="7" t="n"/>
      <c r="AJ395" s="7" t="n"/>
      <c r="AK395" s="7" t="n"/>
    </row>
    <row r="396" ht="15" customHeight="1" s="5">
      <c r="C396" s="7" t="n"/>
      <c r="D396" s="7" t="n"/>
      <c r="E396" s="7" t="n"/>
      <c r="F396" s="7" t="n"/>
      <c r="G396" s="7" t="n"/>
      <c r="J396" s="7" t="n"/>
      <c r="K396" s="7" t="n"/>
      <c r="M396" s="7" t="n"/>
      <c r="N396" s="7" t="n"/>
      <c r="O396" s="7" t="n"/>
      <c r="AJ396" s="7" t="n"/>
      <c r="AK396" s="7" t="n"/>
    </row>
    <row r="397" ht="15" customHeight="1" s="5">
      <c r="C397" s="7" t="n"/>
      <c r="D397" s="7" t="n"/>
      <c r="E397" s="7" t="n"/>
      <c r="F397" s="7" t="n"/>
      <c r="G397" s="7" t="n"/>
      <c r="J397" s="7" t="n"/>
      <c r="K397" s="7" t="n"/>
      <c r="M397" s="7" t="n"/>
      <c r="N397" s="7" t="n"/>
      <c r="O397" s="7" t="n"/>
      <c r="AJ397" s="7" t="n"/>
      <c r="AK397" s="7" t="n"/>
    </row>
    <row r="398" ht="15" customHeight="1" s="5">
      <c r="C398" s="7" t="n"/>
      <c r="D398" s="7" t="n"/>
      <c r="E398" s="7" t="n"/>
      <c r="F398" s="7" t="n"/>
      <c r="G398" s="7" t="n"/>
      <c r="J398" s="7" t="n"/>
      <c r="K398" s="7" t="n"/>
      <c r="M398" s="7" t="n"/>
      <c r="N398" s="7" t="n"/>
      <c r="O398" s="7" t="n"/>
      <c r="AJ398" s="7" t="n"/>
      <c r="AK398" s="7" t="n"/>
    </row>
    <row r="399" ht="15" customHeight="1" s="5">
      <c r="C399" s="7" t="n"/>
      <c r="D399" s="7" t="n"/>
      <c r="E399" s="7" t="n"/>
      <c r="F399" s="7" t="n"/>
      <c r="G399" s="7" t="n"/>
      <c r="J399" s="7" t="n"/>
      <c r="K399" s="7" t="n"/>
      <c r="M399" s="7" t="n"/>
      <c r="N399" s="7" t="n"/>
      <c r="O399" s="7" t="n"/>
      <c r="AJ399" s="7" t="n"/>
      <c r="AK399" s="7" t="n"/>
    </row>
    <row r="400" ht="15" customHeight="1" s="5">
      <c r="C400" s="7" t="n"/>
      <c r="D400" s="7" t="n"/>
      <c r="E400" s="7" t="n"/>
      <c r="F400" s="7" t="n"/>
      <c r="G400" s="7" t="n"/>
      <c r="J400" s="7" t="n"/>
      <c r="K400" s="7" t="n"/>
      <c r="M400" s="7" t="n"/>
      <c r="N400" s="7" t="n"/>
      <c r="O400" s="7" t="n"/>
      <c r="AJ400" s="7" t="n"/>
      <c r="AK400" s="7" t="n"/>
    </row>
    <row r="401" ht="15" customHeight="1" s="5">
      <c r="C401" s="7" t="n"/>
      <c r="D401" s="7" t="n"/>
      <c r="E401" s="7" t="n"/>
      <c r="F401" s="7" t="n"/>
      <c r="G401" s="7" t="n"/>
      <c r="J401" s="7" t="n"/>
      <c r="K401" s="7" t="n"/>
      <c r="M401" s="7" t="n"/>
      <c r="N401" s="7" t="n"/>
      <c r="O401" s="7" t="n"/>
      <c r="AJ401" s="7" t="n"/>
      <c r="AK401" s="7" t="n"/>
    </row>
    <row r="402" ht="15" customHeight="1" s="5">
      <c r="C402" s="7" t="n"/>
      <c r="D402" s="7" t="n"/>
      <c r="E402" s="7" t="n"/>
      <c r="F402" s="7" t="n"/>
      <c r="G402" s="7" t="n"/>
      <c r="J402" s="7" t="n"/>
      <c r="K402" s="7" t="n"/>
      <c r="M402" s="7" t="n"/>
      <c r="N402" s="7" t="n"/>
      <c r="O402" s="7" t="n"/>
      <c r="AJ402" s="7" t="n"/>
      <c r="AK402" s="7" t="n"/>
    </row>
    <row r="403" ht="15" customHeight="1" s="5">
      <c r="C403" s="7" t="n"/>
      <c r="D403" s="7" t="n"/>
      <c r="E403" s="7" t="n"/>
      <c r="F403" s="7" t="n"/>
      <c r="G403" s="7" t="n"/>
      <c r="J403" s="7" t="n"/>
      <c r="K403" s="7" t="n"/>
      <c r="M403" s="7" t="n"/>
      <c r="N403" s="7" t="n"/>
      <c r="O403" s="7" t="n"/>
      <c r="AJ403" s="7" t="n"/>
      <c r="AK403" s="7" t="n"/>
    </row>
    <row r="404" ht="15" customHeight="1" s="5">
      <c r="C404" s="7" t="n"/>
      <c r="D404" s="7" t="n"/>
      <c r="E404" s="7" t="n"/>
      <c r="F404" s="7" t="n"/>
      <c r="G404" s="7" t="n"/>
      <c r="J404" s="7" t="n"/>
      <c r="K404" s="7" t="n"/>
      <c r="M404" s="7" t="n"/>
      <c r="N404" s="7" t="n"/>
      <c r="O404" s="7" t="n"/>
      <c r="AJ404" s="7" t="n"/>
      <c r="AK404" s="7" t="n"/>
    </row>
    <row r="405" ht="15" customHeight="1" s="5">
      <c r="C405" s="7" t="n"/>
      <c r="D405" s="7" t="n"/>
      <c r="E405" s="7" t="n"/>
      <c r="F405" s="7" t="n"/>
      <c r="G405" s="7" t="n"/>
      <c r="J405" s="7" t="n"/>
      <c r="K405" s="7" t="n"/>
      <c r="M405" s="7" t="n"/>
      <c r="N405" s="7" t="n"/>
      <c r="O405" s="7" t="n"/>
      <c r="AJ405" s="7" t="n"/>
      <c r="AK405" s="7" t="n"/>
    </row>
    <row r="406" ht="15" customHeight="1" s="5">
      <c r="C406" s="7" t="n"/>
      <c r="D406" s="7" t="n"/>
      <c r="E406" s="7" t="n"/>
      <c r="F406" s="7" t="n"/>
      <c r="G406" s="7" t="n"/>
      <c r="J406" s="7" t="n"/>
      <c r="K406" s="7" t="n"/>
      <c r="M406" s="7" t="n"/>
      <c r="N406" s="7" t="n"/>
      <c r="O406" s="7" t="n"/>
      <c r="AJ406" s="7" t="n"/>
      <c r="AK406" s="7" t="n"/>
    </row>
    <row r="407" ht="15" customHeight="1" s="5">
      <c r="C407" s="7" t="n"/>
      <c r="D407" s="7" t="n"/>
      <c r="E407" s="7" t="n"/>
      <c r="F407" s="7" t="n"/>
      <c r="G407" s="7" t="n"/>
      <c r="J407" s="7" t="n"/>
      <c r="K407" s="7" t="n"/>
      <c r="M407" s="7" t="n"/>
      <c r="N407" s="7" t="n"/>
      <c r="O407" s="7" t="n"/>
      <c r="AJ407" s="7" t="n"/>
      <c r="AK407" s="7" t="n"/>
    </row>
    <row r="408" ht="15" customHeight="1" s="5">
      <c r="C408" s="7" t="n"/>
      <c r="D408" s="7" t="n"/>
      <c r="E408" s="7" t="n"/>
      <c r="F408" s="7" t="n"/>
      <c r="G408" s="7" t="n"/>
      <c r="J408" s="7" t="n"/>
      <c r="K408" s="7" t="n"/>
      <c r="M408" s="7" t="n"/>
      <c r="N408" s="7" t="n"/>
      <c r="O408" s="7" t="n"/>
      <c r="AJ408" s="7" t="n"/>
      <c r="AK408" s="7" t="n"/>
    </row>
    <row r="409" ht="15" customHeight="1" s="5">
      <c r="C409" s="7" t="n"/>
      <c r="D409" s="7" t="n"/>
      <c r="E409" s="7" t="n"/>
      <c r="F409" s="7" t="n"/>
      <c r="G409" s="7" t="n"/>
      <c r="J409" s="7" t="n"/>
      <c r="K409" s="7" t="n"/>
      <c r="M409" s="7" t="n"/>
      <c r="N409" s="7" t="n"/>
      <c r="O409" s="7" t="n"/>
      <c r="AJ409" s="7" t="n"/>
      <c r="AK409" s="7" t="n"/>
    </row>
    <row r="410" ht="15" customHeight="1" s="5">
      <c r="C410" s="7" t="n"/>
      <c r="D410" s="7" t="n"/>
      <c r="E410" s="7" t="n"/>
      <c r="F410" s="7" t="n"/>
      <c r="G410" s="7" t="n"/>
      <c r="J410" s="7" t="n"/>
      <c r="K410" s="7" t="n"/>
      <c r="M410" s="7" t="n"/>
      <c r="N410" s="7" t="n"/>
      <c r="O410" s="7" t="n"/>
      <c r="AJ410" s="7" t="n"/>
      <c r="AK410" s="7" t="n"/>
    </row>
    <row r="411" ht="15" customHeight="1" s="5">
      <c r="C411" s="7" t="n"/>
      <c r="D411" s="7" t="n"/>
      <c r="E411" s="7" t="n"/>
      <c r="F411" s="7" t="n"/>
      <c r="G411" s="7" t="n"/>
      <c r="J411" s="7" t="n"/>
      <c r="K411" s="7" t="n"/>
      <c r="M411" s="7" t="n"/>
      <c r="N411" s="7" t="n"/>
      <c r="O411" s="7" t="n"/>
      <c r="AJ411" s="7" t="n"/>
      <c r="AK411" s="7" t="n"/>
    </row>
    <row r="412" ht="15" customHeight="1" s="5">
      <c r="C412" s="7" t="n"/>
      <c r="D412" s="7" t="n"/>
      <c r="E412" s="7" t="n"/>
      <c r="F412" s="7" t="n"/>
      <c r="G412" s="7" t="n"/>
      <c r="J412" s="7" t="n"/>
      <c r="K412" s="7" t="n"/>
      <c r="M412" s="7" t="n"/>
      <c r="N412" s="7" t="n"/>
      <c r="O412" s="7" t="n"/>
      <c r="AJ412" s="7" t="n"/>
      <c r="AK412" s="7" t="n"/>
    </row>
    <row r="413" ht="15" customHeight="1" s="5">
      <c r="C413" s="7" t="n"/>
      <c r="D413" s="7" t="n"/>
      <c r="E413" s="7" t="n"/>
      <c r="F413" s="7" t="n"/>
      <c r="G413" s="7" t="n"/>
      <c r="J413" s="7" t="n"/>
      <c r="K413" s="7" t="n"/>
      <c r="M413" s="7" t="n"/>
      <c r="N413" s="7" t="n"/>
      <c r="O413" s="7" t="n"/>
      <c r="AJ413" s="7" t="n"/>
      <c r="AK413" s="7" t="n"/>
    </row>
    <row r="414" ht="15" customHeight="1" s="5">
      <c r="C414" s="7" t="n"/>
      <c r="D414" s="7" t="n"/>
      <c r="E414" s="7" t="n"/>
      <c r="F414" s="7" t="n"/>
      <c r="G414" s="7" t="n"/>
      <c r="J414" s="7" t="n"/>
      <c r="K414" s="7" t="n"/>
      <c r="M414" s="7" t="n"/>
      <c r="N414" s="7" t="n"/>
      <c r="O414" s="7" t="n"/>
      <c r="AJ414" s="7" t="n"/>
      <c r="AK414" s="7" t="n"/>
    </row>
    <row r="415" ht="15" customHeight="1" s="5">
      <c r="C415" s="7" t="n"/>
      <c r="D415" s="7" t="n"/>
      <c r="E415" s="7" t="n"/>
      <c r="F415" s="7" t="n"/>
      <c r="G415" s="7" t="n"/>
      <c r="J415" s="7" t="n"/>
      <c r="K415" s="7" t="n"/>
      <c r="M415" s="7" t="n"/>
      <c r="N415" s="7" t="n"/>
      <c r="O415" s="7" t="n"/>
      <c r="AJ415" s="7" t="n"/>
      <c r="AK415" s="7" t="n"/>
    </row>
    <row r="416" ht="15" customHeight="1" s="5">
      <c r="C416" s="7" t="n"/>
      <c r="D416" s="7" t="n"/>
      <c r="E416" s="7" t="n"/>
      <c r="F416" s="7" t="n"/>
      <c r="G416" s="7" t="n"/>
      <c r="J416" s="7" t="n"/>
      <c r="K416" s="7" t="n"/>
      <c r="M416" s="7" t="n"/>
      <c r="N416" s="7" t="n"/>
      <c r="O416" s="7" t="n"/>
      <c r="AJ416" s="7" t="n"/>
      <c r="AK416" s="7" t="n"/>
    </row>
    <row r="417" ht="15" customHeight="1" s="5">
      <c r="C417" s="7" t="n"/>
      <c r="D417" s="7" t="n"/>
      <c r="E417" s="7" t="n"/>
      <c r="F417" s="7" t="n"/>
      <c r="G417" s="7" t="n"/>
      <c r="J417" s="7" t="n"/>
      <c r="K417" s="7" t="n"/>
      <c r="M417" s="7" t="n"/>
      <c r="N417" s="7" t="n"/>
      <c r="O417" s="7" t="n"/>
      <c r="AJ417" s="7" t="n"/>
      <c r="AK417" s="7" t="n"/>
    </row>
    <row r="418" ht="15" customHeight="1" s="5">
      <c r="C418" s="7" t="n"/>
      <c r="D418" s="7" t="n"/>
      <c r="E418" s="7" t="n"/>
      <c r="F418" s="7" t="n"/>
      <c r="G418" s="7" t="n"/>
      <c r="J418" s="7" t="n"/>
      <c r="K418" s="7" t="n"/>
      <c r="M418" s="7" t="n"/>
      <c r="N418" s="7" t="n"/>
      <c r="O418" s="7" t="n"/>
      <c r="AJ418" s="7" t="n"/>
      <c r="AK418" s="7" t="n"/>
    </row>
    <row r="419" ht="15" customHeight="1" s="5">
      <c r="C419" s="7" t="n"/>
      <c r="D419" s="7" t="n"/>
      <c r="E419" s="7" t="n"/>
      <c r="F419" s="7" t="n"/>
      <c r="G419" s="7" t="n"/>
      <c r="J419" s="7" t="n"/>
      <c r="K419" s="7" t="n"/>
      <c r="M419" s="7" t="n"/>
      <c r="N419" s="7" t="n"/>
      <c r="O419" s="7" t="n"/>
      <c r="AJ419" s="7" t="n"/>
      <c r="AK419" s="7" t="n"/>
    </row>
    <row r="420" ht="15" customHeight="1" s="5">
      <c r="C420" s="7" t="n"/>
      <c r="D420" s="7" t="n"/>
      <c r="E420" s="7" t="n"/>
      <c r="F420" s="7" t="n"/>
      <c r="G420" s="7" t="n"/>
      <c r="J420" s="7" t="n"/>
      <c r="K420" s="7" t="n"/>
      <c r="M420" s="7" t="n"/>
      <c r="N420" s="7" t="n"/>
      <c r="O420" s="7" t="n"/>
      <c r="AJ420" s="7" t="n"/>
      <c r="AK420" s="7" t="n"/>
    </row>
    <row r="421" ht="15" customHeight="1" s="5">
      <c r="C421" s="7" t="n"/>
      <c r="D421" s="7" t="n"/>
      <c r="E421" s="7" t="n"/>
      <c r="F421" s="7" t="n"/>
      <c r="G421" s="7" t="n"/>
      <c r="J421" s="7" t="n"/>
      <c r="K421" s="7" t="n"/>
      <c r="M421" s="7" t="n"/>
      <c r="N421" s="7" t="n"/>
      <c r="O421" s="7" t="n"/>
      <c r="AJ421" s="7" t="n"/>
      <c r="AK421" s="7" t="n"/>
    </row>
    <row r="422" ht="15" customHeight="1" s="5">
      <c r="C422" s="7" t="n"/>
      <c r="D422" s="7" t="n"/>
      <c r="E422" s="7" t="n"/>
      <c r="F422" s="7" t="n"/>
      <c r="G422" s="7" t="n"/>
      <c r="J422" s="7" t="n"/>
      <c r="K422" s="7" t="n"/>
      <c r="M422" s="7" t="n"/>
      <c r="N422" s="7" t="n"/>
      <c r="O422" s="7" t="n"/>
      <c r="AJ422" s="7" t="n"/>
      <c r="AK422" s="7" t="n"/>
    </row>
    <row r="423" ht="15" customHeight="1" s="5">
      <c r="C423" s="7" t="n"/>
      <c r="D423" s="7" t="n"/>
      <c r="E423" s="7" t="n"/>
      <c r="F423" s="7" t="n"/>
      <c r="G423" s="7" t="n"/>
      <c r="J423" s="7" t="n"/>
      <c r="K423" s="7" t="n"/>
      <c r="M423" s="7" t="n"/>
      <c r="N423" s="7" t="n"/>
      <c r="O423" s="7" t="n"/>
      <c r="AJ423" s="7" t="n"/>
      <c r="AK423" s="7" t="n"/>
    </row>
    <row r="424" ht="15" customHeight="1" s="5">
      <c r="C424" s="7" t="n"/>
      <c r="D424" s="7" t="n"/>
      <c r="E424" s="7" t="n"/>
      <c r="F424" s="7" t="n"/>
      <c r="G424" s="7" t="n"/>
      <c r="J424" s="7" t="n"/>
      <c r="K424" s="7" t="n"/>
      <c r="M424" s="7" t="n"/>
      <c r="N424" s="7" t="n"/>
      <c r="O424" s="7" t="n"/>
      <c r="AJ424" s="7" t="n"/>
      <c r="AK424" s="7" t="n"/>
    </row>
    <row r="425" ht="15" customHeight="1" s="5">
      <c r="C425" s="7" t="n"/>
      <c r="D425" s="7" t="n"/>
      <c r="E425" s="7" t="n"/>
      <c r="F425" s="7" t="n"/>
      <c r="G425" s="7" t="n"/>
      <c r="J425" s="7" t="n"/>
      <c r="K425" s="7" t="n"/>
      <c r="M425" s="7" t="n"/>
      <c r="N425" s="7" t="n"/>
      <c r="O425" s="7" t="n"/>
      <c r="AJ425" s="7" t="n"/>
      <c r="AK425" s="7" t="n"/>
    </row>
    <row r="426" ht="15" customHeight="1" s="5">
      <c r="C426" s="7" t="n"/>
      <c r="D426" s="7" t="n"/>
      <c r="E426" s="7" t="n"/>
      <c r="F426" s="7" t="n"/>
      <c r="G426" s="7" t="n"/>
      <c r="J426" s="7" t="n"/>
      <c r="K426" s="7" t="n"/>
      <c r="M426" s="7" t="n"/>
      <c r="N426" s="7" t="n"/>
      <c r="O426" s="7" t="n"/>
      <c r="AJ426" s="7" t="n"/>
      <c r="AK426" s="7" t="n"/>
    </row>
    <row r="427" ht="15" customHeight="1" s="5">
      <c r="C427" s="7" t="n"/>
      <c r="D427" s="7" t="n"/>
      <c r="E427" s="7" t="n"/>
      <c r="F427" s="7" t="n"/>
      <c r="G427" s="7" t="n"/>
      <c r="J427" s="7" t="n"/>
      <c r="K427" s="7" t="n"/>
      <c r="M427" s="7" t="n"/>
      <c r="N427" s="7" t="n"/>
      <c r="O427" s="7" t="n"/>
      <c r="AJ427" s="7" t="n"/>
      <c r="AK427" s="7" t="n"/>
    </row>
    <row r="428" ht="15" customHeight="1" s="5">
      <c r="C428" s="7" t="n"/>
      <c r="D428" s="7" t="n"/>
      <c r="E428" s="7" t="n"/>
      <c r="F428" s="7" t="n"/>
      <c r="G428" s="7" t="n"/>
      <c r="J428" s="7" t="n"/>
      <c r="K428" s="7" t="n"/>
      <c r="M428" s="7" t="n"/>
      <c r="N428" s="7" t="n"/>
      <c r="O428" s="7" t="n"/>
      <c r="AJ428" s="7" t="n"/>
      <c r="AK428" s="7" t="n"/>
    </row>
    <row r="429" ht="15" customHeight="1" s="5">
      <c r="C429" s="7" t="n"/>
      <c r="D429" s="7" t="n"/>
      <c r="E429" s="7" t="n"/>
      <c r="F429" s="7" t="n"/>
      <c r="G429" s="7" t="n"/>
      <c r="J429" s="7" t="n"/>
      <c r="K429" s="7" t="n"/>
      <c r="M429" s="7" t="n"/>
      <c r="N429" s="7" t="n"/>
      <c r="O429" s="7" t="n"/>
      <c r="AJ429" s="7" t="n"/>
      <c r="AK429" s="7" t="n"/>
    </row>
    <row r="430" ht="15" customHeight="1" s="5">
      <c r="C430" s="7" t="n"/>
      <c r="D430" s="7" t="n"/>
      <c r="E430" s="7" t="n"/>
      <c r="F430" s="7" t="n"/>
      <c r="G430" s="7" t="n"/>
      <c r="J430" s="7" t="n"/>
      <c r="K430" s="7" t="n"/>
      <c r="M430" s="7" t="n"/>
      <c r="N430" s="7" t="n"/>
      <c r="O430" s="7" t="n"/>
      <c r="AJ430" s="7" t="n"/>
      <c r="AK430" s="7" t="n"/>
    </row>
    <row r="431" ht="15" customHeight="1" s="5">
      <c r="C431" s="7" t="n"/>
      <c r="D431" s="7" t="n"/>
      <c r="E431" s="7" t="n"/>
      <c r="F431" s="7" t="n"/>
      <c r="G431" s="7" t="n"/>
      <c r="J431" s="7" t="n"/>
      <c r="K431" s="7" t="n"/>
      <c r="M431" s="7" t="n"/>
      <c r="N431" s="7" t="n"/>
      <c r="O431" s="7" t="n"/>
      <c r="AJ431" s="7" t="n"/>
      <c r="AK431" s="7" t="n"/>
    </row>
    <row r="432" ht="15" customHeight="1" s="5">
      <c r="C432" s="7" t="n"/>
      <c r="D432" s="7" t="n"/>
      <c r="E432" s="7" t="n"/>
      <c r="F432" s="7" t="n"/>
      <c r="G432" s="7" t="n"/>
      <c r="J432" s="7" t="n"/>
      <c r="K432" s="7" t="n"/>
      <c r="M432" s="7" t="n"/>
      <c r="N432" s="7" t="n"/>
      <c r="O432" s="7" t="n"/>
      <c r="AJ432" s="7" t="n"/>
      <c r="AK432" s="7" t="n"/>
    </row>
    <row r="433" ht="15" customHeight="1" s="5">
      <c r="C433" s="7" t="n"/>
      <c r="D433" s="7" t="n"/>
      <c r="E433" s="7" t="n"/>
      <c r="F433" s="7" t="n"/>
      <c r="G433" s="7" t="n"/>
      <c r="J433" s="7" t="n"/>
      <c r="K433" s="7" t="n"/>
      <c r="M433" s="7" t="n"/>
      <c r="N433" s="7" t="n"/>
      <c r="O433" s="7" t="n"/>
      <c r="AJ433" s="7" t="n"/>
      <c r="AK433" s="7" t="n"/>
    </row>
    <row r="434" ht="15" customHeight="1" s="5">
      <c r="C434" s="7" t="n"/>
      <c r="D434" s="7" t="n"/>
      <c r="E434" s="7" t="n"/>
      <c r="F434" s="7" t="n"/>
      <c r="G434" s="7" t="n"/>
      <c r="J434" s="7" t="n"/>
      <c r="K434" s="7" t="n"/>
      <c r="M434" s="7" t="n"/>
      <c r="N434" s="7" t="n"/>
      <c r="O434" s="7" t="n"/>
      <c r="AJ434" s="7" t="n"/>
      <c r="AK434" s="7" t="n"/>
    </row>
    <row r="435" ht="15" customHeight="1" s="5">
      <c r="C435" s="7" t="n"/>
      <c r="D435" s="7" t="n"/>
      <c r="E435" s="7" t="n"/>
      <c r="F435" s="7" t="n"/>
      <c r="G435" s="7" t="n"/>
      <c r="J435" s="7" t="n"/>
      <c r="K435" s="7" t="n"/>
      <c r="M435" s="7" t="n"/>
      <c r="N435" s="7" t="n"/>
      <c r="O435" s="7" t="n"/>
      <c r="AJ435" s="7" t="n"/>
      <c r="AK435" s="7" t="n"/>
    </row>
    <row r="436" ht="15" customHeight="1" s="5">
      <c r="C436" s="7" t="n"/>
      <c r="D436" s="7" t="n"/>
      <c r="E436" s="7" t="n"/>
      <c r="F436" s="7" t="n"/>
      <c r="G436" s="7" t="n"/>
      <c r="J436" s="7" t="n"/>
      <c r="K436" s="7" t="n"/>
      <c r="M436" s="7" t="n"/>
      <c r="N436" s="7" t="n"/>
      <c r="O436" s="7" t="n"/>
      <c r="AJ436" s="7" t="n"/>
      <c r="AK436" s="7" t="n"/>
    </row>
    <row r="437" ht="15" customHeight="1" s="5">
      <c r="C437" s="7" t="n"/>
      <c r="D437" s="7" t="n"/>
      <c r="E437" s="7" t="n"/>
      <c r="F437" s="7" t="n"/>
      <c r="G437" s="7" t="n"/>
      <c r="J437" s="7" t="n"/>
      <c r="K437" s="7" t="n"/>
      <c r="M437" s="7" t="n"/>
      <c r="N437" s="7" t="n"/>
      <c r="O437" s="7" t="n"/>
      <c r="AJ437" s="7" t="n"/>
      <c r="AK437" s="7" t="n"/>
    </row>
    <row r="438" ht="15" customHeight="1" s="5">
      <c r="C438" s="7" t="n"/>
      <c r="D438" s="7" t="n"/>
      <c r="E438" s="7" t="n"/>
      <c r="F438" s="7" t="n"/>
      <c r="G438" s="7" t="n"/>
      <c r="J438" s="7" t="n"/>
      <c r="K438" s="7" t="n"/>
      <c r="M438" s="7" t="n"/>
      <c r="N438" s="7" t="n"/>
      <c r="O438" s="7" t="n"/>
      <c r="AJ438" s="7" t="n"/>
      <c r="AK438" s="7" t="n"/>
    </row>
    <row r="439" ht="15" customHeight="1" s="5">
      <c r="C439" s="7" t="n"/>
      <c r="D439" s="7" t="n"/>
      <c r="E439" s="7" t="n"/>
      <c r="F439" s="7" t="n"/>
      <c r="G439" s="7" t="n"/>
      <c r="J439" s="7" t="n"/>
      <c r="K439" s="7" t="n"/>
      <c r="M439" s="7" t="n"/>
      <c r="N439" s="7" t="n"/>
      <c r="O439" s="7" t="n"/>
      <c r="AJ439" s="7" t="n"/>
      <c r="AK439" s="7" t="n"/>
    </row>
    <row r="440" ht="15" customHeight="1" s="5">
      <c r="C440" s="7" t="n"/>
      <c r="D440" s="7" t="n"/>
      <c r="E440" s="7" t="n"/>
      <c r="F440" s="7" t="n"/>
      <c r="G440" s="7" t="n"/>
      <c r="J440" s="7" t="n"/>
      <c r="K440" s="7" t="n"/>
      <c r="M440" s="7" t="n"/>
      <c r="N440" s="7" t="n"/>
      <c r="O440" s="7" t="n"/>
      <c r="AJ440" s="7" t="n"/>
      <c r="AK440" s="7" t="n"/>
    </row>
    <row r="441" ht="15" customHeight="1" s="5">
      <c r="C441" s="7" t="n"/>
      <c r="D441" s="7" t="n"/>
      <c r="E441" s="7" t="n"/>
      <c r="F441" s="7" t="n"/>
      <c r="G441" s="7" t="n"/>
      <c r="J441" s="7" t="n"/>
      <c r="K441" s="7" t="n"/>
      <c r="M441" s="7" t="n"/>
      <c r="N441" s="7" t="n"/>
      <c r="O441" s="7" t="n"/>
      <c r="AJ441" s="7" t="n"/>
      <c r="AK441" s="7" t="n"/>
    </row>
    <row r="442" ht="15" customHeight="1" s="5">
      <c r="C442" s="7" t="n"/>
      <c r="D442" s="7" t="n"/>
      <c r="E442" s="7" t="n"/>
      <c r="F442" s="7" t="n"/>
      <c r="G442" s="7" t="n"/>
      <c r="J442" s="7" t="n"/>
      <c r="K442" s="7" t="n"/>
      <c r="M442" s="7" t="n"/>
      <c r="N442" s="7" t="n"/>
      <c r="O442" s="7" t="n"/>
      <c r="AJ442" s="7" t="n"/>
      <c r="AK442" s="7" t="n"/>
    </row>
    <row r="443" ht="15" customHeight="1" s="5">
      <c r="C443" s="7" t="n"/>
      <c r="D443" s="7" t="n"/>
      <c r="E443" s="7" t="n"/>
      <c r="F443" s="7" t="n"/>
      <c r="G443" s="7" t="n"/>
      <c r="J443" s="7" t="n"/>
      <c r="K443" s="7" t="n"/>
      <c r="M443" s="7" t="n"/>
      <c r="N443" s="7" t="n"/>
      <c r="O443" s="7" t="n"/>
      <c r="AJ443" s="7" t="n"/>
      <c r="AK443" s="7" t="n"/>
    </row>
    <row r="444" ht="15" customHeight="1" s="5">
      <c r="C444" s="7" t="n"/>
      <c r="D444" s="7" t="n"/>
      <c r="E444" s="7" t="n"/>
      <c r="F444" s="7" t="n"/>
      <c r="G444" s="7" t="n"/>
      <c r="J444" s="7" t="n"/>
      <c r="K444" s="7" t="n"/>
      <c r="M444" s="7" t="n"/>
      <c r="N444" s="7" t="n"/>
      <c r="O444" s="7" t="n"/>
      <c r="AJ444" s="7" t="n"/>
      <c r="AK444" s="7" t="n"/>
    </row>
    <row r="445" ht="15" customHeight="1" s="5">
      <c r="C445" s="7" t="n"/>
      <c r="D445" s="7" t="n"/>
      <c r="E445" s="7" t="n"/>
      <c r="F445" s="7" t="n"/>
      <c r="G445" s="7" t="n"/>
      <c r="J445" s="7" t="n"/>
      <c r="K445" s="7" t="n"/>
      <c r="M445" s="7" t="n"/>
      <c r="N445" s="7" t="n"/>
      <c r="O445" s="7" t="n"/>
      <c r="AJ445" s="7" t="n"/>
      <c r="AK445" s="7" t="n"/>
    </row>
    <row r="446" ht="15" customHeight="1" s="5">
      <c r="C446" s="7" t="n"/>
      <c r="D446" s="7" t="n"/>
      <c r="E446" s="7" t="n"/>
      <c r="F446" s="7" t="n"/>
      <c r="G446" s="7" t="n"/>
      <c r="J446" s="7" t="n"/>
      <c r="K446" s="7" t="n"/>
      <c r="M446" s="7" t="n"/>
      <c r="N446" s="7" t="n"/>
      <c r="O446" s="7" t="n"/>
      <c r="AJ446" s="7" t="n"/>
      <c r="AK446" s="7" t="n"/>
    </row>
    <row r="447" ht="15" customHeight="1" s="5">
      <c r="C447" s="7" t="n"/>
      <c r="D447" s="7" t="n"/>
      <c r="E447" s="7" t="n"/>
      <c r="F447" s="7" t="n"/>
      <c r="G447" s="7" t="n"/>
      <c r="J447" s="7" t="n"/>
      <c r="K447" s="7" t="n"/>
      <c r="M447" s="7" t="n"/>
      <c r="N447" s="7" t="n"/>
      <c r="O447" s="7" t="n"/>
      <c r="AJ447" s="7" t="n"/>
      <c r="AK447" s="7" t="n"/>
    </row>
    <row r="448" ht="15" customHeight="1" s="5">
      <c r="C448" s="7" t="n"/>
      <c r="D448" s="7" t="n"/>
      <c r="E448" s="7" t="n"/>
      <c r="F448" s="7" t="n"/>
      <c r="G448" s="7" t="n"/>
      <c r="J448" s="7" t="n"/>
      <c r="K448" s="7" t="n"/>
      <c r="M448" s="7" t="n"/>
      <c r="N448" s="7" t="n"/>
      <c r="O448" s="7" t="n"/>
      <c r="AJ448" s="7" t="n"/>
      <c r="AK448" s="7" t="n"/>
    </row>
    <row r="449" ht="15" customHeight="1" s="5">
      <c r="C449" s="7" t="n"/>
      <c r="D449" s="7" t="n"/>
      <c r="E449" s="7" t="n"/>
      <c r="F449" s="7" t="n"/>
      <c r="G449" s="7" t="n"/>
      <c r="J449" s="7" t="n"/>
      <c r="K449" s="7" t="n"/>
      <c r="M449" s="7" t="n"/>
      <c r="N449" s="7" t="n"/>
      <c r="O449" s="7" t="n"/>
      <c r="AJ449" s="7" t="n"/>
      <c r="AK449" s="7" t="n"/>
    </row>
    <row r="450" ht="15" customHeight="1" s="5">
      <c r="C450" s="7" t="n"/>
      <c r="D450" s="7" t="n"/>
      <c r="E450" s="7" t="n"/>
      <c r="F450" s="7" t="n"/>
      <c r="G450" s="7" t="n"/>
      <c r="J450" s="7" t="n"/>
      <c r="K450" s="7" t="n"/>
      <c r="M450" s="7" t="n"/>
      <c r="N450" s="7" t="n"/>
      <c r="O450" s="7" t="n"/>
      <c r="AJ450" s="7" t="n"/>
      <c r="AK450" s="7" t="n"/>
    </row>
    <row r="451" ht="15" customHeight="1" s="5">
      <c r="C451" s="7" t="n"/>
      <c r="D451" s="7" t="n"/>
      <c r="E451" s="7" t="n"/>
      <c r="F451" s="7" t="n"/>
      <c r="G451" s="7" t="n"/>
      <c r="J451" s="7" t="n"/>
      <c r="K451" s="7" t="n"/>
      <c r="M451" s="7" t="n"/>
      <c r="N451" s="7" t="n"/>
      <c r="O451" s="7" t="n"/>
      <c r="AJ451" s="7" t="n"/>
      <c r="AK451" s="7" t="n"/>
    </row>
    <row r="452" ht="15" customHeight="1" s="5">
      <c r="C452" s="7" t="n"/>
      <c r="D452" s="7" t="n"/>
      <c r="E452" s="7" t="n"/>
      <c r="F452" s="7" t="n"/>
      <c r="G452" s="7" t="n"/>
      <c r="J452" s="7" t="n"/>
      <c r="K452" s="7" t="n"/>
      <c r="M452" s="7" t="n"/>
      <c r="N452" s="7" t="n"/>
      <c r="O452" s="7" t="n"/>
      <c r="AJ452" s="7" t="n"/>
      <c r="AK452" s="7" t="n"/>
    </row>
    <row r="453" ht="15" customHeight="1" s="5">
      <c r="C453" s="7" t="n"/>
      <c r="D453" s="7" t="n"/>
      <c r="E453" s="7" t="n"/>
      <c r="F453" s="7" t="n"/>
      <c r="G453" s="7" t="n"/>
      <c r="J453" s="7" t="n"/>
      <c r="K453" s="7" t="n"/>
      <c r="M453" s="7" t="n"/>
      <c r="N453" s="7" t="n"/>
      <c r="O453" s="7" t="n"/>
      <c r="AJ453" s="7" t="n"/>
      <c r="AK453" s="7" t="n"/>
    </row>
    <row r="454" ht="15" customHeight="1" s="5">
      <c r="C454" s="7" t="n"/>
      <c r="D454" s="7" t="n"/>
      <c r="E454" s="7" t="n"/>
      <c r="F454" s="7" t="n"/>
      <c r="G454" s="7" t="n"/>
      <c r="J454" s="7" t="n"/>
      <c r="K454" s="7" t="n"/>
      <c r="M454" s="7" t="n"/>
      <c r="N454" s="7" t="n"/>
      <c r="O454" s="7" t="n"/>
      <c r="AJ454" s="7" t="n"/>
      <c r="AK454" s="7" t="n"/>
    </row>
    <row r="455" ht="15" customHeight="1" s="5">
      <c r="C455" s="7" t="n"/>
      <c r="D455" s="7" t="n"/>
      <c r="E455" s="7" t="n"/>
      <c r="F455" s="7" t="n"/>
      <c r="G455" s="7" t="n"/>
      <c r="J455" s="7" t="n"/>
      <c r="K455" s="7" t="n"/>
      <c r="M455" s="7" t="n"/>
      <c r="N455" s="7" t="n"/>
      <c r="O455" s="7" t="n"/>
      <c r="AJ455" s="7" t="n"/>
      <c r="AK455" s="7" t="n"/>
    </row>
    <row r="456" ht="15" customHeight="1" s="5">
      <c r="C456" s="7" t="n"/>
      <c r="D456" s="7" t="n"/>
      <c r="E456" s="7" t="n"/>
      <c r="F456" s="7" t="n"/>
      <c r="G456" s="7" t="n"/>
      <c r="J456" s="7" t="n"/>
      <c r="K456" s="7" t="n"/>
      <c r="M456" s="7" t="n"/>
      <c r="N456" s="7" t="n"/>
      <c r="O456" s="7" t="n"/>
      <c r="AJ456" s="7" t="n"/>
      <c r="AK456" s="7" t="n"/>
    </row>
    <row r="457" ht="15" customHeight="1" s="5">
      <c r="C457" s="7" t="n"/>
      <c r="D457" s="7" t="n"/>
      <c r="E457" s="7" t="n"/>
      <c r="F457" s="7" t="n"/>
      <c r="G457" s="7" t="n"/>
      <c r="J457" s="7" t="n"/>
      <c r="K457" s="7" t="n"/>
      <c r="M457" s="7" t="n"/>
      <c r="N457" s="7" t="n"/>
      <c r="O457" s="7" t="n"/>
      <c r="AJ457" s="7" t="n"/>
      <c r="AK457" s="7" t="n"/>
    </row>
    <row r="458" ht="15" customHeight="1" s="5">
      <c r="C458" s="7" t="n"/>
      <c r="D458" s="7" t="n"/>
      <c r="E458" s="7" t="n"/>
      <c r="F458" s="7" t="n"/>
      <c r="G458" s="7" t="n"/>
      <c r="J458" s="7" t="n"/>
      <c r="K458" s="7" t="n"/>
      <c r="M458" s="7" t="n"/>
      <c r="N458" s="7" t="n"/>
      <c r="O458" s="7" t="n"/>
      <c r="AJ458" s="7" t="n"/>
      <c r="AK458" s="7" t="n"/>
    </row>
    <row r="459" ht="15" customHeight="1" s="5">
      <c r="C459" s="7" t="n"/>
      <c r="D459" s="7" t="n"/>
      <c r="E459" s="7" t="n"/>
      <c r="F459" s="7" t="n"/>
      <c r="G459" s="7" t="n"/>
      <c r="J459" s="7" t="n"/>
      <c r="K459" s="7" t="n"/>
      <c r="M459" s="7" t="n"/>
      <c r="N459" s="7" t="n"/>
      <c r="O459" s="7" t="n"/>
      <c r="AJ459" s="7" t="n"/>
      <c r="AK459" s="7" t="n"/>
    </row>
    <row r="460" ht="15" customHeight="1" s="5">
      <c r="C460" s="7" t="n"/>
      <c r="D460" s="7" t="n"/>
      <c r="E460" s="7" t="n"/>
      <c r="F460" s="7" t="n"/>
      <c r="G460" s="7" t="n"/>
      <c r="J460" s="7" t="n"/>
      <c r="K460" s="7" t="n"/>
      <c r="M460" s="7" t="n"/>
      <c r="N460" s="7" t="n"/>
      <c r="O460" s="7" t="n"/>
      <c r="AJ460" s="7" t="n"/>
      <c r="AK460" s="7" t="n"/>
    </row>
    <row r="461" ht="15" customHeight="1" s="5">
      <c r="C461" s="7" t="n"/>
      <c r="D461" s="7" t="n"/>
      <c r="E461" s="7" t="n"/>
      <c r="F461" s="7" t="n"/>
      <c r="G461" s="7" t="n"/>
      <c r="J461" s="7" t="n"/>
      <c r="K461" s="7" t="n"/>
      <c r="M461" s="7" t="n"/>
      <c r="N461" s="7" t="n"/>
      <c r="O461" s="7" t="n"/>
      <c r="AJ461" s="7" t="n"/>
      <c r="AK461" s="7" t="n"/>
    </row>
    <row r="462" ht="15" customHeight="1" s="5">
      <c r="C462" s="7" t="n"/>
      <c r="D462" s="7" t="n"/>
      <c r="E462" s="7" t="n"/>
      <c r="F462" s="7" t="n"/>
      <c r="G462" s="7" t="n"/>
      <c r="J462" s="7" t="n"/>
      <c r="K462" s="7" t="n"/>
      <c r="M462" s="7" t="n"/>
      <c r="N462" s="7" t="n"/>
      <c r="O462" s="7" t="n"/>
      <c r="AJ462" s="7" t="n"/>
      <c r="AK462" s="7" t="n"/>
    </row>
    <row r="463" ht="15" customHeight="1" s="5">
      <c r="C463" s="7" t="n"/>
      <c r="D463" s="7" t="n"/>
      <c r="E463" s="7" t="n"/>
      <c r="F463" s="7" t="n"/>
      <c r="G463" s="7" t="n"/>
      <c r="J463" s="7" t="n"/>
      <c r="K463" s="7" t="n"/>
      <c r="M463" s="7" t="n"/>
      <c r="N463" s="7" t="n"/>
      <c r="O463" s="7" t="n"/>
      <c r="AJ463" s="7" t="n"/>
      <c r="AK463" s="7" t="n"/>
    </row>
    <row r="464" ht="15" customHeight="1" s="5">
      <c r="C464" s="7" t="n"/>
      <c r="D464" s="7" t="n"/>
      <c r="E464" s="7" t="n"/>
      <c r="F464" s="7" t="n"/>
      <c r="G464" s="7" t="n"/>
      <c r="J464" s="7" t="n"/>
      <c r="K464" s="7" t="n"/>
      <c r="M464" s="7" t="n"/>
      <c r="N464" s="7" t="n"/>
      <c r="O464" s="7" t="n"/>
      <c r="AJ464" s="7" t="n"/>
      <c r="AK464" s="7" t="n"/>
    </row>
    <row r="465" ht="15" customHeight="1" s="5">
      <c r="C465" s="7" t="n"/>
      <c r="D465" s="7" t="n"/>
      <c r="E465" s="7" t="n"/>
      <c r="F465" s="7" t="n"/>
      <c r="G465" s="7" t="n"/>
      <c r="J465" s="7" t="n"/>
      <c r="K465" s="7" t="n"/>
      <c r="M465" s="7" t="n"/>
      <c r="N465" s="7" t="n"/>
      <c r="O465" s="7" t="n"/>
      <c r="AJ465" s="7" t="n"/>
      <c r="AK465" s="7" t="n"/>
    </row>
    <row r="466" ht="15" customHeight="1" s="5">
      <c r="C466" s="7" t="n"/>
      <c r="D466" s="7" t="n"/>
      <c r="E466" s="7" t="n"/>
      <c r="F466" s="7" t="n"/>
      <c r="G466" s="7" t="n"/>
      <c r="J466" s="7" t="n"/>
      <c r="K466" s="7" t="n"/>
      <c r="M466" s="7" t="n"/>
      <c r="N466" s="7" t="n"/>
      <c r="O466" s="7" t="n"/>
      <c r="AJ466" s="7" t="n"/>
      <c r="AK466" s="7" t="n"/>
    </row>
    <row r="467" ht="15" customHeight="1" s="5">
      <c r="C467" s="7" t="n"/>
      <c r="D467" s="7" t="n"/>
      <c r="E467" s="7" t="n"/>
      <c r="F467" s="7" t="n"/>
      <c r="G467" s="7" t="n"/>
      <c r="J467" s="7" t="n"/>
      <c r="K467" s="7" t="n"/>
      <c r="M467" s="7" t="n"/>
      <c r="N467" s="7" t="n"/>
      <c r="O467" s="7" t="n"/>
      <c r="AJ467" s="7" t="n"/>
      <c r="AK467" s="7" t="n"/>
    </row>
    <row r="468" ht="15" customHeight="1" s="5">
      <c r="C468" s="7" t="n"/>
      <c r="D468" s="7" t="n"/>
      <c r="E468" s="7" t="n"/>
      <c r="F468" s="7" t="n"/>
      <c r="G468" s="7" t="n"/>
      <c r="J468" s="7" t="n"/>
      <c r="K468" s="7" t="n"/>
      <c r="M468" s="7" t="n"/>
      <c r="N468" s="7" t="n"/>
      <c r="O468" s="7" t="n"/>
      <c r="AJ468" s="7" t="n"/>
      <c r="AK468" s="7" t="n"/>
    </row>
    <row r="469" ht="15" customHeight="1" s="5">
      <c r="C469" s="7" t="n"/>
      <c r="D469" s="7" t="n"/>
      <c r="E469" s="7" t="n"/>
      <c r="F469" s="7" t="n"/>
      <c r="G469" s="7" t="n"/>
      <c r="J469" s="7" t="n"/>
      <c r="K469" s="7" t="n"/>
      <c r="M469" s="7" t="n"/>
      <c r="N469" s="7" t="n"/>
      <c r="O469" s="7" t="n"/>
      <c r="AJ469" s="7" t="n"/>
      <c r="AK469" s="7" t="n"/>
    </row>
    <row r="470" ht="15" customHeight="1" s="5">
      <c r="C470" s="7" t="n"/>
      <c r="D470" s="7" t="n"/>
      <c r="E470" s="7" t="n"/>
      <c r="F470" s="7" t="n"/>
      <c r="G470" s="7" t="n"/>
      <c r="J470" s="7" t="n"/>
      <c r="K470" s="7" t="n"/>
      <c r="M470" s="7" t="n"/>
      <c r="N470" s="7" t="n"/>
      <c r="O470" s="7" t="n"/>
      <c r="AJ470" s="7" t="n"/>
      <c r="AK470" s="7" t="n"/>
    </row>
    <row r="471" ht="15" customHeight="1" s="5">
      <c r="C471" s="7" t="n"/>
      <c r="D471" s="7" t="n"/>
      <c r="E471" s="7" t="n"/>
      <c r="F471" s="7" t="n"/>
      <c r="G471" s="7" t="n"/>
      <c r="J471" s="7" t="n"/>
      <c r="K471" s="7" t="n"/>
      <c r="M471" s="7" t="n"/>
      <c r="N471" s="7" t="n"/>
      <c r="O471" s="7" t="n"/>
      <c r="AJ471" s="7" t="n"/>
      <c r="AK471" s="7" t="n"/>
    </row>
    <row r="472" ht="15" customHeight="1" s="5">
      <c r="C472" s="7" t="n"/>
      <c r="D472" s="7" t="n"/>
      <c r="E472" s="7" t="n"/>
      <c r="F472" s="7" t="n"/>
      <c r="G472" s="7" t="n"/>
      <c r="J472" s="7" t="n"/>
      <c r="K472" s="7" t="n"/>
      <c r="M472" s="7" t="n"/>
      <c r="N472" s="7" t="n"/>
      <c r="O472" s="7" t="n"/>
      <c r="AJ472" s="7" t="n"/>
      <c r="AK472" s="7" t="n"/>
    </row>
    <row r="473" ht="15" customHeight="1" s="5">
      <c r="C473" s="7" t="n"/>
      <c r="D473" s="7" t="n"/>
      <c r="E473" s="7" t="n"/>
      <c r="F473" s="7" t="n"/>
      <c r="G473" s="7" t="n"/>
      <c r="J473" s="7" t="n"/>
      <c r="K473" s="7" t="n"/>
      <c r="M473" s="7" t="n"/>
      <c r="N473" s="7" t="n"/>
      <c r="O473" s="7" t="n"/>
      <c r="AJ473" s="7" t="n"/>
      <c r="AK473" s="7" t="n"/>
    </row>
    <row r="474" ht="15" customHeight="1" s="5">
      <c r="C474" s="7" t="n"/>
      <c r="D474" s="7" t="n"/>
      <c r="E474" s="7" t="n"/>
      <c r="F474" s="7" t="n"/>
      <c r="G474" s="7" t="n"/>
      <c r="J474" s="7" t="n"/>
      <c r="K474" s="7" t="n"/>
      <c r="M474" s="7" t="n"/>
      <c r="N474" s="7" t="n"/>
      <c r="O474" s="7" t="n"/>
      <c r="AJ474" s="7" t="n"/>
      <c r="AK474" s="7" t="n"/>
    </row>
    <row r="475" ht="15" customHeight="1" s="5">
      <c r="C475" s="7" t="n"/>
      <c r="D475" s="7" t="n"/>
      <c r="E475" s="7" t="n"/>
      <c r="F475" s="7" t="n"/>
      <c r="G475" s="7" t="n"/>
      <c r="J475" s="7" t="n"/>
      <c r="K475" s="7" t="n"/>
      <c r="M475" s="7" t="n"/>
      <c r="N475" s="7" t="n"/>
      <c r="O475" s="7" t="n"/>
      <c r="AJ475" s="7" t="n"/>
      <c r="AK475" s="7" t="n"/>
    </row>
    <row r="476" ht="15" customHeight="1" s="5">
      <c r="C476" s="7" t="n"/>
      <c r="D476" s="7" t="n"/>
      <c r="E476" s="7" t="n"/>
      <c r="F476" s="7" t="n"/>
      <c r="G476" s="7" t="n"/>
      <c r="J476" s="7" t="n"/>
      <c r="K476" s="7" t="n"/>
      <c r="M476" s="7" t="n"/>
      <c r="N476" s="7" t="n"/>
      <c r="O476" s="7" t="n"/>
      <c r="AJ476" s="7" t="n"/>
      <c r="AK476" s="7" t="n"/>
    </row>
    <row r="477" ht="15" customHeight="1" s="5">
      <c r="C477" s="7" t="n"/>
      <c r="D477" s="7" t="n"/>
      <c r="E477" s="7" t="n"/>
      <c r="F477" s="7" t="n"/>
      <c r="G477" s="7" t="n"/>
      <c r="J477" s="7" t="n"/>
      <c r="K477" s="7" t="n"/>
      <c r="M477" s="7" t="n"/>
      <c r="N477" s="7" t="n"/>
      <c r="O477" s="7" t="n"/>
      <c r="AJ477" s="7" t="n"/>
      <c r="AK477" s="7" t="n"/>
    </row>
    <row r="478" ht="15" customHeight="1" s="5">
      <c r="C478" s="7" t="n"/>
      <c r="D478" s="7" t="n"/>
      <c r="E478" s="7" t="n"/>
      <c r="F478" s="7" t="n"/>
      <c r="G478" s="7" t="n"/>
      <c r="J478" s="7" t="n"/>
      <c r="K478" s="7" t="n"/>
      <c r="M478" s="7" t="n"/>
      <c r="N478" s="7" t="n"/>
      <c r="O478" s="7" t="n"/>
      <c r="AJ478" s="7" t="n"/>
      <c r="AK478" s="7" t="n"/>
    </row>
    <row r="479" ht="15" customHeight="1" s="5">
      <c r="C479" s="7" t="n"/>
      <c r="D479" s="7" t="n"/>
      <c r="E479" s="7" t="n"/>
      <c r="F479" s="7" t="n"/>
      <c r="G479" s="7" t="n"/>
      <c r="J479" s="7" t="n"/>
      <c r="K479" s="7" t="n"/>
      <c r="M479" s="7" t="n"/>
      <c r="N479" s="7" t="n"/>
      <c r="O479" s="7" t="n"/>
      <c r="AJ479" s="7" t="n"/>
      <c r="AK479" s="7" t="n"/>
    </row>
    <row r="480" ht="15" customHeight="1" s="5">
      <c r="C480" s="7" t="n"/>
      <c r="D480" s="7" t="n"/>
      <c r="E480" s="7" t="n"/>
      <c r="F480" s="7" t="n"/>
      <c r="G480" s="7" t="n"/>
      <c r="J480" s="7" t="n"/>
      <c r="K480" s="7" t="n"/>
      <c r="M480" s="7" t="n"/>
      <c r="N480" s="7" t="n"/>
      <c r="O480" s="7" t="n"/>
      <c r="AJ480" s="7" t="n"/>
      <c r="AK480" s="7" t="n"/>
    </row>
    <row r="481" ht="15" customHeight="1" s="5">
      <c r="C481" s="7" t="n"/>
      <c r="D481" s="7" t="n"/>
      <c r="E481" s="7" t="n"/>
      <c r="F481" s="7" t="n"/>
      <c r="G481" s="7" t="n"/>
      <c r="J481" s="7" t="n"/>
      <c r="K481" s="7" t="n"/>
      <c r="M481" s="7" t="n"/>
      <c r="N481" s="7" t="n"/>
      <c r="O481" s="7" t="n"/>
      <c r="AJ481" s="7" t="n"/>
      <c r="AK481" s="7" t="n"/>
    </row>
    <row r="482" ht="15" customHeight="1" s="5">
      <c r="C482" s="7" t="n"/>
      <c r="D482" s="7" t="n"/>
      <c r="E482" s="7" t="n"/>
      <c r="F482" s="7" t="n"/>
      <c r="G482" s="7" t="n"/>
      <c r="J482" s="7" t="n"/>
      <c r="K482" s="7" t="n"/>
      <c r="M482" s="7" t="n"/>
      <c r="N482" s="7" t="n"/>
      <c r="O482" s="7" t="n"/>
      <c r="AJ482" s="7" t="n"/>
      <c r="AK482" s="7" t="n"/>
    </row>
    <row r="483" ht="15" customHeight="1" s="5">
      <c r="C483" s="7" t="n"/>
      <c r="D483" s="7" t="n"/>
      <c r="E483" s="7" t="n"/>
      <c r="F483" s="7" t="n"/>
      <c r="G483" s="7" t="n"/>
      <c r="J483" s="7" t="n"/>
      <c r="K483" s="7" t="n"/>
      <c r="M483" s="7" t="n"/>
      <c r="N483" s="7" t="n"/>
      <c r="O483" s="7" t="n"/>
      <c r="AJ483" s="7" t="n"/>
      <c r="AK483" s="7" t="n"/>
    </row>
    <row r="484" ht="15" customHeight="1" s="5">
      <c r="C484" s="7" t="n"/>
      <c r="D484" s="7" t="n"/>
      <c r="E484" s="7" t="n"/>
      <c r="F484" s="7" t="n"/>
      <c r="G484" s="7" t="n"/>
      <c r="J484" s="7" t="n"/>
      <c r="K484" s="7" t="n"/>
      <c r="M484" s="7" t="n"/>
      <c r="N484" s="7" t="n"/>
      <c r="O484" s="7" t="n"/>
      <c r="AJ484" s="7" t="n"/>
      <c r="AK484" s="7" t="n"/>
    </row>
    <row r="485" ht="15" customHeight="1" s="5">
      <c r="C485" s="7" t="n"/>
      <c r="D485" s="7" t="n"/>
      <c r="E485" s="7" t="n"/>
      <c r="F485" s="7" t="n"/>
      <c r="G485" s="7" t="n"/>
      <c r="J485" s="7" t="n"/>
      <c r="K485" s="7" t="n"/>
      <c r="M485" s="7" t="n"/>
      <c r="N485" s="7" t="n"/>
      <c r="O485" s="7" t="n"/>
      <c r="AJ485" s="7" t="n"/>
      <c r="AK485" s="7" t="n"/>
    </row>
    <row r="486" ht="15" customHeight="1" s="5">
      <c r="C486" s="7" t="n"/>
      <c r="D486" s="7" t="n"/>
      <c r="E486" s="7" t="n"/>
      <c r="F486" s="7" t="n"/>
      <c r="G486" s="7" t="n"/>
      <c r="J486" s="7" t="n"/>
      <c r="K486" s="7" t="n"/>
      <c r="M486" s="7" t="n"/>
      <c r="N486" s="7" t="n"/>
      <c r="O486" s="7" t="n"/>
      <c r="AJ486" s="7" t="n"/>
      <c r="AK486" s="7" t="n"/>
    </row>
    <row r="487" ht="15" customHeight="1" s="5">
      <c r="C487" s="7" t="n"/>
      <c r="D487" s="7" t="n"/>
      <c r="E487" s="7" t="n"/>
      <c r="F487" s="7" t="n"/>
      <c r="G487" s="7" t="n"/>
      <c r="J487" s="7" t="n"/>
      <c r="K487" s="7" t="n"/>
      <c r="M487" s="7" t="n"/>
      <c r="N487" s="7" t="n"/>
      <c r="O487" s="7" t="n"/>
      <c r="AJ487" s="7" t="n"/>
      <c r="AK487" s="7" t="n"/>
    </row>
    <row r="488" ht="15" customHeight="1" s="5">
      <c r="C488" s="7" t="n"/>
      <c r="D488" s="7" t="n"/>
      <c r="E488" s="7" t="n"/>
      <c r="F488" s="7" t="n"/>
      <c r="G488" s="7" t="n"/>
      <c r="J488" s="7" t="n"/>
      <c r="K488" s="7" t="n"/>
      <c r="M488" s="7" t="n"/>
      <c r="N488" s="7" t="n"/>
      <c r="O488" s="7" t="n"/>
      <c r="AJ488" s="7" t="n"/>
      <c r="AK488" s="7" t="n"/>
    </row>
    <row r="489" ht="15" customHeight="1" s="5">
      <c r="C489" s="7" t="n"/>
      <c r="D489" s="7" t="n"/>
      <c r="E489" s="7" t="n"/>
      <c r="F489" s="7" t="n"/>
      <c r="G489" s="7" t="n"/>
      <c r="J489" s="7" t="n"/>
      <c r="K489" s="7" t="n"/>
      <c r="M489" s="7" t="n"/>
      <c r="N489" s="7" t="n"/>
      <c r="O489" s="7" t="n"/>
      <c r="AJ489" s="7" t="n"/>
      <c r="AK489" s="7" t="n"/>
    </row>
    <row r="490" ht="15" customHeight="1" s="5">
      <c r="C490" s="7" t="n"/>
      <c r="D490" s="7" t="n"/>
      <c r="E490" s="7" t="n"/>
      <c r="F490" s="7" t="n"/>
      <c r="G490" s="7" t="n"/>
      <c r="J490" s="7" t="n"/>
      <c r="K490" s="7" t="n"/>
      <c r="M490" s="7" t="n"/>
      <c r="N490" s="7" t="n"/>
      <c r="O490" s="7" t="n"/>
      <c r="AJ490" s="7" t="n"/>
      <c r="AK490" s="7" t="n"/>
    </row>
    <row r="491" ht="15" customHeight="1" s="5">
      <c r="C491" s="7" t="n"/>
      <c r="D491" s="7" t="n"/>
      <c r="E491" s="7" t="n"/>
      <c r="F491" s="7" t="n"/>
      <c r="G491" s="7" t="n"/>
      <c r="J491" s="7" t="n"/>
      <c r="K491" s="7" t="n"/>
      <c r="M491" s="7" t="n"/>
      <c r="N491" s="7" t="n"/>
      <c r="O491" s="7" t="n"/>
      <c r="AJ491" s="7" t="n"/>
      <c r="AK491" s="7" t="n"/>
    </row>
    <row r="492" ht="15" customHeight="1" s="5">
      <c r="C492" s="7" t="n"/>
      <c r="D492" s="7" t="n"/>
      <c r="E492" s="7" t="n"/>
      <c r="F492" s="7" t="n"/>
      <c r="G492" s="7" t="n"/>
      <c r="J492" s="7" t="n"/>
      <c r="K492" s="7" t="n"/>
      <c r="M492" s="7" t="n"/>
      <c r="N492" s="7" t="n"/>
      <c r="O492" s="7" t="n"/>
      <c r="AJ492" s="7" t="n"/>
      <c r="AK492" s="7" t="n"/>
    </row>
    <row r="493" ht="15" customHeight="1" s="5">
      <c r="C493" s="7" t="n"/>
      <c r="D493" s="7" t="n"/>
      <c r="E493" s="7" t="n"/>
      <c r="F493" s="7" t="n"/>
      <c r="G493" s="7" t="n"/>
      <c r="J493" s="7" t="n"/>
      <c r="K493" s="7" t="n"/>
      <c r="M493" s="7" t="n"/>
      <c r="N493" s="7" t="n"/>
      <c r="O493" s="7" t="n"/>
      <c r="AJ493" s="7" t="n"/>
      <c r="AK493" s="7" t="n"/>
    </row>
    <row r="494" ht="15" customHeight="1" s="5">
      <c r="C494" s="7" t="n"/>
      <c r="D494" s="7" t="n"/>
      <c r="E494" s="7" t="n"/>
      <c r="F494" s="7" t="n"/>
      <c r="G494" s="7" t="n"/>
      <c r="J494" s="7" t="n"/>
      <c r="K494" s="7" t="n"/>
      <c r="M494" s="7" t="n"/>
      <c r="N494" s="7" t="n"/>
      <c r="O494" s="7" t="n"/>
      <c r="AJ494" s="7" t="n"/>
      <c r="AK494" s="7" t="n"/>
    </row>
    <row r="495" ht="15" customHeight="1" s="5">
      <c r="C495" s="7" t="n"/>
      <c r="D495" s="7" t="n"/>
      <c r="E495" s="7" t="n"/>
      <c r="F495" s="7" t="n"/>
      <c r="G495" s="7" t="n"/>
      <c r="J495" s="7" t="n"/>
      <c r="K495" s="7" t="n"/>
      <c r="M495" s="7" t="n"/>
      <c r="N495" s="7" t="n"/>
      <c r="O495" s="7" t="n"/>
      <c r="AJ495" s="7" t="n"/>
      <c r="AK495" s="7" t="n"/>
    </row>
    <row r="496" ht="15" customHeight="1" s="5">
      <c r="C496" s="7" t="n"/>
      <c r="D496" s="7" t="n"/>
      <c r="E496" s="7" t="n"/>
      <c r="F496" s="7" t="n"/>
      <c r="G496" s="7" t="n"/>
      <c r="J496" s="7" t="n"/>
      <c r="K496" s="7" t="n"/>
      <c r="M496" s="7" t="n"/>
      <c r="N496" s="7" t="n"/>
      <c r="O496" s="7" t="n"/>
      <c r="AJ496" s="7" t="n"/>
      <c r="AK496" s="7" t="n"/>
    </row>
    <row r="497" ht="15" customHeight="1" s="5">
      <c r="C497" s="7" t="n"/>
      <c r="D497" s="7" t="n"/>
      <c r="E497" s="7" t="n"/>
      <c r="F497" s="7" t="n"/>
      <c r="G497" s="7" t="n"/>
      <c r="J497" s="7" t="n"/>
      <c r="K497" s="7" t="n"/>
      <c r="M497" s="7" t="n"/>
      <c r="N497" s="7" t="n"/>
      <c r="O497" s="7" t="n"/>
      <c r="AJ497" s="7" t="n"/>
      <c r="AK497" s="7" t="n"/>
    </row>
    <row r="498" ht="15" customHeight="1" s="5">
      <c r="C498" s="7" t="n"/>
      <c r="D498" s="7" t="n"/>
      <c r="E498" s="7" t="n"/>
      <c r="F498" s="7" t="n"/>
      <c r="G498" s="7" t="n"/>
      <c r="J498" s="7" t="n"/>
      <c r="K498" s="7" t="n"/>
      <c r="M498" s="7" t="n"/>
      <c r="N498" s="7" t="n"/>
      <c r="O498" s="7" t="n"/>
      <c r="AJ498" s="7" t="n"/>
      <c r="AK498" s="7" t="n"/>
    </row>
    <row r="499" ht="15" customHeight="1" s="5">
      <c r="C499" s="7" t="n"/>
      <c r="D499" s="7" t="n"/>
      <c r="E499" s="7" t="n"/>
      <c r="F499" s="7" t="n"/>
      <c r="G499" s="7" t="n"/>
      <c r="J499" s="7" t="n"/>
      <c r="K499" s="7" t="n"/>
      <c r="M499" s="7" t="n"/>
      <c r="N499" s="7" t="n"/>
      <c r="O499" s="7" t="n"/>
      <c r="AJ499" s="7" t="n"/>
      <c r="AK499" s="7" t="n"/>
    </row>
    <row r="500" ht="15" customHeight="1" s="5">
      <c r="C500" s="7" t="n"/>
      <c r="D500" s="7" t="n"/>
      <c r="E500" s="7" t="n"/>
      <c r="F500" s="7" t="n"/>
      <c r="G500" s="7" t="n"/>
      <c r="J500" s="7" t="n"/>
      <c r="K500" s="7" t="n"/>
      <c r="M500" s="7" t="n"/>
      <c r="N500" s="7" t="n"/>
      <c r="O500" s="7" t="n"/>
      <c r="AJ500" s="7" t="n"/>
      <c r="AK500" s="7" t="n"/>
    </row>
    <row r="501" ht="15" customHeight="1" s="5">
      <c r="C501" s="7" t="n"/>
      <c r="D501" s="7" t="n"/>
      <c r="E501" s="7" t="n"/>
      <c r="F501" s="7" t="n"/>
      <c r="G501" s="7" t="n"/>
      <c r="J501" s="7" t="n"/>
      <c r="K501" s="7" t="n"/>
      <c r="M501" s="7" t="n"/>
      <c r="N501" s="7" t="n"/>
      <c r="O501" s="7" t="n"/>
      <c r="AJ501" s="7" t="n"/>
      <c r="AK501" s="7" t="n"/>
    </row>
    <row r="502" ht="15" customHeight="1" s="5">
      <c r="C502" s="7" t="n"/>
      <c r="D502" s="7" t="n"/>
      <c r="E502" s="7" t="n"/>
      <c r="F502" s="7" t="n"/>
      <c r="G502" s="7" t="n"/>
      <c r="J502" s="7" t="n"/>
      <c r="K502" s="7" t="n"/>
      <c r="M502" s="7" t="n"/>
      <c r="N502" s="7" t="n"/>
      <c r="O502" s="7" t="n"/>
      <c r="AJ502" s="7" t="n"/>
      <c r="AK502" s="7" t="n"/>
    </row>
    <row r="503" ht="15" customHeight="1" s="5">
      <c r="C503" s="7" t="n"/>
      <c r="D503" s="7" t="n"/>
      <c r="E503" s="7" t="n"/>
      <c r="F503" s="7" t="n"/>
      <c r="G503" s="7" t="n"/>
      <c r="J503" s="7" t="n"/>
      <c r="K503" s="7" t="n"/>
      <c r="M503" s="7" t="n"/>
      <c r="N503" s="7" t="n"/>
      <c r="O503" s="7" t="n"/>
      <c r="AJ503" s="7" t="n"/>
      <c r="AK503" s="7" t="n"/>
    </row>
    <row r="504" ht="15" customHeight="1" s="5">
      <c r="C504" s="7" t="n"/>
      <c r="D504" s="7" t="n"/>
      <c r="E504" s="7" t="n"/>
      <c r="F504" s="7" t="n"/>
      <c r="G504" s="7" t="n"/>
      <c r="J504" s="7" t="n"/>
      <c r="K504" s="7" t="n"/>
      <c r="M504" s="7" t="n"/>
      <c r="N504" s="7" t="n"/>
      <c r="O504" s="7" t="n"/>
      <c r="AJ504" s="7" t="n"/>
      <c r="AK504" s="7" t="n"/>
    </row>
    <row r="505" ht="15" customHeight="1" s="5">
      <c r="C505" s="7" t="n"/>
      <c r="D505" s="7" t="n"/>
      <c r="E505" s="7" t="n"/>
      <c r="F505" s="7" t="n"/>
      <c r="G505" s="7" t="n"/>
      <c r="J505" s="7" t="n"/>
      <c r="K505" s="7" t="n"/>
      <c r="M505" s="7" t="n"/>
      <c r="N505" s="7" t="n"/>
      <c r="O505" s="7" t="n"/>
      <c r="AJ505" s="7" t="n"/>
      <c r="AK505" s="7" t="n"/>
    </row>
    <row r="506" ht="15" customHeight="1" s="5">
      <c r="C506" s="7" t="n"/>
      <c r="D506" s="7" t="n"/>
      <c r="E506" s="7" t="n"/>
      <c r="F506" s="7" t="n"/>
      <c r="G506" s="7" t="n"/>
      <c r="J506" s="7" t="n"/>
      <c r="K506" s="7" t="n"/>
      <c r="M506" s="7" t="n"/>
      <c r="N506" s="7" t="n"/>
      <c r="O506" s="7" t="n"/>
      <c r="AJ506" s="7" t="n"/>
      <c r="AK506" s="7" t="n"/>
    </row>
    <row r="507" ht="15" customHeight="1" s="5">
      <c r="C507" s="7" t="n"/>
      <c r="D507" s="7" t="n"/>
      <c r="E507" s="7" t="n"/>
      <c r="F507" s="7" t="n"/>
      <c r="G507" s="7" t="n"/>
      <c r="J507" s="7" t="n"/>
      <c r="K507" s="7" t="n"/>
      <c r="M507" s="7" t="n"/>
      <c r="N507" s="7" t="n"/>
      <c r="O507" s="7" t="n"/>
      <c r="AJ507" s="7" t="n"/>
      <c r="AK507" s="7" t="n"/>
    </row>
    <row r="508" ht="15" customHeight="1" s="5">
      <c r="C508" s="7" t="n"/>
      <c r="D508" s="7" t="n"/>
      <c r="E508" s="7" t="n"/>
      <c r="F508" s="7" t="n"/>
      <c r="G508" s="7" t="n"/>
      <c r="J508" s="7" t="n"/>
      <c r="K508" s="7" t="n"/>
      <c r="M508" s="7" t="n"/>
      <c r="N508" s="7" t="n"/>
      <c r="O508" s="7" t="n"/>
      <c r="AJ508" s="7" t="n"/>
      <c r="AK508" s="7" t="n"/>
    </row>
    <row r="509" ht="15" customHeight="1" s="5">
      <c r="C509" s="7" t="n"/>
      <c r="D509" s="7" t="n"/>
      <c r="E509" s="7" t="n"/>
      <c r="F509" s="7" t="n"/>
      <c r="G509" s="7" t="n"/>
      <c r="J509" s="7" t="n"/>
      <c r="K509" s="7" t="n"/>
      <c r="M509" s="7" t="n"/>
      <c r="N509" s="7" t="n"/>
      <c r="O509" s="7" t="n"/>
      <c r="AJ509" s="7" t="n"/>
      <c r="AK509" s="7" t="n"/>
    </row>
    <row r="510" ht="15" customHeight="1" s="5">
      <c r="C510" s="7" t="n"/>
      <c r="D510" s="7" t="n"/>
      <c r="E510" s="7" t="n"/>
      <c r="F510" s="7" t="n"/>
      <c r="G510" s="7" t="n"/>
      <c r="J510" s="7" t="n"/>
      <c r="K510" s="7" t="n"/>
      <c r="M510" s="7" t="n"/>
      <c r="N510" s="7" t="n"/>
      <c r="O510" s="7" t="n"/>
      <c r="AJ510" s="7" t="n"/>
      <c r="AK510" s="7" t="n"/>
    </row>
    <row r="511" ht="15" customHeight="1" s="5">
      <c r="C511" s="7" t="n"/>
      <c r="D511" s="7" t="n"/>
      <c r="E511" s="7" t="n"/>
      <c r="F511" s="7" t="n"/>
      <c r="G511" s="7" t="n"/>
      <c r="J511" s="7" t="n"/>
      <c r="K511" s="7" t="n"/>
      <c r="M511" s="7" t="n"/>
      <c r="N511" s="7" t="n"/>
      <c r="O511" s="7" t="n"/>
      <c r="AJ511" s="7" t="n"/>
      <c r="AK511" s="7" t="n"/>
    </row>
    <row r="512" ht="15" customHeight="1" s="5">
      <c r="C512" s="7" t="n"/>
      <c r="D512" s="7" t="n"/>
      <c r="E512" s="7" t="n"/>
      <c r="F512" s="7" t="n"/>
      <c r="G512" s="7" t="n"/>
      <c r="J512" s="7" t="n"/>
      <c r="K512" s="7" t="n"/>
      <c r="M512" s="7" t="n"/>
      <c r="N512" s="7" t="n"/>
      <c r="O512" s="7" t="n"/>
      <c r="AJ512" s="7" t="n"/>
      <c r="AK512" s="7" t="n"/>
    </row>
    <row r="513" ht="15" customHeight="1" s="5">
      <c r="C513" s="7" t="n"/>
      <c r="D513" s="7" t="n"/>
      <c r="E513" s="7" t="n"/>
      <c r="F513" s="7" t="n"/>
      <c r="G513" s="7" t="n"/>
      <c r="J513" s="7" t="n"/>
      <c r="K513" s="7" t="n"/>
      <c r="M513" s="7" t="n"/>
      <c r="N513" s="7" t="n"/>
      <c r="O513" s="7" t="n"/>
      <c r="AJ513" s="7" t="n"/>
      <c r="AK513" s="7" t="n"/>
    </row>
    <row r="514" ht="15" customHeight="1" s="5">
      <c r="C514" s="7" t="n"/>
      <c r="D514" s="7" t="n"/>
      <c r="E514" s="7" t="n"/>
      <c r="F514" s="7" t="n"/>
      <c r="G514" s="7" t="n"/>
      <c r="J514" s="7" t="n"/>
      <c r="K514" s="7" t="n"/>
      <c r="M514" s="7" t="n"/>
      <c r="N514" s="7" t="n"/>
      <c r="O514" s="7" t="n"/>
      <c r="AJ514" s="7" t="n"/>
      <c r="AK514" s="7" t="n"/>
    </row>
    <row r="515" ht="15" customHeight="1" s="5">
      <c r="C515" s="7" t="n"/>
      <c r="D515" s="7" t="n"/>
      <c r="E515" s="7" t="n"/>
      <c r="F515" s="7" t="n"/>
      <c r="G515" s="7" t="n"/>
      <c r="J515" s="7" t="n"/>
      <c r="K515" s="7" t="n"/>
      <c r="M515" s="7" t="n"/>
      <c r="N515" s="7" t="n"/>
      <c r="O515" s="7" t="n"/>
      <c r="AJ515" s="7" t="n"/>
      <c r="AK515" s="7" t="n"/>
    </row>
    <row r="516" ht="15" customHeight="1" s="5">
      <c r="C516" s="7" t="n"/>
      <c r="D516" s="7" t="n"/>
      <c r="E516" s="7" t="n"/>
      <c r="F516" s="7" t="n"/>
      <c r="G516" s="7" t="n"/>
      <c r="J516" s="7" t="n"/>
      <c r="K516" s="7" t="n"/>
      <c r="M516" s="7" t="n"/>
      <c r="N516" s="7" t="n"/>
      <c r="O516" s="7" t="n"/>
      <c r="AJ516" s="7" t="n"/>
      <c r="AK516" s="7" t="n"/>
    </row>
    <row r="517" ht="15" customHeight="1" s="5">
      <c r="C517" s="7" t="n"/>
      <c r="D517" s="7" t="n"/>
      <c r="E517" s="7" t="n"/>
      <c r="F517" s="7" t="n"/>
      <c r="G517" s="7" t="n"/>
      <c r="J517" s="7" t="n"/>
      <c r="K517" s="7" t="n"/>
      <c r="M517" s="7" t="n"/>
      <c r="N517" s="7" t="n"/>
      <c r="O517" s="7" t="n"/>
      <c r="AJ517" s="7" t="n"/>
      <c r="AK517" s="7" t="n"/>
    </row>
    <row r="518" ht="15" customHeight="1" s="5">
      <c r="C518" s="7" t="n"/>
      <c r="D518" s="7" t="n"/>
      <c r="E518" s="7" t="n"/>
      <c r="F518" s="7" t="n"/>
      <c r="G518" s="7" t="n"/>
      <c r="J518" s="7" t="n"/>
      <c r="K518" s="7" t="n"/>
      <c r="M518" s="7" t="n"/>
      <c r="N518" s="7" t="n"/>
      <c r="O518" s="7" t="n"/>
      <c r="AJ518" s="7" t="n"/>
      <c r="AK518" s="7" t="n"/>
    </row>
    <row r="519" ht="15" customHeight="1" s="5">
      <c r="C519" s="7" t="n"/>
      <c r="D519" s="7" t="n"/>
      <c r="E519" s="7" t="n"/>
      <c r="F519" s="7" t="n"/>
      <c r="G519" s="7" t="n"/>
      <c r="J519" s="7" t="n"/>
      <c r="K519" s="7" t="n"/>
      <c r="M519" s="7" t="n"/>
      <c r="N519" s="7" t="n"/>
      <c r="O519" s="7" t="n"/>
      <c r="AJ519" s="7" t="n"/>
      <c r="AK519" s="7" t="n"/>
    </row>
    <row r="520" ht="15" customHeight="1" s="5">
      <c r="C520" s="7" t="n"/>
      <c r="D520" s="7" t="n"/>
      <c r="E520" s="7" t="n"/>
      <c r="F520" s="7" t="n"/>
      <c r="G520" s="7" t="n"/>
      <c r="J520" s="7" t="n"/>
      <c r="K520" s="7" t="n"/>
      <c r="M520" s="7" t="n"/>
      <c r="N520" s="7" t="n"/>
      <c r="O520" s="7" t="n"/>
      <c r="AJ520" s="7" t="n"/>
      <c r="AK520" s="7" t="n"/>
    </row>
    <row r="521" ht="15" customHeight="1" s="5">
      <c r="C521" s="7" t="n"/>
      <c r="D521" s="7" t="n"/>
      <c r="E521" s="7" t="n"/>
      <c r="F521" s="7" t="n"/>
      <c r="G521" s="7" t="n"/>
      <c r="J521" s="7" t="n"/>
      <c r="K521" s="7" t="n"/>
      <c r="M521" s="7" t="n"/>
      <c r="N521" s="7" t="n"/>
      <c r="O521" s="7" t="n"/>
      <c r="AJ521" s="7" t="n"/>
      <c r="AK521" s="7" t="n"/>
    </row>
    <row r="522" ht="15" customHeight="1" s="5">
      <c r="C522" s="7" t="n"/>
      <c r="D522" s="7" t="n"/>
      <c r="E522" s="7" t="n"/>
      <c r="F522" s="7" t="n"/>
      <c r="G522" s="7" t="n"/>
      <c r="J522" s="7" t="n"/>
      <c r="K522" s="7" t="n"/>
      <c r="M522" s="7" t="n"/>
      <c r="N522" s="7" t="n"/>
      <c r="O522" s="7" t="n"/>
      <c r="AJ522" s="7" t="n"/>
      <c r="AK522" s="7" t="n"/>
    </row>
    <row r="523" ht="15" customHeight="1" s="5">
      <c r="C523" s="7" t="n"/>
      <c r="D523" s="7" t="n"/>
      <c r="E523" s="7" t="n"/>
      <c r="F523" s="7" t="n"/>
      <c r="G523" s="7" t="n"/>
      <c r="J523" s="7" t="n"/>
      <c r="K523" s="7" t="n"/>
      <c r="M523" s="7" t="n"/>
      <c r="N523" s="7" t="n"/>
      <c r="O523" s="7" t="n"/>
      <c r="AJ523" s="7" t="n"/>
      <c r="AK523" s="7" t="n"/>
    </row>
    <row r="524" ht="15" customHeight="1" s="5">
      <c r="C524" s="7" t="n"/>
      <c r="D524" s="7" t="n"/>
      <c r="E524" s="7" t="n"/>
      <c r="F524" s="7" t="n"/>
      <c r="G524" s="7" t="n"/>
      <c r="J524" s="7" t="n"/>
      <c r="K524" s="7" t="n"/>
      <c r="M524" s="7" t="n"/>
      <c r="N524" s="7" t="n"/>
      <c r="O524" s="7" t="n"/>
      <c r="AJ524" s="7" t="n"/>
      <c r="AK524" s="7" t="n"/>
    </row>
    <row r="525" ht="15" customHeight="1" s="5">
      <c r="C525" s="7" t="n"/>
      <c r="D525" s="7" t="n"/>
      <c r="E525" s="7" t="n"/>
      <c r="F525" s="7" t="n"/>
      <c r="G525" s="7" t="n"/>
      <c r="J525" s="7" t="n"/>
      <c r="K525" s="7" t="n"/>
      <c r="M525" s="7" t="n"/>
      <c r="N525" s="7" t="n"/>
      <c r="O525" s="7" t="n"/>
      <c r="AJ525" s="7" t="n"/>
      <c r="AK525" s="7" t="n"/>
    </row>
    <row r="526" ht="15" customHeight="1" s="5">
      <c r="C526" s="7" t="n"/>
      <c r="D526" s="7" t="n"/>
      <c r="E526" s="7" t="n"/>
      <c r="F526" s="7" t="n"/>
      <c r="G526" s="7" t="n"/>
      <c r="J526" s="7" t="n"/>
      <c r="K526" s="7" t="n"/>
      <c r="M526" s="7" t="n"/>
      <c r="N526" s="7" t="n"/>
      <c r="O526" s="7" t="n"/>
      <c r="AJ526" s="7" t="n"/>
      <c r="AK526" s="7" t="n"/>
    </row>
    <row r="527" ht="15" customHeight="1" s="5">
      <c r="C527" s="7" t="n"/>
      <c r="D527" s="7" t="n"/>
      <c r="E527" s="7" t="n"/>
      <c r="F527" s="7" t="n"/>
      <c r="G527" s="7" t="n"/>
      <c r="J527" s="7" t="n"/>
      <c r="K527" s="7" t="n"/>
      <c r="M527" s="7" t="n"/>
      <c r="N527" s="7" t="n"/>
      <c r="O527" s="7" t="n"/>
      <c r="AJ527" s="7" t="n"/>
      <c r="AK527" s="7" t="n"/>
    </row>
    <row r="528" ht="15" customHeight="1" s="5">
      <c r="C528" s="7" t="n"/>
      <c r="D528" s="7" t="n"/>
      <c r="E528" s="7" t="n"/>
      <c r="F528" s="7" t="n"/>
      <c r="G528" s="7" t="n"/>
      <c r="J528" s="7" t="n"/>
      <c r="K528" s="7" t="n"/>
      <c r="M528" s="7" t="n"/>
      <c r="N528" s="7" t="n"/>
      <c r="O528" s="7" t="n"/>
      <c r="AJ528" s="7" t="n"/>
      <c r="AK528" s="7" t="n"/>
    </row>
    <row r="529" ht="15" customHeight="1" s="5">
      <c r="C529" s="7" t="n"/>
      <c r="D529" s="7" t="n"/>
      <c r="E529" s="7" t="n"/>
      <c r="F529" s="7" t="n"/>
      <c r="G529" s="7" t="n"/>
      <c r="J529" s="7" t="n"/>
      <c r="K529" s="7" t="n"/>
      <c r="M529" s="7" t="n"/>
      <c r="N529" s="7" t="n"/>
      <c r="O529" s="7" t="n"/>
      <c r="AJ529" s="7" t="n"/>
      <c r="AK529" s="7" t="n"/>
    </row>
    <row r="530" ht="15" customHeight="1" s="5">
      <c r="C530" s="7" t="n"/>
      <c r="D530" s="7" t="n"/>
      <c r="E530" s="7" t="n"/>
      <c r="F530" s="7" t="n"/>
      <c r="G530" s="7" t="n"/>
      <c r="J530" s="7" t="n"/>
      <c r="K530" s="7" t="n"/>
      <c r="M530" s="7" t="n"/>
      <c r="N530" s="7" t="n"/>
      <c r="O530" s="7" t="n"/>
      <c r="AJ530" s="7" t="n"/>
      <c r="AK530" s="7" t="n"/>
    </row>
    <row r="531" ht="15" customHeight="1" s="5">
      <c r="C531" s="7" t="n"/>
      <c r="D531" s="7" t="n"/>
      <c r="E531" s="7" t="n"/>
      <c r="F531" s="7" t="n"/>
      <c r="G531" s="7" t="n"/>
      <c r="J531" s="7" t="n"/>
      <c r="K531" s="7" t="n"/>
      <c r="M531" s="7" t="n"/>
      <c r="N531" s="7" t="n"/>
      <c r="O531" s="7" t="n"/>
      <c r="AJ531" s="7" t="n"/>
      <c r="AK531" s="7" t="n"/>
    </row>
    <row r="532" ht="15" customHeight="1" s="5">
      <c r="C532" s="7" t="n"/>
      <c r="D532" s="7" t="n"/>
      <c r="E532" s="7" t="n"/>
      <c r="F532" s="7" t="n"/>
      <c r="G532" s="7" t="n"/>
      <c r="J532" s="7" t="n"/>
      <c r="K532" s="7" t="n"/>
      <c r="M532" s="7" t="n"/>
      <c r="N532" s="7" t="n"/>
      <c r="O532" s="7" t="n"/>
      <c r="AJ532" s="7" t="n"/>
      <c r="AK532" s="7" t="n"/>
    </row>
    <row r="533" ht="15" customHeight="1" s="5">
      <c r="C533" s="7" t="n"/>
      <c r="D533" s="7" t="n"/>
      <c r="E533" s="7" t="n"/>
      <c r="F533" s="7" t="n"/>
      <c r="G533" s="7" t="n"/>
      <c r="J533" s="7" t="n"/>
      <c r="K533" s="7" t="n"/>
      <c r="M533" s="7" t="n"/>
      <c r="N533" s="7" t="n"/>
      <c r="O533" s="7" t="n"/>
      <c r="AJ533" s="7" t="n"/>
      <c r="AK533" s="7" t="n"/>
    </row>
    <row r="534" ht="15" customHeight="1" s="5">
      <c r="C534" s="7" t="n"/>
      <c r="D534" s="7" t="n"/>
      <c r="E534" s="7" t="n"/>
      <c r="F534" s="7" t="n"/>
      <c r="G534" s="7" t="n"/>
      <c r="J534" s="7" t="n"/>
      <c r="K534" s="7" t="n"/>
      <c r="M534" s="7" t="n"/>
      <c r="N534" s="7" t="n"/>
      <c r="O534" s="7" t="n"/>
      <c r="AJ534" s="7" t="n"/>
      <c r="AK534" s="7" t="n"/>
    </row>
    <row r="535" ht="15" customHeight="1" s="5">
      <c r="C535" s="7" t="n"/>
      <c r="D535" s="7" t="n"/>
      <c r="E535" s="7" t="n"/>
      <c r="F535" s="7" t="n"/>
      <c r="G535" s="7" t="n"/>
      <c r="J535" s="7" t="n"/>
      <c r="K535" s="7" t="n"/>
      <c r="M535" s="7" t="n"/>
      <c r="N535" s="7" t="n"/>
      <c r="O535" s="7" t="n"/>
      <c r="AJ535" s="7" t="n"/>
      <c r="AK535" s="7" t="n"/>
    </row>
    <row r="536" ht="15" customHeight="1" s="5">
      <c r="C536" s="7" t="n"/>
      <c r="D536" s="7" t="n"/>
      <c r="E536" s="7" t="n"/>
      <c r="F536" s="7" t="n"/>
      <c r="G536" s="7" t="n"/>
      <c r="J536" s="7" t="n"/>
      <c r="K536" s="7" t="n"/>
      <c r="M536" s="7" t="n"/>
      <c r="N536" s="7" t="n"/>
      <c r="O536" s="7" t="n"/>
      <c r="AJ536" s="7" t="n"/>
      <c r="AK536" s="7" t="n"/>
    </row>
    <row r="537" ht="15" customHeight="1" s="5">
      <c r="C537" s="7" t="n"/>
      <c r="D537" s="7" t="n"/>
      <c r="E537" s="7" t="n"/>
      <c r="F537" s="7" t="n"/>
      <c r="G537" s="7" t="n"/>
      <c r="J537" s="7" t="n"/>
      <c r="K537" s="7" t="n"/>
      <c r="M537" s="7" t="n"/>
      <c r="N537" s="7" t="n"/>
      <c r="O537" s="7" t="n"/>
      <c r="AJ537" s="7" t="n"/>
      <c r="AK537" s="7" t="n"/>
    </row>
    <row r="538" ht="15" customHeight="1" s="5">
      <c r="C538" s="7" t="n"/>
      <c r="D538" s="7" t="n"/>
      <c r="E538" s="7" t="n"/>
      <c r="F538" s="7" t="n"/>
      <c r="G538" s="7" t="n"/>
      <c r="J538" s="7" t="n"/>
      <c r="K538" s="7" t="n"/>
      <c r="M538" s="7" t="n"/>
      <c r="N538" s="7" t="n"/>
      <c r="O538" s="7" t="n"/>
      <c r="AJ538" s="7" t="n"/>
      <c r="AK538" s="7" t="n"/>
    </row>
    <row r="539" ht="15" customHeight="1" s="5">
      <c r="C539" s="7" t="n"/>
      <c r="D539" s="7" t="n"/>
      <c r="E539" s="7" t="n"/>
      <c r="F539" s="7" t="n"/>
      <c r="G539" s="7" t="n"/>
      <c r="J539" s="7" t="n"/>
      <c r="K539" s="7" t="n"/>
      <c r="M539" s="7" t="n"/>
      <c r="N539" s="7" t="n"/>
      <c r="O539" s="7" t="n"/>
      <c r="AJ539" s="7" t="n"/>
      <c r="AK539" s="7" t="n"/>
    </row>
    <row r="540" ht="15" customHeight="1" s="5">
      <c r="C540" s="7" t="n"/>
      <c r="D540" s="7" t="n"/>
      <c r="E540" s="7" t="n"/>
      <c r="F540" s="7" t="n"/>
      <c r="G540" s="7" t="n"/>
      <c r="J540" s="7" t="n"/>
      <c r="K540" s="7" t="n"/>
      <c r="M540" s="7" t="n"/>
      <c r="N540" s="7" t="n"/>
      <c r="O540" s="7" t="n"/>
      <c r="AJ540" s="7" t="n"/>
      <c r="AK540" s="7" t="n"/>
    </row>
    <row r="541" ht="15" customHeight="1" s="5">
      <c r="C541" s="7" t="n"/>
      <c r="D541" s="7" t="n"/>
      <c r="E541" s="7" t="n"/>
      <c r="F541" s="7" t="n"/>
      <c r="G541" s="7" t="n"/>
      <c r="J541" s="7" t="n"/>
      <c r="K541" s="7" t="n"/>
      <c r="M541" s="7" t="n"/>
      <c r="N541" s="7" t="n"/>
      <c r="O541" s="7" t="n"/>
      <c r="AJ541" s="7" t="n"/>
      <c r="AK541" s="7" t="n"/>
    </row>
  </sheetData>
  <dataValidations count="24">
    <dataValidation sqref="AJ2:AJ541" showDropDown="0" showInputMessage="0" showErrorMessage="0" allowBlank="1" errorTitle="Not in Config list" error="Value not in Config; will still be saved." promptTitle="Status" prompt="Pick from Config → Status" type="list" errorStyle="warning" operator="between">
      <formula1>"Active,Active,Active,Completed,Pipeline,On Hold,Cancelled"</formula1>
      <formula2>0</formula2>
    </dataValidation>
    <dataValidation sqref="AK2:AK541" showDropDown="0" showInputMessage="0" showErrorMessage="0" allowBlank="1" errorTitle="Not in Config list" error="Value not in Config; will still be saved." promptTitle="RAG" prompt="Pick from Config → RAG" type="list" errorStyle="warning" operator="between">
      <formula1>"Green,Amber,Red"</formula1>
      <formula2>0</formula2>
    </dataValidation>
    <dataValidation sqref="J2:J541" showDropDown="0" showInputMessage="0" showErrorMessage="0" allowBlank="1" errorTitle="Not in Config list" error="Value not in Config; will still be saved." promptTitle="Priority" prompt="Pick from Config → Priority" type="list" errorStyle="warning" operator="between">
      <formula1>"P1 - Critical,P2 - High,P3 - Medium,P4 - Low"</formula1>
      <formula2>0</formula2>
    </dataValidation>
    <dataValidation sqref="K2:K541" showDropDown="0" showInputMessage="0" showErrorMessage="0" allowBlank="1" errorTitle="Not in Config list" error="Value not in Config; will still be saved." promptTitle="Investment Type" prompt="Pick from Config → Investment Type" type="list" errorStyle="warning" operator="between">
      <formula1>"Run,Grow,Transform"</formula1>
      <formula2>0</formula2>
    </dataValidation>
    <dataValidation sqref="M2:M541" showDropDown="0" showInputMessage="0" showErrorMessage="0" allowBlank="1" errorTitle="Not in Config list" error="Value not in Config; will still be saved." promptTitle="Funding Type" prompt="Pick from Config → Funding Type" type="list" errorStyle="warning" operator="between">
      <formula1>"CAPEX,OPEX,Mixed,Unfunded"</formula1>
      <formula2>0</formula2>
    </dataValidation>
    <dataValidation sqref="E2:E541" showDropDown="0" showInputMessage="0" showErrorMessage="0" allowBlank="1" errorTitle="Not in Config list" error="Value not in Config; will still be saved." promptTitle="Portfolio Category" prompt="Pick from Config → Portfolio Category" type="list" errorStyle="warning" operator="between">
      <formula1>"Business Strategic,IT Strategic,CAPEX,Unfunded"</formula1>
      <formula2>0</formula2>
    </dataValidation>
    <dataValidation sqref="N2:N541" showDropDown="0" showInputMessage="0" showErrorMessage="0" allowBlank="1" errorTitle="Not in Config list" error="Value not in Config; will still be saved." promptTitle="Governance Channel" prompt="Pick from Config → Governance Channel" type="list" errorStyle="warning" operator="between">
      <formula1>"Channel A (&lt;$200K),Channel B (&gt;$200K)"</formula1>
      <formula2>0</formula2>
    </dataValidation>
    <dataValidation sqref="C2:C541" showDropDown="0" showInputMessage="0" showErrorMessage="0" allowBlank="1" errorTitle="Not in Config list" error="Value not in Config; will still be saved." promptTitle="Program" prompt="Pick from Config → Program" type="list" errorStyle="warning" operator="between">
      <formula1>"Digital Transformation,Cyber Security,Cloud Migration,Data &amp; AI,Customer Experience"</formula1>
      <formula2>0</formula2>
    </dataValidation>
    <dataValidation sqref="D2:D541" showDropDown="0" showInputMessage="0" showErrorMessage="0" allowBlank="1" errorTitle="Not in Config list" error="Value not in Config; will still be saved." promptTitle="Theme" prompt="Pick from Config → Theme" type="list" errorStyle="warning" operator="between">
      <formula1>"Infrastructure,Digital &amp; Applications,Data &amp; Analytics,Cyber Security,Business Transformation"</formula1>
      <formula2>0</formula2>
    </dataValidation>
    <dataValidation sqref="F2:F541" showDropDown="0" showInputMessage="0" showErrorMessage="0" allowBlank="1" errorTitle="Not in Config list" error="Value not in Config; will still be saved." promptTitle="Business Unit" prompt="Pick from Config → Business Unit" type="list" errorStyle="warning" operator="between">
      <formula1>"Retail,Wholesale,Operations,Technology,Finance,HR,Marketing"</formula1>
      <formula2>0</formula2>
    </dataValidation>
    <dataValidation sqref="G2:G541" showDropDown="0" showInputMessage="0" showErrorMessage="0" allowBlank="1" errorTitle="Not in Config list" error="Value not in Config; will still be saved." promptTitle="Sponsor" prompt="Pick from Config → Sponsor" type="list" errorStyle="warning" operator="between">
      <formula1>"CIO,CFO,COO,CMO,CTO"</formula1>
      <formula2>0</formula2>
    </dataValidation>
    <dataValidation sqref="O2:O541" showDropDown="0" showInputMessage="0" showErrorMessage="0" allowBlank="1" errorTitle="Not in Config list" error="Value not in Config; will still be saved." promptTitle="Financial Year" prompt="Pick from Config → Financial Year" type="list" errorStyle="warning" operator="between">
      <formula1>"FY25,FY25-26,FY26,FY26-27,FY27,FY27-28,FY28,FY28-29,FY29,FY29-30,FY30"</formula1>
      <formula2>0</formula2>
    </dataValidation>
    <dataValidation sqref="AJ2:AJ1041" showDropDown="0" showInputMessage="0" showErrorMessage="0" allowBlank="1" errorTitle="Not in Config list" error="Value not in Config; will still be saved." promptTitle="Status" prompt="Pick from Config → Status" type="list" errorStyle="warning">
      <formula1>"Active,Active,Active,Completed,Pipeline,On Hold,Cancelled"</formula1>
    </dataValidation>
    <dataValidation sqref="AK2:AK1041" showDropDown="0" showInputMessage="0" showErrorMessage="0" allowBlank="1" errorTitle="Not in Config list" error="Value not in Config; will still be saved." promptTitle="RAG" prompt="Pick from Config → RAG" type="list" errorStyle="warning">
      <formula1>"Green,Amber,Red"</formula1>
    </dataValidation>
    <dataValidation sqref="J2:J1041" showDropDown="0" showInputMessage="0" showErrorMessage="0" allowBlank="1" errorTitle="Not in Config list" error="Value not in Config; will still be saved." promptTitle="Priority" prompt="Pick from Config → Priority" type="list" errorStyle="warning">
      <formula1>"P1 - Critical,P2 - High,P3 - Medium,P4 - Low"</formula1>
    </dataValidation>
    <dataValidation sqref="K2:K1041" showDropDown="0" showInputMessage="0" showErrorMessage="0" allowBlank="1" errorTitle="Not in Config list" error="Value not in Config; will still be saved." promptTitle="Investment Type" prompt="Pick from Config → Investment Type" type="list" errorStyle="warning">
      <formula1>"Run,Grow,Transform"</formula1>
    </dataValidation>
    <dataValidation sqref="M2:M1041" showDropDown="0" showInputMessage="0" showErrorMessage="0" allowBlank="1" errorTitle="Not in Config list" error="Value not in Config; will still be saved." promptTitle="Funding Type" prompt="Pick from Config → Funding Type" type="list" errorStyle="warning">
      <formula1>"CAPEX,OPEX,Mixed,Unfunded"</formula1>
    </dataValidation>
    <dataValidation sqref="E2:E1041" showDropDown="0" showInputMessage="0" showErrorMessage="0" allowBlank="1" errorTitle="Not in Config list" error="Value not in Config; will still be saved." promptTitle="Portfolio Category" prompt="Pick from Config → Portfolio Category" type="list" errorStyle="warning">
      <formula1>"Business Strategic,IT Strategic,CAPEX,Unfunded"</formula1>
    </dataValidation>
    <dataValidation sqref="N2:N1041" showDropDown="0" showInputMessage="0" showErrorMessage="0" allowBlank="1" errorTitle="Not in Config list" error="Value not in Config; will still be saved." promptTitle="Governance Channel" prompt="Pick from Config → Governance Channel" type="list" errorStyle="warning">
      <formula1>"Channel A (&lt;$200K),Channel B (&gt;$200K)"</formula1>
    </dataValidation>
    <dataValidation sqref="C2:C1041" showDropDown="0" showInputMessage="0" showErrorMessage="0" allowBlank="1" errorTitle="Not in Config list" error="Value not in Config; will still be saved." promptTitle="Program" prompt="Pick from Config → Program" type="list" errorStyle="warning">
      <formula1>"Digital Transformation,Cyber Security,Cloud Migration,Data &amp; AI,Customer Experience"</formula1>
    </dataValidation>
    <dataValidation sqref="D2:D1041" showDropDown="0" showInputMessage="0" showErrorMessage="0" allowBlank="1" errorTitle="Not in Config list" error="Value not in Config; will still be saved." promptTitle="Theme" prompt="Pick from Config → Theme" type="list" errorStyle="warning">
      <formula1>"Infrastructure,Digital &amp; Applications,Data &amp; Analytics,Cyber Security,Business Transformation"</formula1>
    </dataValidation>
    <dataValidation sqref="F2:F1041" showDropDown="0" showInputMessage="0" showErrorMessage="0" allowBlank="1" errorTitle="Not in Config list" error="Value not in Config; will still be saved." promptTitle="Business Unit" prompt="Pick from Config → Business Unit" type="list" errorStyle="warning">
      <formula1>"Retail,Wholesale,Operations,Technology,Finance,HR,Marketing"</formula1>
    </dataValidation>
    <dataValidation sqref="G2:G1041" showDropDown="0" showInputMessage="0" showErrorMessage="0" allowBlank="1" errorTitle="Not in Config list" error="Value not in Config; will still be saved." promptTitle="Sponsor" prompt="Pick from Config → Sponsor" type="list" errorStyle="warning">
      <formula1>"CIO,CFO,COO,CMO,CTO"</formula1>
    </dataValidation>
    <dataValidation sqref="O2:O1041" showDropDown="0" showInputMessage="0" showErrorMessage="0" allowBlank="1" errorTitle="Not in Config list" error="Value not in Config; will still be saved." promptTitle="Financial Year" prompt="Pick from Config → Financial Year" type="list" errorStyle="warning">
      <formula1>"FY25,FY25-26,FY26,FY26-27,FY27,FY27-28,FY28,FY28-29,FY29,FY29-30,FY30"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Project ID</t>
        </is>
      </c>
      <c r="B1" s="6" t="inlineStr">
        <is>
          <t>Month</t>
        </is>
      </c>
      <c r="C1" s="6" t="inlineStr">
        <is>
          <t>Year</t>
        </is>
      </c>
      <c r="D1" s="6" t="inlineStr">
        <is>
          <t>Phase</t>
        </is>
      </c>
      <c r="E1" s="6" t="inlineStr">
        <is>
          <t>Status</t>
        </is>
      </c>
    </row>
    <row r="2" ht="15" customHeight="1" s="5">
      <c r="A2" s="7" t="inlineStr">
        <is>
          <t>PRJ001</t>
        </is>
      </c>
      <c r="B2" s="7" t="inlineStr">
        <is>
          <t>Mar</t>
        </is>
      </c>
      <c r="C2" s="7" t="n">
        <v>2025</v>
      </c>
      <c r="D2" s="7" t="inlineStr">
        <is>
          <t>Design</t>
        </is>
      </c>
      <c r="E2" s="7" t="inlineStr">
        <is>
          <t>Completed</t>
        </is>
      </c>
    </row>
    <row r="3" ht="15" customHeight="1" s="5">
      <c r="A3" s="7" t="inlineStr">
        <is>
          <t>PRJ001</t>
        </is>
      </c>
      <c r="B3" s="7" t="inlineStr">
        <is>
          <t>Apr</t>
        </is>
      </c>
      <c r="C3" s="7" t="n">
        <v>2025</v>
      </c>
      <c r="D3" s="7" t="inlineStr">
        <is>
          <t>Build</t>
        </is>
      </c>
      <c r="E3" s="7" t="inlineStr">
        <is>
          <t>Completed</t>
        </is>
      </c>
    </row>
    <row r="4" ht="15" customHeight="1" s="5">
      <c r="A4" s="7" t="inlineStr">
        <is>
          <t>PRJ001</t>
        </is>
      </c>
      <c r="B4" s="7" t="inlineStr">
        <is>
          <t>May</t>
        </is>
      </c>
      <c r="C4" s="7" t="n">
        <v>2025</v>
      </c>
      <c r="D4" s="7" t="inlineStr">
        <is>
          <t>Deploy</t>
        </is>
      </c>
      <c r="E4" s="7" t="inlineStr">
        <is>
          <t>Completed</t>
        </is>
      </c>
    </row>
    <row r="5" ht="15" customHeight="1" s="5">
      <c r="A5" s="7" t="inlineStr">
        <is>
          <t>PRJ001</t>
        </is>
      </c>
      <c r="B5" s="7" t="inlineStr">
        <is>
          <t>Jun</t>
        </is>
      </c>
      <c r="C5" s="7" t="n">
        <v>2025</v>
      </c>
      <c r="D5" s="7" t="inlineStr">
        <is>
          <t>Deploy</t>
        </is>
      </c>
      <c r="E5" s="7" t="inlineStr">
        <is>
          <t>Completed</t>
        </is>
      </c>
    </row>
    <row r="6" ht="15" customHeight="1" s="5">
      <c r="A6" s="7" t="inlineStr">
        <is>
          <t>PRJ001</t>
        </is>
      </c>
      <c r="B6" s="7" t="inlineStr">
        <is>
          <t>Jul</t>
        </is>
      </c>
      <c r="C6" s="7" t="n">
        <v>2025</v>
      </c>
      <c r="D6" s="7" t="inlineStr">
        <is>
          <t>Build</t>
        </is>
      </c>
      <c r="E6" s="7" t="inlineStr">
        <is>
          <t>Completed</t>
        </is>
      </c>
    </row>
    <row r="7" ht="15" customHeight="1" s="5">
      <c r="A7" s="7" t="inlineStr">
        <is>
          <t>PRJ001</t>
        </is>
      </c>
      <c r="B7" s="7" t="inlineStr">
        <is>
          <t>Aug</t>
        </is>
      </c>
      <c r="C7" s="7" t="n">
        <v>2025</v>
      </c>
      <c r="D7" s="7" t="inlineStr">
        <is>
          <t>Test</t>
        </is>
      </c>
      <c r="E7" s="7" t="inlineStr">
        <is>
          <t>Completed</t>
        </is>
      </c>
    </row>
    <row r="8" ht="15" customHeight="1" s="5">
      <c r="A8" s="7" t="inlineStr">
        <is>
          <t>PRJ001</t>
        </is>
      </c>
      <c r="B8" s="7" t="inlineStr">
        <is>
          <t>Sep</t>
        </is>
      </c>
      <c r="C8" s="7" t="n">
        <v>2025</v>
      </c>
      <c r="D8" s="7" t="inlineStr">
        <is>
          <t>Discovery</t>
        </is>
      </c>
      <c r="E8" s="7" t="inlineStr">
        <is>
          <t>Completed</t>
        </is>
      </c>
    </row>
    <row r="9" ht="15" customHeight="1" s="5">
      <c r="A9" s="7" t="inlineStr">
        <is>
          <t>PRJ001</t>
        </is>
      </c>
      <c r="B9" s="7" t="inlineStr">
        <is>
          <t>Oct</t>
        </is>
      </c>
      <c r="C9" s="7" t="n">
        <v>2025</v>
      </c>
      <c r="D9" s="7" t="inlineStr">
        <is>
          <t>Test</t>
        </is>
      </c>
      <c r="E9" s="7" t="inlineStr">
        <is>
          <t>Completed</t>
        </is>
      </c>
    </row>
    <row r="10" ht="15" customHeight="1" s="5">
      <c r="A10" s="7" t="inlineStr">
        <is>
          <t>PRJ001</t>
        </is>
      </c>
      <c r="B10" s="7" t="inlineStr">
        <is>
          <t>Nov</t>
        </is>
      </c>
      <c r="C10" s="7" t="n">
        <v>2025</v>
      </c>
      <c r="D10" s="7" t="inlineStr">
        <is>
          <t>Build</t>
        </is>
      </c>
      <c r="E10" s="7" t="inlineStr">
        <is>
          <t>Completed</t>
        </is>
      </c>
    </row>
    <row r="11" ht="15" customHeight="1" s="5">
      <c r="A11" s="7" t="inlineStr">
        <is>
          <t>PRJ001</t>
        </is>
      </c>
      <c r="B11" s="7" t="inlineStr">
        <is>
          <t>Dec</t>
        </is>
      </c>
      <c r="C11" s="7" t="n">
        <v>2025</v>
      </c>
      <c r="D11" s="7" t="inlineStr">
        <is>
          <t>Test</t>
        </is>
      </c>
      <c r="E11" s="7" t="inlineStr">
        <is>
          <t>Completed</t>
        </is>
      </c>
    </row>
    <row r="12" ht="15" customHeight="1" s="5">
      <c r="A12" s="7" t="inlineStr">
        <is>
          <t>PRJ001</t>
        </is>
      </c>
      <c r="B12" s="7" t="inlineStr">
        <is>
          <t>Jan</t>
        </is>
      </c>
      <c r="C12" s="7" t="n">
        <v>2026</v>
      </c>
      <c r="D12" s="7" t="inlineStr">
        <is>
          <t>Build</t>
        </is>
      </c>
      <c r="E12" s="7" t="inlineStr">
        <is>
          <t>Completed</t>
        </is>
      </c>
    </row>
    <row r="13" ht="15" customHeight="1" s="5">
      <c r="A13" s="7" t="inlineStr">
        <is>
          <t>PRJ001</t>
        </is>
      </c>
      <c r="B13" s="7" t="inlineStr">
        <is>
          <t>Feb</t>
        </is>
      </c>
      <c r="C13" s="7" t="n">
        <v>2026</v>
      </c>
      <c r="D13" s="7" t="inlineStr">
        <is>
          <t>Deploy</t>
        </is>
      </c>
      <c r="E13" s="7" t="inlineStr">
        <is>
          <t>Completed</t>
        </is>
      </c>
    </row>
    <row r="14" ht="15" customHeight="1" s="5">
      <c r="A14" s="7" t="inlineStr">
        <is>
          <t>PRJ001</t>
        </is>
      </c>
      <c r="B14" s="7" t="inlineStr">
        <is>
          <t>Mar</t>
        </is>
      </c>
      <c r="C14" s="7" t="n">
        <v>2026</v>
      </c>
      <c r="D14" s="7" t="inlineStr">
        <is>
          <t>Deploy</t>
        </is>
      </c>
      <c r="E14" s="7" t="inlineStr">
        <is>
          <t>Completed</t>
        </is>
      </c>
    </row>
    <row r="15" ht="15" customHeight="1" s="5">
      <c r="A15" s="7" t="inlineStr">
        <is>
          <t>PRJ002</t>
        </is>
      </c>
      <c r="B15" s="7" t="inlineStr">
        <is>
          <t>Apr</t>
        </is>
      </c>
      <c r="C15" s="7" t="n">
        <v>2025</v>
      </c>
      <c r="D15" s="7" t="inlineStr">
        <is>
          <t>Test</t>
        </is>
      </c>
      <c r="E15" s="7" t="inlineStr">
        <is>
          <t>Pipeline</t>
        </is>
      </c>
    </row>
    <row r="16" ht="15" customHeight="1" s="5">
      <c r="A16" s="7" t="inlineStr">
        <is>
          <t>PRJ002</t>
        </is>
      </c>
      <c r="B16" s="7" t="inlineStr">
        <is>
          <t>May</t>
        </is>
      </c>
      <c r="C16" s="7" t="n">
        <v>2025</v>
      </c>
      <c r="D16" s="7" t="inlineStr">
        <is>
          <t>Test</t>
        </is>
      </c>
      <c r="E16" s="7" t="inlineStr">
        <is>
          <t>Pipeline</t>
        </is>
      </c>
    </row>
    <row r="17" ht="15" customHeight="1" s="5">
      <c r="A17" s="7" t="inlineStr">
        <is>
          <t>PRJ002</t>
        </is>
      </c>
      <c r="B17" s="7" t="inlineStr">
        <is>
          <t>Jun</t>
        </is>
      </c>
      <c r="C17" s="7" t="n">
        <v>2025</v>
      </c>
      <c r="D17" s="7" t="inlineStr">
        <is>
          <t>Discovery</t>
        </is>
      </c>
      <c r="E17" s="7" t="inlineStr">
        <is>
          <t>Pipeline</t>
        </is>
      </c>
    </row>
    <row r="18" ht="15" customHeight="1" s="5">
      <c r="A18" s="7" t="inlineStr">
        <is>
          <t>PRJ002</t>
        </is>
      </c>
      <c r="B18" s="7" t="inlineStr">
        <is>
          <t>Jul</t>
        </is>
      </c>
      <c r="C18" s="7" t="n">
        <v>2025</v>
      </c>
      <c r="D18" s="7" t="inlineStr">
        <is>
          <t>Deploy</t>
        </is>
      </c>
      <c r="E18" s="7" t="inlineStr">
        <is>
          <t>Pipeline</t>
        </is>
      </c>
    </row>
    <row r="19" ht="15" customHeight="1" s="5">
      <c r="A19" s="7" t="inlineStr">
        <is>
          <t>PRJ002</t>
        </is>
      </c>
      <c r="B19" s="7" t="inlineStr">
        <is>
          <t>Aug</t>
        </is>
      </c>
      <c r="C19" s="7" t="n">
        <v>2025</v>
      </c>
      <c r="D19" s="7" t="inlineStr">
        <is>
          <t>Discovery</t>
        </is>
      </c>
      <c r="E19" s="7" t="inlineStr">
        <is>
          <t>Pipeline</t>
        </is>
      </c>
    </row>
    <row r="20" ht="15" customHeight="1" s="5">
      <c r="A20" s="7" t="inlineStr">
        <is>
          <t>PRJ002</t>
        </is>
      </c>
      <c r="B20" s="7" t="inlineStr">
        <is>
          <t>Sep</t>
        </is>
      </c>
      <c r="C20" s="7" t="n">
        <v>2025</v>
      </c>
      <c r="D20" s="7" t="inlineStr">
        <is>
          <t>Test</t>
        </is>
      </c>
      <c r="E20" s="7" t="inlineStr">
        <is>
          <t>Pipeline</t>
        </is>
      </c>
    </row>
    <row r="21" ht="15" customHeight="1" s="5">
      <c r="A21" s="7" t="inlineStr">
        <is>
          <t>PRJ002</t>
        </is>
      </c>
      <c r="B21" s="7" t="inlineStr">
        <is>
          <t>Oct</t>
        </is>
      </c>
      <c r="C21" s="7" t="n">
        <v>2025</v>
      </c>
      <c r="D21" s="7" t="inlineStr">
        <is>
          <t>Build</t>
        </is>
      </c>
      <c r="E21" s="7" t="inlineStr">
        <is>
          <t>Pipeline</t>
        </is>
      </c>
    </row>
    <row r="22" ht="15" customHeight="1" s="5">
      <c r="A22" s="7" t="inlineStr">
        <is>
          <t>PRJ003</t>
        </is>
      </c>
      <c r="B22" s="7" t="inlineStr">
        <is>
          <t>May</t>
        </is>
      </c>
      <c r="C22" s="7" t="n">
        <v>2025</v>
      </c>
      <c r="D22" s="7" t="inlineStr">
        <is>
          <t>Deploy</t>
        </is>
      </c>
      <c r="E22" s="7" t="inlineStr">
        <is>
          <t>Active</t>
        </is>
      </c>
    </row>
    <row r="23" ht="15" customHeight="1" s="5">
      <c r="A23" s="7" t="inlineStr">
        <is>
          <t>PRJ003</t>
        </is>
      </c>
      <c r="B23" s="7" t="inlineStr">
        <is>
          <t>Jun</t>
        </is>
      </c>
      <c r="C23" s="7" t="n">
        <v>2025</v>
      </c>
      <c r="D23" s="7" t="inlineStr">
        <is>
          <t>Build</t>
        </is>
      </c>
      <c r="E23" s="7" t="inlineStr">
        <is>
          <t>Active</t>
        </is>
      </c>
    </row>
    <row r="24" ht="15" customHeight="1" s="5">
      <c r="A24" s="7" t="inlineStr">
        <is>
          <t>PRJ003</t>
        </is>
      </c>
      <c r="B24" s="7" t="inlineStr">
        <is>
          <t>Jul</t>
        </is>
      </c>
      <c r="C24" s="7" t="n">
        <v>2025</v>
      </c>
      <c r="D24" s="7" t="inlineStr">
        <is>
          <t>Discovery</t>
        </is>
      </c>
      <c r="E24" s="7" t="inlineStr">
        <is>
          <t>Active</t>
        </is>
      </c>
    </row>
    <row r="25" ht="15" customHeight="1" s="5">
      <c r="A25" s="7" t="inlineStr">
        <is>
          <t>PRJ003</t>
        </is>
      </c>
      <c r="B25" s="7" t="inlineStr">
        <is>
          <t>Aug</t>
        </is>
      </c>
      <c r="C25" s="7" t="n">
        <v>2025</v>
      </c>
      <c r="D25" s="7" t="inlineStr">
        <is>
          <t>Discovery</t>
        </is>
      </c>
      <c r="E25" s="7" t="inlineStr">
        <is>
          <t>Active</t>
        </is>
      </c>
    </row>
    <row r="26" ht="15" customHeight="1" s="5">
      <c r="A26" s="7" t="inlineStr">
        <is>
          <t>PRJ003</t>
        </is>
      </c>
      <c r="B26" s="7" t="inlineStr">
        <is>
          <t>Sep</t>
        </is>
      </c>
      <c r="C26" s="7" t="n">
        <v>2025</v>
      </c>
      <c r="D26" s="7" t="inlineStr">
        <is>
          <t>Design</t>
        </is>
      </c>
      <c r="E26" s="7" t="inlineStr">
        <is>
          <t>Active</t>
        </is>
      </c>
    </row>
    <row r="27" ht="15" customHeight="1" s="5">
      <c r="A27" s="7" t="inlineStr">
        <is>
          <t>PRJ003</t>
        </is>
      </c>
      <c r="B27" s="7" t="inlineStr">
        <is>
          <t>Oct</t>
        </is>
      </c>
      <c r="C27" s="7" t="n">
        <v>2025</v>
      </c>
      <c r="D27" s="7" t="inlineStr">
        <is>
          <t>Deploy</t>
        </is>
      </c>
      <c r="E27" s="7" t="inlineStr">
        <is>
          <t>Active</t>
        </is>
      </c>
    </row>
    <row r="28" ht="15" customHeight="1" s="5">
      <c r="A28" s="7" t="inlineStr">
        <is>
          <t>PRJ003</t>
        </is>
      </c>
      <c r="B28" s="7" t="inlineStr">
        <is>
          <t>Nov</t>
        </is>
      </c>
      <c r="C28" s="7" t="n">
        <v>2025</v>
      </c>
      <c r="D28" s="7" t="inlineStr">
        <is>
          <t>Deploy</t>
        </is>
      </c>
      <c r="E28" s="7" t="inlineStr">
        <is>
          <t>Active</t>
        </is>
      </c>
    </row>
    <row r="29" ht="15" customHeight="1" s="5">
      <c r="A29" s="7" t="inlineStr">
        <is>
          <t>PRJ003</t>
        </is>
      </c>
      <c r="B29" s="7" t="inlineStr">
        <is>
          <t>Dec</t>
        </is>
      </c>
      <c r="C29" s="7" t="n">
        <v>2025</v>
      </c>
      <c r="D29" s="7" t="inlineStr">
        <is>
          <t>Discovery</t>
        </is>
      </c>
      <c r="E29" s="7" t="inlineStr">
        <is>
          <t>Active</t>
        </is>
      </c>
    </row>
    <row r="30" ht="15" customHeight="1" s="5">
      <c r="A30" s="7" t="inlineStr">
        <is>
          <t>PRJ003</t>
        </is>
      </c>
      <c r="B30" s="7" t="inlineStr">
        <is>
          <t>Jan</t>
        </is>
      </c>
      <c r="C30" s="7" t="n">
        <v>2026</v>
      </c>
      <c r="D30" s="7" t="inlineStr">
        <is>
          <t>Build</t>
        </is>
      </c>
      <c r="E30" s="7" t="inlineStr">
        <is>
          <t>Active</t>
        </is>
      </c>
    </row>
    <row r="31" ht="15" customHeight="1" s="5">
      <c r="A31" s="7" t="inlineStr">
        <is>
          <t>PRJ003</t>
        </is>
      </c>
      <c r="B31" s="7" t="inlineStr">
        <is>
          <t>Feb</t>
        </is>
      </c>
      <c r="C31" s="7" t="n">
        <v>2026</v>
      </c>
      <c r="D31" s="7" t="inlineStr">
        <is>
          <t>Deploy</t>
        </is>
      </c>
      <c r="E31" s="7" t="inlineStr">
        <is>
          <t>Active</t>
        </is>
      </c>
    </row>
    <row r="32" ht="15" customHeight="1" s="5">
      <c r="A32" s="7" t="inlineStr">
        <is>
          <t>PRJ003</t>
        </is>
      </c>
      <c r="B32" s="7" t="inlineStr">
        <is>
          <t>Mar</t>
        </is>
      </c>
      <c r="C32" s="7" t="n">
        <v>2026</v>
      </c>
      <c r="D32" s="7" t="inlineStr">
        <is>
          <t>Discovery</t>
        </is>
      </c>
      <c r="E32" s="7" t="inlineStr">
        <is>
          <t>Active</t>
        </is>
      </c>
    </row>
    <row r="33" ht="15" customHeight="1" s="5">
      <c r="A33" s="7" t="inlineStr">
        <is>
          <t>PRJ003</t>
        </is>
      </c>
      <c r="B33" s="7" t="inlineStr">
        <is>
          <t>Apr</t>
        </is>
      </c>
      <c r="C33" s="7" t="n">
        <v>2026</v>
      </c>
      <c r="D33" s="7" t="inlineStr">
        <is>
          <t>Design</t>
        </is>
      </c>
      <c r="E33" s="7" t="inlineStr">
        <is>
          <t>Active</t>
        </is>
      </c>
    </row>
    <row r="34" ht="15" customHeight="1" s="5">
      <c r="A34" s="7" t="inlineStr">
        <is>
          <t>PRJ003</t>
        </is>
      </c>
      <c r="B34" s="7" t="inlineStr">
        <is>
          <t>May</t>
        </is>
      </c>
      <c r="C34" s="7" t="n">
        <v>2026</v>
      </c>
      <c r="D34" s="7" t="inlineStr">
        <is>
          <t>Test</t>
        </is>
      </c>
      <c r="E34" s="7" t="inlineStr">
        <is>
          <t>Active</t>
        </is>
      </c>
    </row>
    <row r="35" ht="15" customHeight="1" s="5">
      <c r="A35" s="7" t="inlineStr">
        <is>
          <t>PRJ003</t>
        </is>
      </c>
      <c r="B35" s="7" t="inlineStr">
        <is>
          <t>Jun</t>
        </is>
      </c>
      <c r="C35" s="7" t="n">
        <v>2026</v>
      </c>
      <c r="D35" s="7" t="inlineStr">
        <is>
          <t>Deploy</t>
        </is>
      </c>
      <c r="E35" s="7" t="inlineStr">
        <is>
          <t>Active</t>
        </is>
      </c>
    </row>
    <row r="36" ht="15" customHeight="1" s="5">
      <c r="A36" s="7" t="inlineStr">
        <is>
          <t>PRJ003</t>
        </is>
      </c>
      <c r="B36" s="7" t="inlineStr">
        <is>
          <t>Jul</t>
        </is>
      </c>
      <c r="C36" s="7" t="n">
        <v>2026</v>
      </c>
      <c r="D36" s="7" t="inlineStr">
        <is>
          <t>Test</t>
        </is>
      </c>
      <c r="E36" s="7" t="inlineStr">
        <is>
          <t>Active</t>
        </is>
      </c>
    </row>
    <row r="37" ht="15" customHeight="1" s="5">
      <c r="A37" s="7" t="inlineStr">
        <is>
          <t>PRJ004</t>
        </is>
      </c>
      <c r="B37" s="7" t="inlineStr">
        <is>
          <t>Oct</t>
        </is>
      </c>
      <c r="C37" s="7" t="n">
        <v>2025</v>
      </c>
      <c r="D37" s="7" t="inlineStr">
        <is>
          <t>Build</t>
        </is>
      </c>
      <c r="E37" s="7" t="inlineStr">
        <is>
          <t>Active</t>
        </is>
      </c>
    </row>
    <row r="38" ht="15" customHeight="1" s="5">
      <c r="A38" s="7" t="inlineStr">
        <is>
          <t>PRJ004</t>
        </is>
      </c>
      <c r="B38" s="7" t="inlineStr">
        <is>
          <t>Nov</t>
        </is>
      </c>
      <c r="C38" s="7" t="n">
        <v>2025</v>
      </c>
      <c r="D38" s="7" t="inlineStr">
        <is>
          <t>Design</t>
        </is>
      </c>
      <c r="E38" s="7" t="inlineStr">
        <is>
          <t>Active</t>
        </is>
      </c>
    </row>
    <row r="39" ht="15" customHeight="1" s="5">
      <c r="A39" s="7" t="inlineStr">
        <is>
          <t>PRJ004</t>
        </is>
      </c>
      <c r="B39" s="7" t="inlineStr">
        <is>
          <t>Dec</t>
        </is>
      </c>
      <c r="C39" s="7" t="n">
        <v>2025</v>
      </c>
      <c r="D39" s="7" t="inlineStr">
        <is>
          <t>Deploy</t>
        </is>
      </c>
      <c r="E39" s="7" t="inlineStr">
        <is>
          <t>Active</t>
        </is>
      </c>
    </row>
    <row r="40" ht="15" customHeight="1" s="5">
      <c r="A40" s="7" t="inlineStr">
        <is>
          <t>PRJ004</t>
        </is>
      </c>
      <c r="B40" s="7" t="inlineStr">
        <is>
          <t>Jan</t>
        </is>
      </c>
      <c r="C40" s="7" t="n">
        <v>2026</v>
      </c>
      <c r="D40" s="7" t="inlineStr">
        <is>
          <t>Test</t>
        </is>
      </c>
      <c r="E40" s="7" t="inlineStr">
        <is>
          <t>Active</t>
        </is>
      </c>
    </row>
    <row r="41" ht="15" customHeight="1" s="5">
      <c r="A41" s="7" t="inlineStr">
        <is>
          <t>PRJ004</t>
        </is>
      </c>
      <c r="B41" s="7" t="inlineStr">
        <is>
          <t>Feb</t>
        </is>
      </c>
      <c r="C41" s="7" t="n">
        <v>2026</v>
      </c>
      <c r="D41" s="7" t="inlineStr">
        <is>
          <t>Test</t>
        </is>
      </c>
      <c r="E41" s="7" t="inlineStr">
        <is>
          <t>Active</t>
        </is>
      </c>
    </row>
    <row r="42" ht="15" customHeight="1" s="5">
      <c r="A42" s="7" t="inlineStr">
        <is>
          <t>PRJ004</t>
        </is>
      </c>
      <c r="B42" s="7" t="inlineStr">
        <is>
          <t>Mar</t>
        </is>
      </c>
      <c r="C42" s="7" t="n">
        <v>2026</v>
      </c>
      <c r="D42" s="7" t="inlineStr">
        <is>
          <t>Discovery</t>
        </is>
      </c>
      <c r="E42" s="7" t="inlineStr">
        <is>
          <t>Active</t>
        </is>
      </c>
    </row>
    <row r="43" ht="15" customHeight="1" s="5">
      <c r="A43" s="7" t="inlineStr">
        <is>
          <t>PRJ004</t>
        </is>
      </c>
      <c r="B43" s="7" t="inlineStr">
        <is>
          <t>Apr</t>
        </is>
      </c>
      <c r="C43" s="7" t="n">
        <v>2026</v>
      </c>
      <c r="D43" s="7" t="inlineStr">
        <is>
          <t>Test</t>
        </is>
      </c>
      <c r="E43" s="7" t="inlineStr">
        <is>
          <t>Active</t>
        </is>
      </c>
    </row>
    <row r="44" ht="15" customHeight="1" s="5">
      <c r="A44" s="7" t="inlineStr">
        <is>
          <t>PRJ004</t>
        </is>
      </c>
      <c r="B44" s="7" t="inlineStr">
        <is>
          <t>May</t>
        </is>
      </c>
      <c r="C44" s="7" t="n">
        <v>2026</v>
      </c>
      <c r="D44" s="7" t="inlineStr">
        <is>
          <t>Build</t>
        </is>
      </c>
      <c r="E44" s="7" t="inlineStr">
        <is>
          <t>Active</t>
        </is>
      </c>
    </row>
    <row r="45" ht="15" customHeight="1" s="5">
      <c r="A45" s="7" t="inlineStr">
        <is>
          <t>PRJ004</t>
        </is>
      </c>
      <c r="B45" s="7" t="inlineStr">
        <is>
          <t>Jun</t>
        </is>
      </c>
      <c r="C45" s="7" t="n">
        <v>2026</v>
      </c>
      <c r="D45" s="7" t="inlineStr">
        <is>
          <t>Test</t>
        </is>
      </c>
      <c r="E45" s="7" t="inlineStr">
        <is>
          <t>Active</t>
        </is>
      </c>
    </row>
    <row r="46" ht="15" customHeight="1" s="5">
      <c r="A46" s="7" t="inlineStr">
        <is>
          <t>PRJ004</t>
        </is>
      </c>
      <c r="B46" s="7" t="inlineStr">
        <is>
          <t>Jul</t>
        </is>
      </c>
      <c r="C46" s="7" t="n">
        <v>2026</v>
      </c>
      <c r="D46" s="7" t="inlineStr">
        <is>
          <t>Build</t>
        </is>
      </c>
      <c r="E46" s="7" t="inlineStr">
        <is>
          <t>Active</t>
        </is>
      </c>
    </row>
    <row r="47" ht="15" customHeight="1" s="5">
      <c r="A47" s="7" t="inlineStr">
        <is>
          <t>PRJ004</t>
        </is>
      </c>
      <c r="B47" s="7" t="inlineStr">
        <is>
          <t>Aug</t>
        </is>
      </c>
      <c r="C47" s="7" t="n">
        <v>2026</v>
      </c>
      <c r="D47" s="7" t="inlineStr">
        <is>
          <t>Build</t>
        </is>
      </c>
      <c r="E47" s="7" t="inlineStr">
        <is>
          <t>Active</t>
        </is>
      </c>
    </row>
    <row r="48" ht="15" customHeight="1" s="5">
      <c r="A48" s="7" t="inlineStr">
        <is>
          <t>PRJ004</t>
        </is>
      </c>
      <c r="B48" s="7" t="inlineStr">
        <is>
          <t>Sep</t>
        </is>
      </c>
      <c r="C48" s="7" t="n">
        <v>2026</v>
      </c>
      <c r="D48" s="7" t="inlineStr">
        <is>
          <t>Discovery</t>
        </is>
      </c>
      <c r="E48" s="7" t="inlineStr">
        <is>
          <t>Active</t>
        </is>
      </c>
    </row>
    <row r="49" ht="15" customHeight="1" s="5">
      <c r="A49" s="7" t="inlineStr">
        <is>
          <t>PRJ004</t>
        </is>
      </c>
      <c r="B49" s="7" t="inlineStr">
        <is>
          <t>Oct</t>
        </is>
      </c>
      <c r="C49" s="7" t="n">
        <v>2026</v>
      </c>
      <c r="D49" s="7" t="inlineStr">
        <is>
          <t>Design</t>
        </is>
      </c>
      <c r="E49" s="7" t="inlineStr">
        <is>
          <t>Active</t>
        </is>
      </c>
    </row>
    <row r="50" ht="15" customHeight="1" s="5">
      <c r="A50" s="7" t="inlineStr">
        <is>
          <t>PRJ004</t>
        </is>
      </c>
      <c r="B50" s="7" t="inlineStr">
        <is>
          <t>Nov</t>
        </is>
      </c>
      <c r="C50" s="7" t="n">
        <v>2026</v>
      </c>
      <c r="D50" s="7" t="inlineStr">
        <is>
          <t>Build</t>
        </is>
      </c>
      <c r="E50" s="7" t="inlineStr">
        <is>
          <t>Active</t>
        </is>
      </c>
    </row>
    <row r="51" ht="15" customHeight="1" s="5">
      <c r="A51" s="7" t="inlineStr">
        <is>
          <t>PRJ004</t>
        </is>
      </c>
      <c r="B51" s="7" t="inlineStr">
        <is>
          <t>Dec</t>
        </is>
      </c>
      <c r="C51" s="7" t="n">
        <v>2026</v>
      </c>
      <c r="D51" s="7" t="inlineStr">
        <is>
          <t>Test</t>
        </is>
      </c>
      <c r="E51" s="7" t="inlineStr">
        <is>
          <t>Active</t>
        </is>
      </c>
    </row>
    <row r="52" ht="15" customHeight="1" s="5">
      <c r="A52" s="7" t="inlineStr">
        <is>
          <t>PRJ004</t>
        </is>
      </c>
      <c r="B52" s="7" t="inlineStr">
        <is>
          <t>Jan</t>
        </is>
      </c>
      <c r="C52" s="7" t="n">
        <v>2027</v>
      </c>
      <c r="D52" s="7" t="inlineStr">
        <is>
          <t>Test</t>
        </is>
      </c>
      <c r="E52" s="7" t="inlineStr">
        <is>
          <t>Active</t>
        </is>
      </c>
    </row>
    <row r="53" ht="15" customHeight="1" s="5">
      <c r="A53" s="7" t="inlineStr">
        <is>
          <t>PRJ005</t>
        </is>
      </c>
      <c r="B53" s="7" t="inlineStr">
        <is>
          <t>Aug</t>
        </is>
      </c>
      <c r="C53" s="7" t="n">
        <v>2025</v>
      </c>
      <c r="D53" s="7" t="inlineStr">
        <is>
          <t>Build</t>
        </is>
      </c>
      <c r="E53" s="7" t="inlineStr">
        <is>
          <t>Completed</t>
        </is>
      </c>
    </row>
    <row r="54" ht="15" customHeight="1" s="5">
      <c r="A54" s="7" t="inlineStr">
        <is>
          <t>PRJ005</t>
        </is>
      </c>
      <c r="B54" s="7" t="inlineStr">
        <is>
          <t>Sep</t>
        </is>
      </c>
      <c r="C54" s="7" t="n">
        <v>2025</v>
      </c>
      <c r="D54" s="7" t="inlineStr">
        <is>
          <t>Test</t>
        </is>
      </c>
      <c r="E54" s="7" t="inlineStr">
        <is>
          <t>Completed</t>
        </is>
      </c>
    </row>
    <row r="55" ht="15" customHeight="1" s="5">
      <c r="A55" s="7" t="inlineStr">
        <is>
          <t>PRJ005</t>
        </is>
      </c>
      <c r="B55" s="7" t="inlineStr">
        <is>
          <t>Oct</t>
        </is>
      </c>
      <c r="C55" s="7" t="n">
        <v>2025</v>
      </c>
      <c r="D55" s="7" t="inlineStr">
        <is>
          <t>Deploy</t>
        </is>
      </c>
      <c r="E55" s="7" t="inlineStr">
        <is>
          <t>Completed</t>
        </is>
      </c>
    </row>
    <row r="56" ht="15" customHeight="1" s="5">
      <c r="A56" s="7" t="inlineStr">
        <is>
          <t>PRJ005</t>
        </is>
      </c>
      <c r="B56" s="7" t="inlineStr">
        <is>
          <t>Nov</t>
        </is>
      </c>
      <c r="C56" s="7" t="n">
        <v>2025</v>
      </c>
      <c r="D56" s="7" t="inlineStr">
        <is>
          <t>Discovery</t>
        </is>
      </c>
      <c r="E56" s="7" t="inlineStr">
        <is>
          <t>Completed</t>
        </is>
      </c>
    </row>
    <row r="57" ht="15" customHeight="1" s="5">
      <c r="A57" s="7" t="inlineStr">
        <is>
          <t>PRJ005</t>
        </is>
      </c>
      <c r="B57" s="7" t="inlineStr">
        <is>
          <t>Dec</t>
        </is>
      </c>
      <c r="C57" s="7" t="n">
        <v>2025</v>
      </c>
      <c r="D57" s="7" t="inlineStr">
        <is>
          <t>Test</t>
        </is>
      </c>
      <c r="E57" s="7" t="inlineStr">
        <is>
          <t>Completed</t>
        </is>
      </c>
    </row>
    <row r="58" ht="15" customHeight="1" s="5">
      <c r="A58" s="7" t="inlineStr">
        <is>
          <t>PRJ005</t>
        </is>
      </c>
      <c r="B58" s="7" t="inlineStr">
        <is>
          <t>Jan</t>
        </is>
      </c>
      <c r="C58" s="7" t="n">
        <v>2026</v>
      </c>
      <c r="D58" s="7" t="inlineStr">
        <is>
          <t>Discovery</t>
        </is>
      </c>
      <c r="E58" s="7" t="inlineStr">
        <is>
          <t>Completed</t>
        </is>
      </c>
    </row>
    <row r="59" ht="15" customHeight="1" s="5">
      <c r="A59" s="7" t="inlineStr">
        <is>
          <t>PRJ005</t>
        </is>
      </c>
      <c r="B59" s="7" t="inlineStr">
        <is>
          <t>Feb</t>
        </is>
      </c>
      <c r="C59" s="7" t="n">
        <v>2026</v>
      </c>
      <c r="D59" s="7" t="inlineStr">
        <is>
          <t>Build</t>
        </is>
      </c>
      <c r="E59" s="7" t="inlineStr">
        <is>
          <t>Completed</t>
        </is>
      </c>
    </row>
    <row r="60" ht="15" customHeight="1" s="5">
      <c r="A60" s="7" t="inlineStr">
        <is>
          <t>PRJ005</t>
        </is>
      </c>
      <c r="B60" s="7" t="inlineStr">
        <is>
          <t>Mar</t>
        </is>
      </c>
      <c r="C60" s="7" t="n">
        <v>2026</v>
      </c>
      <c r="D60" s="7" t="inlineStr">
        <is>
          <t>Build</t>
        </is>
      </c>
      <c r="E60" s="7" t="inlineStr">
        <is>
          <t>Completed</t>
        </is>
      </c>
    </row>
    <row r="61" ht="15" customHeight="1" s="5">
      <c r="A61" s="7" t="inlineStr">
        <is>
          <t>PRJ005</t>
        </is>
      </c>
      <c r="B61" s="7" t="inlineStr">
        <is>
          <t>Apr</t>
        </is>
      </c>
      <c r="C61" s="7" t="n">
        <v>2026</v>
      </c>
      <c r="D61" s="7" t="inlineStr">
        <is>
          <t>Build</t>
        </is>
      </c>
      <c r="E61" s="7" t="inlineStr">
        <is>
          <t>Completed</t>
        </is>
      </c>
    </row>
    <row r="62" ht="15" customHeight="1" s="5">
      <c r="A62" s="7" t="inlineStr">
        <is>
          <t>PRJ005</t>
        </is>
      </c>
      <c r="B62" s="7" t="inlineStr">
        <is>
          <t>May</t>
        </is>
      </c>
      <c r="C62" s="7" t="n">
        <v>2026</v>
      </c>
      <c r="D62" s="7" t="inlineStr">
        <is>
          <t>Discovery</t>
        </is>
      </c>
      <c r="E62" s="7" t="inlineStr">
        <is>
          <t>Completed</t>
        </is>
      </c>
    </row>
    <row r="63" ht="15" customHeight="1" s="5">
      <c r="A63" s="7" t="inlineStr">
        <is>
          <t>PRJ005</t>
        </is>
      </c>
      <c r="B63" s="7" t="inlineStr">
        <is>
          <t>Jun</t>
        </is>
      </c>
      <c r="C63" s="7" t="n">
        <v>2026</v>
      </c>
      <c r="D63" s="7" t="inlineStr">
        <is>
          <t>Test</t>
        </is>
      </c>
      <c r="E63" s="7" t="inlineStr">
        <is>
          <t>Completed</t>
        </is>
      </c>
    </row>
    <row r="64" ht="15" customHeight="1" s="5">
      <c r="A64" s="7" t="inlineStr">
        <is>
          <t>PRJ005</t>
        </is>
      </c>
      <c r="B64" s="7" t="inlineStr">
        <is>
          <t>Jul</t>
        </is>
      </c>
      <c r="C64" s="7" t="n">
        <v>2026</v>
      </c>
      <c r="D64" s="7" t="inlineStr">
        <is>
          <t>Deploy</t>
        </is>
      </c>
      <c r="E64" s="7" t="inlineStr">
        <is>
          <t>Completed</t>
        </is>
      </c>
    </row>
    <row r="65" ht="15" customHeight="1" s="5">
      <c r="A65" s="7" t="inlineStr">
        <is>
          <t>PRJ005</t>
        </is>
      </c>
      <c r="B65" s="7" t="inlineStr">
        <is>
          <t>Aug</t>
        </is>
      </c>
      <c r="C65" s="7" t="n">
        <v>2026</v>
      </c>
      <c r="D65" s="7" t="inlineStr">
        <is>
          <t>Discovery</t>
        </is>
      </c>
      <c r="E65" s="7" t="inlineStr">
        <is>
          <t>Completed</t>
        </is>
      </c>
    </row>
    <row r="66" ht="15" customHeight="1" s="5">
      <c r="A66" s="7" t="inlineStr">
        <is>
          <t>PRJ005</t>
        </is>
      </c>
      <c r="B66" s="7" t="inlineStr">
        <is>
          <t>Sep</t>
        </is>
      </c>
      <c r="C66" s="7" t="n">
        <v>2026</v>
      </c>
      <c r="D66" s="7" t="inlineStr">
        <is>
          <t>Deploy</t>
        </is>
      </c>
      <c r="E66" s="7" t="inlineStr">
        <is>
          <t>Completed</t>
        </is>
      </c>
    </row>
    <row r="67" ht="15" customHeight="1" s="5">
      <c r="A67" s="7" t="inlineStr">
        <is>
          <t>PRJ005</t>
        </is>
      </c>
      <c r="B67" s="7" t="inlineStr">
        <is>
          <t>Oct</t>
        </is>
      </c>
      <c r="C67" s="7" t="n">
        <v>2026</v>
      </c>
      <c r="D67" s="7" t="inlineStr">
        <is>
          <t>Test</t>
        </is>
      </c>
      <c r="E67" s="7" t="inlineStr">
        <is>
          <t>Completed</t>
        </is>
      </c>
    </row>
    <row r="68" ht="15" customHeight="1" s="5">
      <c r="A68" s="7" t="inlineStr">
        <is>
          <t>PRJ005</t>
        </is>
      </c>
      <c r="B68" s="7" t="inlineStr">
        <is>
          <t>Nov</t>
        </is>
      </c>
      <c r="C68" s="7" t="n">
        <v>2026</v>
      </c>
      <c r="D68" s="7" t="inlineStr">
        <is>
          <t>Test</t>
        </is>
      </c>
      <c r="E68" s="7" t="inlineStr">
        <is>
          <t>Completed</t>
        </is>
      </c>
    </row>
    <row r="69" ht="15" customHeight="1" s="5">
      <c r="A69" s="7" t="inlineStr">
        <is>
          <t>PRJ005</t>
        </is>
      </c>
      <c r="B69" s="7" t="inlineStr">
        <is>
          <t>Dec</t>
        </is>
      </c>
      <c r="C69" s="7" t="n">
        <v>2026</v>
      </c>
      <c r="D69" s="7" t="inlineStr">
        <is>
          <t>Discovery</t>
        </is>
      </c>
      <c r="E69" s="7" t="inlineStr">
        <is>
          <t>Completed</t>
        </is>
      </c>
    </row>
    <row r="70" ht="15" customHeight="1" s="5">
      <c r="A70" s="7" t="inlineStr">
        <is>
          <t>PRJ005</t>
        </is>
      </c>
      <c r="B70" s="7" t="inlineStr">
        <is>
          <t>Jan</t>
        </is>
      </c>
      <c r="C70" s="7" t="n">
        <v>2027</v>
      </c>
      <c r="D70" s="7" t="inlineStr">
        <is>
          <t>Design</t>
        </is>
      </c>
      <c r="E70" s="7" t="inlineStr">
        <is>
          <t>Completed</t>
        </is>
      </c>
    </row>
    <row r="71" ht="15" customHeight="1" s="5">
      <c r="A71" s="7" t="inlineStr">
        <is>
          <t>PRJ006</t>
        </is>
      </c>
      <c r="B71" s="7" t="inlineStr">
        <is>
          <t>Apr</t>
        </is>
      </c>
      <c r="C71" s="7" t="n">
        <v>2025</v>
      </c>
      <c r="D71" s="7" t="inlineStr">
        <is>
          <t>Deploy</t>
        </is>
      </c>
      <c r="E71" s="7" t="inlineStr">
        <is>
          <t>Active</t>
        </is>
      </c>
    </row>
    <row r="72" ht="15" customHeight="1" s="5">
      <c r="A72" s="7" t="inlineStr">
        <is>
          <t>PRJ006</t>
        </is>
      </c>
      <c r="B72" s="7" t="inlineStr">
        <is>
          <t>May</t>
        </is>
      </c>
      <c r="C72" s="7" t="n">
        <v>2025</v>
      </c>
      <c r="D72" s="7" t="inlineStr">
        <is>
          <t>Build</t>
        </is>
      </c>
      <c r="E72" s="7" t="inlineStr">
        <is>
          <t>Active</t>
        </is>
      </c>
    </row>
    <row r="73" ht="15" customHeight="1" s="5">
      <c r="A73" s="7" t="inlineStr">
        <is>
          <t>PRJ006</t>
        </is>
      </c>
      <c r="B73" s="7" t="inlineStr">
        <is>
          <t>Jun</t>
        </is>
      </c>
      <c r="C73" s="7" t="n">
        <v>2025</v>
      </c>
      <c r="D73" s="7" t="inlineStr">
        <is>
          <t>Deploy</t>
        </is>
      </c>
      <c r="E73" s="7" t="inlineStr">
        <is>
          <t>Active</t>
        </is>
      </c>
    </row>
    <row r="74" ht="15" customHeight="1" s="5">
      <c r="A74" s="7" t="inlineStr">
        <is>
          <t>PRJ006</t>
        </is>
      </c>
      <c r="B74" s="7" t="inlineStr">
        <is>
          <t>Jul</t>
        </is>
      </c>
      <c r="C74" s="7" t="n">
        <v>2025</v>
      </c>
      <c r="D74" s="7" t="inlineStr">
        <is>
          <t>Test</t>
        </is>
      </c>
      <c r="E74" s="7" t="inlineStr">
        <is>
          <t>Active</t>
        </is>
      </c>
    </row>
    <row r="75" ht="15" customHeight="1" s="5">
      <c r="A75" s="7" t="inlineStr">
        <is>
          <t>PRJ006</t>
        </is>
      </c>
      <c r="B75" s="7" t="inlineStr">
        <is>
          <t>Aug</t>
        </is>
      </c>
      <c r="C75" s="7" t="n">
        <v>2025</v>
      </c>
      <c r="D75" s="7" t="inlineStr">
        <is>
          <t>Test</t>
        </is>
      </c>
      <c r="E75" s="7" t="inlineStr">
        <is>
          <t>Active</t>
        </is>
      </c>
    </row>
    <row r="76" ht="15" customHeight="1" s="5">
      <c r="A76" s="7" t="inlineStr">
        <is>
          <t>PRJ006</t>
        </is>
      </c>
      <c r="B76" s="7" t="inlineStr">
        <is>
          <t>Sep</t>
        </is>
      </c>
      <c r="C76" s="7" t="n">
        <v>2025</v>
      </c>
      <c r="D76" s="7" t="inlineStr">
        <is>
          <t>Discovery</t>
        </is>
      </c>
      <c r="E76" s="7" t="inlineStr">
        <is>
          <t>Active</t>
        </is>
      </c>
    </row>
    <row r="77" ht="15" customHeight="1" s="5">
      <c r="A77" s="7" t="inlineStr">
        <is>
          <t>PRJ006</t>
        </is>
      </c>
      <c r="B77" s="7" t="inlineStr">
        <is>
          <t>Oct</t>
        </is>
      </c>
      <c r="C77" s="7" t="n">
        <v>2025</v>
      </c>
      <c r="D77" s="7" t="inlineStr">
        <is>
          <t>Design</t>
        </is>
      </c>
      <c r="E77" s="7" t="inlineStr">
        <is>
          <t>Active</t>
        </is>
      </c>
    </row>
    <row r="78" ht="15" customHeight="1" s="5">
      <c r="A78" s="7" t="inlineStr">
        <is>
          <t>PRJ006</t>
        </is>
      </c>
      <c r="B78" s="7" t="inlineStr">
        <is>
          <t>Nov</t>
        </is>
      </c>
      <c r="C78" s="7" t="n">
        <v>2025</v>
      </c>
      <c r="D78" s="7" t="inlineStr">
        <is>
          <t>Build</t>
        </is>
      </c>
      <c r="E78" s="7" t="inlineStr">
        <is>
          <t>Active</t>
        </is>
      </c>
    </row>
    <row r="79" ht="15" customHeight="1" s="5">
      <c r="A79" s="7" t="inlineStr">
        <is>
          <t>PRJ006</t>
        </is>
      </c>
      <c r="B79" s="7" t="inlineStr">
        <is>
          <t>Dec</t>
        </is>
      </c>
      <c r="C79" s="7" t="n">
        <v>2025</v>
      </c>
      <c r="D79" s="7" t="inlineStr">
        <is>
          <t>Deploy</t>
        </is>
      </c>
      <c r="E79" s="7" t="inlineStr">
        <is>
          <t>Active</t>
        </is>
      </c>
    </row>
    <row r="80" ht="15" customHeight="1" s="5">
      <c r="A80" s="7" t="inlineStr">
        <is>
          <t>PRJ006</t>
        </is>
      </c>
      <c r="B80" s="7" t="inlineStr">
        <is>
          <t>Jan</t>
        </is>
      </c>
      <c r="C80" s="7" t="n">
        <v>2026</v>
      </c>
      <c r="D80" s="7" t="inlineStr">
        <is>
          <t>Design</t>
        </is>
      </c>
      <c r="E80" s="7" t="inlineStr">
        <is>
          <t>Active</t>
        </is>
      </c>
    </row>
    <row r="81" ht="15" customHeight="1" s="5">
      <c r="A81" s="7" t="inlineStr">
        <is>
          <t>PRJ006</t>
        </is>
      </c>
      <c r="B81" s="7" t="inlineStr">
        <is>
          <t>Feb</t>
        </is>
      </c>
      <c r="C81" s="7" t="n">
        <v>2026</v>
      </c>
      <c r="D81" s="7" t="inlineStr">
        <is>
          <t>Build</t>
        </is>
      </c>
      <c r="E81" s="7" t="inlineStr">
        <is>
          <t>Active</t>
        </is>
      </c>
    </row>
    <row r="82" ht="15" customHeight="1" s="5">
      <c r="A82" s="7" t="inlineStr">
        <is>
          <t>PRJ006</t>
        </is>
      </c>
      <c r="B82" s="7" t="inlineStr">
        <is>
          <t>Mar</t>
        </is>
      </c>
      <c r="C82" s="7" t="n">
        <v>2026</v>
      </c>
      <c r="D82" s="7" t="inlineStr">
        <is>
          <t>Test</t>
        </is>
      </c>
      <c r="E82" s="7" t="inlineStr">
        <is>
          <t>Active</t>
        </is>
      </c>
    </row>
    <row r="83" ht="15" customHeight="1" s="5">
      <c r="A83" s="7" t="inlineStr">
        <is>
          <t>PRJ006</t>
        </is>
      </c>
      <c r="B83" s="7" t="inlineStr">
        <is>
          <t>Apr</t>
        </is>
      </c>
      <c r="C83" s="7" t="n">
        <v>2026</v>
      </c>
      <c r="D83" s="7" t="inlineStr">
        <is>
          <t>Test</t>
        </is>
      </c>
      <c r="E83" s="7" t="inlineStr">
        <is>
          <t>Active</t>
        </is>
      </c>
    </row>
    <row r="84" ht="15" customHeight="1" s="5">
      <c r="A84" s="7" t="inlineStr">
        <is>
          <t>PRJ006</t>
        </is>
      </c>
      <c r="B84" s="7" t="inlineStr">
        <is>
          <t>May</t>
        </is>
      </c>
      <c r="C84" s="7" t="n">
        <v>2026</v>
      </c>
      <c r="D84" s="7" t="inlineStr">
        <is>
          <t>Discovery</t>
        </is>
      </c>
      <c r="E84" s="7" t="inlineStr">
        <is>
          <t>Active</t>
        </is>
      </c>
    </row>
    <row r="85" ht="15" customHeight="1" s="5">
      <c r="A85" s="7" t="inlineStr">
        <is>
          <t>PRJ007</t>
        </is>
      </c>
      <c r="B85" s="7" t="inlineStr">
        <is>
          <t>Jun</t>
        </is>
      </c>
      <c r="C85" s="7" t="n">
        <v>2025</v>
      </c>
      <c r="D85" s="7" t="inlineStr">
        <is>
          <t>Discovery</t>
        </is>
      </c>
      <c r="E85" s="7" t="inlineStr">
        <is>
          <t>Pipeline</t>
        </is>
      </c>
    </row>
    <row r="86" ht="15" customHeight="1" s="5">
      <c r="A86" s="7" t="inlineStr">
        <is>
          <t>PRJ007</t>
        </is>
      </c>
      <c r="B86" s="7" t="inlineStr">
        <is>
          <t>Jul</t>
        </is>
      </c>
      <c r="C86" s="7" t="n">
        <v>2025</v>
      </c>
      <c r="D86" s="7" t="inlineStr">
        <is>
          <t>Deploy</t>
        </is>
      </c>
      <c r="E86" s="7" t="inlineStr">
        <is>
          <t>Pipeline</t>
        </is>
      </c>
    </row>
    <row r="87" ht="15" customHeight="1" s="5">
      <c r="A87" s="7" t="inlineStr">
        <is>
          <t>PRJ007</t>
        </is>
      </c>
      <c r="B87" s="7" t="inlineStr">
        <is>
          <t>Aug</t>
        </is>
      </c>
      <c r="C87" s="7" t="n">
        <v>2025</v>
      </c>
      <c r="D87" s="7" t="inlineStr">
        <is>
          <t>Design</t>
        </is>
      </c>
      <c r="E87" s="7" t="inlineStr">
        <is>
          <t>Pipeline</t>
        </is>
      </c>
    </row>
    <row r="88" ht="15" customHeight="1" s="5">
      <c r="A88" s="7" t="inlineStr">
        <is>
          <t>PRJ007</t>
        </is>
      </c>
      <c r="B88" s="7" t="inlineStr">
        <is>
          <t>Sep</t>
        </is>
      </c>
      <c r="C88" s="7" t="n">
        <v>2025</v>
      </c>
      <c r="D88" s="7" t="inlineStr">
        <is>
          <t>Design</t>
        </is>
      </c>
      <c r="E88" s="7" t="inlineStr">
        <is>
          <t>Pipeline</t>
        </is>
      </c>
    </row>
    <row r="89" ht="15" customHeight="1" s="5">
      <c r="A89" s="7" t="inlineStr">
        <is>
          <t>PRJ007</t>
        </is>
      </c>
      <c r="B89" s="7" t="inlineStr">
        <is>
          <t>Oct</t>
        </is>
      </c>
      <c r="C89" s="7" t="n">
        <v>2025</v>
      </c>
      <c r="D89" s="7" t="inlineStr">
        <is>
          <t>Build</t>
        </is>
      </c>
      <c r="E89" s="7" t="inlineStr">
        <is>
          <t>Pipeline</t>
        </is>
      </c>
    </row>
    <row r="90" ht="15" customHeight="1" s="5">
      <c r="A90" s="7" t="inlineStr">
        <is>
          <t>PRJ007</t>
        </is>
      </c>
      <c r="B90" s="7" t="inlineStr">
        <is>
          <t>Nov</t>
        </is>
      </c>
      <c r="C90" s="7" t="n">
        <v>2025</v>
      </c>
      <c r="D90" s="7" t="inlineStr">
        <is>
          <t>Deploy</t>
        </is>
      </c>
      <c r="E90" s="7" t="inlineStr">
        <is>
          <t>Pipeline</t>
        </is>
      </c>
    </row>
    <row r="91" ht="15" customHeight="1" s="5">
      <c r="A91" s="7" t="inlineStr">
        <is>
          <t>PRJ007</t>
        </is>
      </c>
      <c r="B91" s="7" t="inlineStr">
        <is>
          <t>Dec</t>
        </is>
      </c>
      <c r="C91" s="7" t="n">
        <v>2025</v>
      </c>
      <c r="D91" s="7" t="inlineStr">
        <is>
          <t>Discovery</t>
        </is>
      </c>
      <c r="E91" s="7" t="inlineStr">
        <is>
          <t>Pipeline</t>
        </is>
      </c>
    </row>
    <row r="92" ht="15" customHeight="1" s="5">
      <c r="A92" s="7" t="inlineStr">
        <is>
          <t>PRJ007</t>
        </is>
      </c>
      <c r="B92" s="7" t="inlineStr">
        <is>
          <t>Jan</t>
        </is>
      </c>
      <c r="C92" s="7" t="n">
        <v>2026</v>
      </c>
      <c r="D92" s="7" t="inlineStr">
        <is>
          <t>Deploy</t>
        </is>
      </c>
      <c r="E92" s="7" t="inlineStr">
        <is>
          <t>Pipeline</t>
        </is>
      </c>
    </row>
    <row r="93" ht="15" customHeight="1" s="5">
      <c r="A93" s="7" t="inlineStr">
        <is>
          <t>PRJ007</t>
        </is>
      </c>
      <c r="B93" s="7" t="inlineStr">
        <is>
          <t>Feb</t>
        </is>
      </c>
      <c r="C93" s="7" t="n">
        <v>2026</v>
      </c>
      <c r="D93" s="7" t="inlineStr">
        <is>
          <t>Test</t>
        </is>
      </c>
      <c r="E93" s="7" t="inlineStr">
        <is>
          <t>Pipeline</t>
        </is>
      </c>
    </row>
    <row r="94" ht="15" customHeight="1" s="5">
      <c r="A94" s="7" t="inlineStr">
        <is>
          <t>PRJ007</t>
        </is>
      </c>
      <c r="B94" s="7" t="inlineStr">
        <is>
          <t>Mar</t>
        </is>
      </c>
      <c r="C94" s="7" t="n">
        <v>2026</v>
      </c>
      <c r="D94" s="7" t="inlineStr">
        <is>
          <t>Discovery</t>
        </is>
      </c>
      <c r="E94" s="7" t="inlineStr">
        <is>
          <t>Pipeline</t>
        </is>
      </c>
    </row>
    <row r="95" ht="15" customHeight="1" s="5">
      <c r="A95" s="7" t="inlineStr">
        <is>
          <t>PRJ007</t>
        </is>
      </c>
      <c r="B95" s="7" t="inlineStr">
        <is>
          <t>Apr</t>
        </is>
      </c>
      <c r="C95" s="7" t="n">
        <v>2026</v>
      </c>
      <c r="D95" s="7" t="inlineStr">
        <is>
          <t>Design</t>
        </is>
      </c>
      <c r="E95" s="7" t="inlineStr">
        <is>
          <t>Pipeline</t>
        </is>
      </c>
    </row>
    <row r="96" ht="15" customHeight="1" s="5">
      <c r="A96" s="7" t="inlineStr">
        <is>
          <t>PRJ007</t>
        </is>
      </c>
      <c r="B96" s="7" t="inlineStr">
        <is>
          <t>May</t>
        </is>
      </c>
      <c r="C96" s="7" t="n">
        <v>2026</v>
      </c>
      <c r="D96" s="7" t="inlineStr">
        <is>
          <t>Discovery</t>
        </is>
      </c>
      <c r="E96" s="7" t="inlineStr">
        <is>
          <t>Pipeline</t>
        </is>
      </c>
    </row>
    <row r="97" ht="15" customHeight="1" s="5">
      <c r="A97" s="7" t="inlineStr">
        <is>
          <t>PRJ007</t>
        </is>
      </c>
      <c r="B97" s="7" t="inlineStr">
        <is>
          <t>Jun</t>
        </is>
      </c>
      <c r="C97" s="7" t="n">
        <v>2026</v>
      </c>
      <c r="D97" s="7" t="inlineStr">
        <is>
          <t>Test</t>
        </is>
      </c>
      <c r="E97" s="7" t="inlineStr">
        <is>
          <t>Pipeline</t>
        </is>
      </c>
    </row>
    <row r="98" ht="15" customHeight="1" s="5">
      <c r="A98" s="7" t="inlineStr">
        <is>
          <t>PRJ007</t>
        </is>
      </c>
      <c r="B98" s="7" t="inlineStr">
        <is>
          <t>Jul</t>
        </is>
      </c>
      <c r="C98" s="7" t="n">
        <v>2026</v>
      </c>
      <c r="D98" s="7" t="inlineStr">
        <is>
          <t>Discovery</t>
        </is>
      </c>
      <c r="E98" s="7" t="inlineStr">
        <is>
          <t>Pipeline</t>
        </is>
      </c>
    </row>
    <row r="99" ht="15" customHeight="1" s="5">
      <c r="A99" s="7" t="inlineStr">
        <is>
          <t>PRJ007</t>
        </is>
      </c>
      <c r="B99" s="7" t="inlineStr">
        <is>
          <t>Aug</t>
        </is>
      </c>
      <c r="C99" s="7" t="n">
        <v>2026</v>
      </c>
      <c r="D99" s="7" t="inlineStr">
        <is>
          <t>Design</t>
        </is>
      </c>
      <c r="E99" s="7" t="inlineStr">
        <is>
          <t>Pipeline</t>
        </is>
      </c>
    </row>
    <row r="100" ht="15" customHeight="1" s="5">
      <c r="A100" s="7" t="inlineStr">
        <is>
          <t>PRJ007</t>
        </is>
      </c>
      <c r="B100" s="7" t="inlineStr">
        <is>
          <t>Sep</t>
        </is>
      </c>
      <c r="C100" s="7" t="n">
        <v>2026</v>
      </c>
      <c r="D100" s="7" t="inlineStr">
        <is>
          <t>Test</t>
        </is>
      </c>
      <c r="E100" s="7" t="inlineStr">
        <is>
          <t>Pipeline</t>
        </is>
      </c>
    </row>
    <row r="101" ht="15" customHeight="1" s="5">
      <c r="A101" s="7" t="inlineStr">
        <is>
          <t>PRJ007</t>
        </is>
      </c>
      <c r="B101" s="7" t="inlineStr">
        <is>
          <t>Oct</t>
        </is>
      </c>
      <c r="C101" s="7" t="n">
        <v>2026</v>
      </c>
      <c r="D101" s="7" t="inlineStr">
        <is>
          <t>Build</t>
        </is>
      </c>
      <c r="E101" s="7" t="inlineStr">
        <is>
          <t>Pipeline</t>
        </is>
      </c>
    </row>
    <row r="102" ht="15" customHeight="1" s="5">
      <c r="A102" s="7" t="inlineStr">
        <is>
          <t>PRJ007</t>
        </is>
      </c>
      <c r="B102" s="7" t="inlineStr">
        <is>
          <t>Nov</t>
        </is>
      </c>
      <c r="C102" s="7" t="n">
        <v>2026</v>
      </c>
      <c r="D102" s="7" t="inlineStr">
        <is>
          <t>Deploy</t>
        </is>
      </c>
      <c r="E102" s="7" t="inlineStr">
        <is>
          <t>Pipeline</t>
        </is>
      </c>
    </row>
    <row r="103" ht="15" customHeight="1" s="5">
      <c r="A103" s="7" t="inlineStr">
        <is>
          <t>PRJ007</t>
        </is>
      </c>
      <c r="B103" s="7" t="inlineStr">
        <is>
          <t>Dec</t>
        </is>
      </c>
      <c r="C103" s="7" t="n">
        <v>2026</v>
      </c>
      <c r="D103" s="7" t="inlineStr">
        <is>
          <t>Build</t>
        </is>
      </c>
      <c r="E103" s="7" t="inlineStr">
        <is>
          <t>Pipeline</t>
        </is>
      </c>
    </row>
    <row r="104" ht="15" customHeight="1" s="5">
      <c r="A104" s="7" t="inlineStr">
        <is>
          <t>PRJ008</t>
        </is>
      </c>
      <c r="B104" s="7" t="inlineStr">
        <is>
          <t>Jun</t>
        </is>
      </c>
      <c r="C104" s="7" t="n">
        <v>2025</v>
      </c>
      <c r="D104" s="7" t="inlineStr">
        <is>
          <t>Test</t>
        </is>
      </c>
      <c r="E104" s="7" t="inlineStr">
        <is>
          <t>Pipeline</t>
        </is>
      </c>
    </row>
    <row r="105" ht="15" customHeight="1" s="5">
      <c r="A105" s="7" t="inlineStr">
        <is>
          <t>PRJ008</t>
        </is>
      </c>
      <c r="B105" s="7" t="inlineStr">
        <is>
          <t>Jul</t>
        </is>
      </c>
      <c r="C105" s="7" t="n">
        <v>2025</v>
      </c>
      <c r="D105" s="7" t="inlineStr">
        <is>
          <t>Test</t>
        </is>
      </c>
      <c r="E105" s="7" t="inlineStr">
        <is>
          <t>Pipeline</t>
        </is>
      </c>
    </row>
    <row r="106" ht="15" customHeight="1" s="5">
      <c r="A106" s="7" t="inlineStr">
        <is>
          <t>PRJ008</t>
        </is>
      </c>
      <c r="B106" s="7" t="inlineStr">
        <is>
          <t>Aug</t>
        </is>
      </c>
      <c r="C106" s="7" t="n">
        <v>2025</v>
      </c>
      <c r="D106" s="7" t="inlineStr">
        <is>
          <t>Test</t>
        </is>
      </c>
      <c r="E106" s="7" t="inlineStr">
        <is>
          <t>Pipeline</t>
        </is>
      </c>
    </row>
    <row r="107" ht="15" customHeight="1" s="5">
      <c r="A107" s="7" t="inlineStr">
        <is>
          <t>PRJ009</t>
        </is>
      </c>
      <c r="B107" s="7" t="inlineStr">
        <is>
          <t>Jan</t>
        </is>
      </c>
      <c r="C107" s="7" t="n">
        <v>2026</v>
      </c>
      <c r="D107" s="7" t="inlineStr">
        <is>
          <t>Design</t>
        </is>
      </c>
      <c r="E107" s="7" t="inlineStr">
        <is>
          <t>Pipeline</t>
        </is>
      </c>
    </row>
    <row r="108" ht="15" customHeight="1" s="5">
      <c r="A108" s="7" t="inlineStr">
        <is>
          <t>PRJ009</t>
        </is>
      </c>
      <c r="B108" s="7" t="inlineStr">
        <is>
          <t>Feb</t>
        </is>
      </c>
      <c r="C108" s="7" t="n">
        <v>2026</v>
      </c>
      <c r="D108" s="7" t="inlineStr">
        <is>
          <t>Test</t>
        </is>
      </c>
      <c r="E108" s="7" t="inlineStr">
        <is>
          <t>Pipeline</t>
        </is>
      </c>
    </row>
    <row r="109" ht="15" customHeight="1" s="5">
      <c r="A109" s="7" t="inlineStr">
        <is>
          <t>PRJ009</t>
        </is>
      </c>
      <c r="B109" s="7" t="inlineStr">
        <is>
          <t>Mar</t>
        </is>
      </c>
      <c r="C109" s="7" t="n">
        <v>2026</v>
      </c>
      <c r="D109" s="7" t="inlineStr">
        <is>
          <t>Deploy</t>
        </is>
      </c>
      <c r="E109" s="7" t="inlineStr">
        <is>
          <t>Pipeline</t>
        </is>
      </c>
    </row>
    <row r="110" ht="15" customHeight="1" s="5">
      <c r="A110" s="7" t="inlineStr">
        <is>
          <t>PRJ009</t>
        </is>
      </c>
      <c r="B110" s="7" t="inlineStr">
        <is>
          <t>Apr</t>
        </is>
      </c>
      <c r="C110" s="7" t="n">
        <v>2026</v>
      </c>
      <c r="D110" s="7" t="inlineStr">
        <is>
          <t>Design</t>
        </is>
      </c>
      <c r="E110" s="7" t="inlineStr">
        <is>
          <t>Pipeline</t>
        </is>
      </c>
    </row>
    <row r="111" ht="15" customHeight="1" s="5">
      <c r="A111" s="7" t="inlineStr">
        <is>
          <t>PRJ009</t>
        </is>
      </c>
      <c r="B111" s="7" t="inlineStr">
        <is>
          <t>May</t>
        </is>
      </c>
      <c r="C111" s="7" t="n">
        <v>2026</v>
      </c>
      <c r="D111" s="7" t="inlineStr">
        <is>
          <t>Test</t>
        </is>
      </c>
      <c r="E111" s="7" t="inlineStr">
        <is>
          <t>Pipeline</t>
        </is>
      </c>
    </row>
    <row r="112" ht="15" customHeight="1" s="5">
      <c r="A112" s="7" t="inlineStr">
        <is>
          <t>PRJ009</t>
        </is>
      </c>
      <c r="B112" s="7" t="inlineStr">
        <is>
          <t>Jun</t>
        </is>
      </c>
      <c r="C112" s="7" t="n">
        <v>2026</v>
      </c>
      <c r="D112" s="7" t="inlineStr">
        <is>
          <t>Design</t>
        </is>
      </c>
      <c r="E112" s="7" t="inlineStr">
        <is>
          <t>Pipeline</t>
        </is>
      </c>
    </row>
    <row r="113" ht="15" customHeight="1" s="5">
      <c r="A113" s="7" t="inlineStr">
        <is>
          <t>PRJ009</t>
        </is>
      </c>
      <c r="B113" s="7" t="inlineStr">
        <is>
          <t>Jul</t>
        </is>
      </c>
      <c r="C113" s="7" t="n">
        <v>2026</v>
      </c>
      <c r="D113" s="7" t="inlineStr">
        <is>
          <t>Deploy</t>
        </is>
      </c>
      <c r="E113" s="7" t="inlineStr">
        <is>
          <t>Pipeline</t>
        </is>
      </c>
    </row>
    <row r="114" ht="15" customHeight="1" s="5">
      <c r="A114" s="7" t="inlineStr">
        <is>
          <t>PRJ009</t>
        </is>
      </c>
      <c r="B114" s="7" t="inlineStr">
        <is>
          <t>Aug</t>
        </is>
      </c>
      <c r="C114" s="7" t="n">
        <v>2026</v>
      </c>
      <c r="D114" s="7" t="inlineStr">
        <is>
          <t>Deploy</t>
        </is>
      </c>
      <c r="E114" s="7" t="inlineStr">
        <is>
          <t>Pipeline</t>
        </is>
      </c>
    </row>
    <row r="115" ht="15" customHeight="1" s="5">
      <c r="A115" s="7" t="inlineStr">
        <is>
          <t>PRJ009</t>
        </is>
      </c>
      <c r="B115" s="7" t="inlineStr">
        <is>
          <t>Sep</t>
        </is>
      </c>
      <c r="C115" s="7" t="n">
        <v>2026</v>
      </c>
      <c r="D115" s="7" t="inlineStr">
        <is>
          <t>Design</t>
        </is>
      </c>
      <c r="E115" s="7" t="inlineStr">
        <is>
          <t>Pipeline</t>
        </is>
      </c>
    </row>
    <row r="116" ht="15" customHeight="1" s="5">
      <c r="A116" s="7" t="inlineStr">
        <is>
          <t>PRJ010</t>
        </is>
      </c>
      <c r="B116" s="7" t="inlineStr">
        <is>
          <t>Mar</t>
        </is>
      </c>
      <c r="C116" s="7" t="n">
        <v>2025</v>
      </c>
      <c r="D116" s="7" t="inlineStr">
        <is>
          <t>Discovery</t>
        </is>
      </c>
      <c r="E116" s="7" t="inlineStr">
        <is>
          <t>Completed</t>
        </is>
      </c>
    </row>
    <row r="117" ht="15" customHeight="1" s="5">
      <c r="A117" s="7" t="inlineStr">
        <is>
          <t>PRJ010</t>
        </is>
      </c>
      <c r="B117" s="7" t="inlineStr">
        <is>
          <t>Apr</t>
        </is>
      </c>
      <c r="C117" s="7" t="n">
        <v>2025</v>
      </c>
      <c r="D117" s="7" t="inlineStr">
        <is>
          <t>Build</t>
        </is>
      </c>
      <c r="E117" s="7" t="inlineStr">
        <is>
          <t>Completed</t>
        </is>
      </c>
    </row>
    <row r="118" ht="15" customHeight="1" s="5">
      <c r="A118" s="7" t="inlineStr">
        <is>
          <t>PRJ010</t>
        </is>
      </c>
      <c r="B118" s="7" t="inlineStr">
        <is>
          <t>May</t>
        </is>
      </c>
      <c r="C118" s="7" t="n">
        <v>2025</v>
      </c>
      <c r="D118" s="7" t="inlineStr">
        <is>
          <t>Test</t>
        </is>
      </c>
      <c r="E118" s="7" t="inlineStr">
        <is>
          <t>Completed</t>
        </is>
      </c>
    </row>
    <row r="119" ht="15" customHeight="1" s="5">
      <c r="A119" s="7" t="inlineStr">
        <is>
          <t>PRJ010</t>
        </is>
      </c>
      <c r="B119" s="7" t="inlineStr">
        <is>
          <t>Jun</t>
        </is>
      </c>
      <c r="C119" s="7" t="n">
        <v>2025</v>
      </c>
      <c r="D119" s="7" t="inlineStr">
        <is>
          <t>Build</t>
        </is>
      </c>
      <c r="E119" s="7" t="inlineStr">
        <is>
          <t>Completed</t>
        </is>
      </c>
    </row>
    <row r="120" ht="15" customHeight="1" s="5">
      <c r="A120" s="7" t="inlineStr">
        <is>
          <t>PRJ010</t>
        </is>
      </c>
      <c r="B120" s="7" t="inlineStr">
        <is>
          <t>Jul</t>
        </is>
      </c>
      <c r="C120" s="7" t="n">
        <v>2025</v>
      </c>
      <c r="D120" s="7" t="inlineStr">
        <is>
          <t>Deploy</t>
        </is>
      </c>
      <c r="E120" s="7" t="inlineStr">
        <is>
          <t>Completed</t>
        </is>
      </c>
    </row>
    <row r="121" ht="15" customHeight="1" s="5">
      <c r="A121" s="7" t="inlineStr">
        <is>
          <t>PRJ010</t>
        </is>
      </c>
      <c r="B121" s="7" t="inlineStr">
        <is>
          <t>Aug</t>
        </is>
      </c>
      <c r="C121" s="7" t="n">
        <v>2025</v>
      </c>
      <c r="D121" s="7" t="inlineStr">
        <is>
          <t>Build</t>
        </is>
      </c>
      <c r="E121" s="7" t="inlineStr">
        <is>
          <t>Completed</t>
        </is>
      </c>
    </row>
    <row r="122" ht="15" customHeight="1" s="5">
      <c r="A122" s="7" t="inlineStr">
        <is>
          <t>PRJ010</t>
        </is>
      </c>
      <c r="B122" s="7" t="inlineStr">
        <is>
          <t>Sep</t>
        </is>
      </c>
      <c r="C122" s="7" t="n">
        <v>2025</v>
      </c>
      <c r="D122" s="7" t="inlineStr">
        <is>
          <t>Discovery</t>
        </is>
      </c>
      <c r="E122" s="7" t="inlineStr">
        <is>
          <t>Completed</t>
        </is>
      </c>
    </row>
    <row r="123" ht="15" customHeight="1" s="5">
      <c r="A123" s="7" t="inlineStr">
        <is>
          <t>PRJ010</t>
        </is>
      </c>
      <c r="B123" s="7" t="inlineStr">
        <is>
          <t>Oct</t>
        </is>
      </c>
      <c r="C123" s="7" t="n">
        <v>2025</v>
      </c>
      <c r="D123" s="7" t="inlineStr">
        <is>
          <t>Build</t>
        </is>
      </c>
      <c r="E123" s="7" t="inlineStr">
        <is>
          <t>Completed</t>
        </is>
      </c>
    </row>
    <row r="124" ht="15" customHeight="1" s="5">
      <c r="A124" s="7" t="inlineStr">
        <is>
          <t>PRJ010</t>
        </is>
      </c>
      <c r="B124" s="7" t="inlineStr">
        <is>
          <t>Nov</t>
        </is>
      </c>
      <c r="C124" s="7" t="n">
        <v>2025</v>
      </c>
      <c r="D124" s="7" t="inlineStr">
        <is>
          <t>Build</t>
        </is>
      </c>
      <c r="E124" s="7" t="inlineStr">
        <is>
          <t>Completed</t>
        </is>
      </c>
    </row>
    <row r="125" ht="15" customHeight="1" s="5">
      <c r="A125" s="7" t="inlineStr">
        <is>
          <t>PRJ010</t>
        </is>
      </c>
      <c r="B125" s="7" t="inlineStr">
        <is>
          <t>Dec</t>
        </is>
      </c>
      <c r="C125" s="7" t="n">
        <v>2025</v>
      </c>
      <c r="D125" s="7" t="inlineStr">
        <is>
          <t>Deploy</t>
        </is>
      </c>
      <c r="E125" s="7" t="inlineStr">
        <is>
          <t>Completed</t>
        </is>
      </c>
    </row>
    <row r="126" ht="15" customHeight="1" s="5">
      <c r="A126" s="7" t="inlineStr">
        <is>
          <t>PRJ010</t>
        </is>
      </c>
      <c r="B126" s="7" t="inlineStr">
        <is>
          <t>Jan</t>
        </is>
      </c>
      <c r="C126" s="7" t="n">
        <v>2026</v>
      </c>
      <c r="D126" s="7" t="inlineStr">
        <is>
          <t>Deploy</t>
        </is>
      </c>
      <c r="E126" s="7" t="inlineStr">
        <is>
          <t>Completed</t>
        </is>
      </c>
    </row>
    <row r="127" ht="15" customHeight="1" s="5">
      <c r="A127" s="7" t="inlineStr">
        <is>
          <t>PRJ011</t>
        </is>
      </c>
      <c r="B127" s="7" t="inlineStr">
        <is>
          <t>Dec</t>
        </is>
      </c>
      <c r="C127" s="7" t="n">
        <v>2025</v>
      </c>
      <c r="D127" s="7" t="inlineStr">
        <is>
          <t>Test</t>
        </is>
      </c>
      <c r="E127" s="7" t="inlineStr">
        <is>
          <t>Active</t>
        </is>
      </c>
    </row>
    <row r="128" ht="15" customHeight="1" s="5">
      <c r="A128" s="7" t="inlineStr">
        <is>
          <t>PRJ011</t>
        </is>
      </c>
      <c r="B128" s="7" t="inlineStr">
        <is>
          <t>Jan</t>
        </is>
      </c>
      <c r="C128" s="7" t="n">
        <v>2026</v>
      </c>
      <c r="D128" s="7" t="inlineStr">
        <is>
          <t>Design</t>
        </is>
      </c>
      <c r="E128" s="7" t="inlineStr">
        <is>
          <t>Active</t>
        </is>
      </c>
    </row>
    <row r="129" ht="15" customHeight="1" s="5">
      <c r="A129" s="7" t="inlineStr">
        <is>
          <t>PRJ011</t>
        </is>
      </c>
      <c r="B129" s="7" t="inlineStr">
        <is>
          <t>Feb</t>
        </is>
      </c>
      <c r="C129" s="7" t="n">
        <v>2026</v>
      </c>
      <c r="D129" s="7" t="inlineStr">
        <is>
          <t>Test</t>
        </is>
      </c>
      <c r="E129" s="7" t="inlineStr">
        <is>
          <t>Active</t>
        </is>
      </c>
    </row>
    <row r="130" ht="15" customHeight="1" s="5">
      <c r="A130" s="7" t="inlineStr">
        <is>
          <t>PRJ011</t>
        </is>
      </c>
      <c r="B130" s="7" t="inlineStr">
        <is>
          <t>Mar</t>
        </is>
      </c>
      <c r="C130" s="7" t="n">
        <v>2026</v>
      </c>
      <c r="D130" s="7" t="inlineStr">
        <is>
          <t>Deploy</t>
        </is>
      </c>
      <c r="E130" s="7" t="inlineStr">
        <is>
          <t>Active</t>
        </is>
      </c>
    </row>
    <row r="131" ht="15" customHeight="1" s="5">
      <c r="A131" s="7" t="inlineStr">
        <is>
          <t>PRJ011</t>
        </is>
      </c>
      <c r="B131" s="7" t="inlineStr">
        <is>
          <t>Apr</t>
        </is>
      </c>
      <c r="C131" s="7" t="n">
        <v>2026</v>
      </c>
      <c r="D131" s="7" t="inlineStr">
        <is>
          <t>Test</t>
        </is>
      </c>
      <c r="E131" s="7" t="inlineStr">
        <is>
          <t>Active</t>
        </is>
      </c>
    </row>
    <row r="132" ht="15" customHeight="1" s="5">
      <c r="A132" s="7" t="inlineStr">
        <is>
          <t>PRJ012</t>
        </is>
      </c>
      <c r="B132" s="7" t="inlineStr">
        <is>
          <t>Nov</t>
        </is>
      </c>
      <c r="C132" s="7" t="n">
        <v>2025</v>
      </c>
      <c r="D132" s="7" t="inlineStr">
        <is>
          <t>Build</t>
        </is>
      </c>
      <c r="E132" s="7" t="inlineStr">
        <is>
          <t>Completed</t>
        </is>
      </c>
    </row>
    <row r="133" ht="15" customHeight="1" s="5">
      <c r="A133" s="7" t="inlineStr">
        <is>
          <t>PRJ012</t>
        </is>
      </c>
      <c r="B133" s="7" t="inlineStr">
        <is>
          <t>Dec</t>
        </is>
      </c>
      <c r="C133" s="7" t="n">
        <v>2025</v>
      </c>
      <c r="D133" s="7" t="inlineStr">
        <is>
          <t>Build</t>
        </is>
      </c>
      <c r="E133" s="7" t="inlineStr">
        <is>
          <t>Completed</t>
        </is>
      </c>
    </row>
    <row r="134" ht="15" customHeight="1" s="5">
      <c r="A134" s="7" t="inlineStr">
        <is>
          <t>PRJ012</t>
        </is>
      </c>
      <c r="B134" s="7" t="inlineStr">
        <is>
          <t>Jan</t>
        </is>
      </c>
      <c r="C134" s="7" t="n">
        <v>2026</v>
      </c>
      <c r="D134" s="7" t="inlineStr">
        <is>
          <t>Deploy</t>
        </is>
      </c>
      <c r="E134" s="7" t="inlineStr">
        <is>
          <t>Completed</t>
        </is>
      </c>
    </row>
    <row r="135" ht="15" customHeight="1" s="5">
      <c r="A135" s="7" t="inlineStr">
        <is>
          <t>PRJ012</t>
        </is>
      </c>
      <c r="B135" s="7" t="inlineStr">
        <is>
          <t>Feb</t>
        </is>
      </c>
      <c r="C135" s="7" t="n">
        <v>2026</v>
      </c>
      <c r="D135" s="7" t="inlineStr">
        <is>
          <t>Deploy</t>
        </is>
      </c>
      <c r="E135" s="7" t="inlineStr">
        <is>
          <t>Completed</t>
        </is>
      </c>
    </row>
    <row r="136" ht="15" customHeight="1" s="5">
      <c r="A136" s="7" t="inlineStr">
        <is>
          <t>PRJ012</t>
        </is>
      </c>
      <c r="B136" s="7" t="inlineStr">
        <is>
          <t>Mar</t>
        </is>
      </c>
      <c r="C136" s="7" t="n">
        <v>2026</v>
      </c>
      <c r="D136" s="7" t="inlineStr">
        <is>
          <t>Test</t>
        </is>
      </c>
      <c r="E136" s="7" t="inlineStr">
        <is>
          <t>Completed</t>
        </is>
      </c>
    </row>
    <row r="137" ht="15" customHeight="1" s="5">
      <c r="A137" s="7" t="inlineStr">
        <is>
          <t>PRJ012</t>
        </is>
      </c>
      <c r="B137" s="7" t="inlineStr">
        <is>
          <t>Apr</t>
        </is>
      </c>
      <c r="C137" s="7" t="n">
        <v>2026</v>
      </c>
      <c r="D137" s="7" t="inlineStr">
        <is>
          <t>Test</t>
        </is>
      </c>
      <c r="E137" s="7" t="inlineStr">
        <is>
          <t>Completed</t>
        </is>
      </c>
    </row>
    <row r="138" ht="15" customHeight="1" s="5">
      <c r="A138" s="7" t="inlineStr">
        <is>
          <t>PRJ012</t>
        </is>
      </c>
      <c r="B138" s="7" t="inlineStr">
        <is>
          <t>May</t>
        </is>
      </c>
      <c r="C138" s="7" t="n">
        <v>2026</v>
      </c>
      <c r="D138" s="7" t="inlineStr">
        <is>
          <t>Build</t>
        </is>
      </c>
      <c r="E138" s="7" t="inlineStr">
        <is>
          <t>Completed</t>
        </is>
      </c>
    </row>
    <row r="139" ht="15" customHeight="1" s="5">
      <c r="A139" s="7" t="inlineStr">
        <is>
          <t>PRJ012</t>
        </is>
      </c>
      <c r="B139" s="7" t="inlineStr">
        <is>
          <t>Jun</t>
        </is>
      </c>
      <c r="C139" s="7" t="n">
        <v>2026</v>
      </c>
      <c r="D139" s="7" t="inlineStr">
        <is>
          <t>Design</t>
        </is>
      </c>
      <c r="E139" s="7" t="inlineStr">
        <is>
          <t>Completed</t>
        </is>
      </c>
    </row>
    <row r="140" ht="15" customHeight="1" s="5">
      <c r="A140" s="7" t="inlineStr">
        <is>
          <t>PRJ012</t>
        </is>
      </c>
      <c r="B140" s="7" t="inlineStr">
        <is>
          <t>Jul</t>
        </is>
      </c>
      <c r="C140" s="7" t="n">
        <v>2026</v>
      </c>
      <c r="D140" s="7" t="inlineStr">
        <is>
          <t>Design</t>
        </is>
      </c>
      <c r="E140" s="7" t="inlineStr">
        <is>
          <t>Completed</t>
        </is>
      </c>
    </row>
    <row r="141" ht="15" customHeight="1" s="5">
      <c r="A141" s="7" t="inlineStr">
        <is>
          <t>PRJ012</t>
        </is>
      </c>
      <c r="B141" s="7" t="inlineStr">
        <is>
          <t>Aug</t>
        </is>
      </c>
      <c r="C141" s="7" t="n">
        <v>2026</v>
      </c>
      <c r="D141" s="7" t="inlineStr">
        <is>
          <t>Deploy</t>
        </is>
      </c>
      <c r="E141" s="7" t="inlineStr">
        <is>
          <t>Completed</t>
        </is>
      </c>
    </row>
    <row r="142" ht="15" customHeight="1" s="5">
      <c r="A142" s="7" t="inlineStr">
        <is>
          <t>PRJ012</t>
        </is>
      </c>
      <c r="B142" s="7" t="inlineStr">
        <is>
          <t>Sep</t>
        </is>
      </c>
      <c r="C142" s="7" t="n">
        <v>2026</v>
      </c>
      <c r="D142" s="7" t="inlineStr">
        <is>
          <t>Test</t>
        </is>
      </c>
      <c r="E142" s="7" t="inlineStr">
        <is>
          <t>Completed</t>
        </is>
      </c>
    </row>
    <row r="143" ht="15" customHeight="1" s="5">
      <c r="A143" s="7" t="inlineStr">
        <is>
          <t>PRJ012</t>
        </is>
      </c>
      <c r="B143" s="7" t="inlineStr">
        <is>
          <t>Oct</t>
        </is>
      </c>
      <c r="C143" s="7" t="n">
        <v>2026</v>
      </c>
      <c r="D143" s="7" t="inlineStr">
        <is>
          <t>Design</t>
        </is>
      </c>
      <c r="E143" s="7" t="inlineStr">
        <is>
          <t>Completed</t>
        </is>
      </c>
    </row>
    <row r="144" ht="15" customHeight="1" s="5">
      <c r="A144" s="7" t="inlineStr">
        <is>
          <t>PRJ012</t>
        </is>
      </c>
      <c r="B144" s="7" t="inlineStr">
        <is>
          <t>Nov</t>
        </is>
      </c>
      <c r="C144" s="7" t="n">
        <v>2026</v>
      </c>
      <c r="D144" s="7" t="inlineStr">
        <is>
          <t>Test</t>
        </is>
      </c>
      <c r="E144" s="7" t="inlineStr">
        <is>
          <t>Completed</t>
        </is>
      </c>
    </row>
    <row r="145" ht="15" customHeight="1" s="5">
      <c r="A145" s="7" t="inlineStr">
        <is>
          <t>PRJ012</t>
        </is>
      </c>
      <c r="B145" s="7" t="inlineStr">
        <is>
          <t>Dec</t>
        </is>
      </c>
      <c r="C145" s="7" t="n">
        <v>2026</v>
      </c>
      <c r="D145" s="7" t="inlineStr">
        <is>
          <t>Discovery</t>
        </is>
      </c>
      <c r="E145" s="7" t="inlineStr">
        <is>
          <t>Completed</t>
        </is>
      </c>
    </row>
    <row r="146" ht="15" customHeight="1" s="5">
      <c r="A146" s="7" t="inlineStr">
        <is>
          <t>PRJ012</t>
        </is>
      </c>
      <c r="B146" s="7" t="inlineStr">
        <is>
          <t>Jan</t>
        </is>
      </c>
      <c r="C146" s="7" t="n">
        <v>2027</v>
      </c>
      <c r="D146" s="7" t="inlineStr">
        <is>
          <t>Build</t>
        </is>
      </c>
      <c r="E146" s="7" t="inlineStr">
        <is>
          <t>Completed</t>
        </is>
      </c>
    </row>
    <row r="147" ht="15" customHeight="1" s="5">
      <c r="A147" s="7" t="inlineStr">
        <is>
          <t>PRJ012</t>
        </is>
      </c>
      <c r="B147" s="7" t="inlineStr">
        <is>
          <t>Feb</t>
        </is>
      </c>
      <c r="C147" s="7" t="n">
        <v>2027</v>
      </c>
      <c r="D147" s="7" t="inlineStr">
        <is>
          <t>Test</t>
        </is>
      </c>
      <c r="E147" s="7" t="inlineStr">
        <is>
          <t>Completed</t>
        </is>
      </c>
    </row>
    <row r="148" ht="15" customHeight="1" s="5">
      <c r="A148" s="7" t="inlineStr">
        <is>
          <t>PRJ012</t>
        </is>
      </c>
      <c r="B148" s="7" t="inlineStr">
        <is>
          <t>Mar</t>
        </is>
      </c>
      <c r="C148" s="7" t="n">
        <v>2027</v>
      </c>
      <c r="D148" s="7" t="inlineStr">
        <is>
          <t>Test</t>
        </is>
      </c>
      <c r="E148" s="7" t="inlineStr">
        <is>
          <t>Completed</t>
        </is>
      </c>
    </row>
    <row r="149" ht="15" customHeight="1" s="5">
      <c r="A149" s="7" t="inlineStr">
        <is>
          <t>PRJ013</t>
        </is>
      </c>
      <c r="B149" s="7" t="inlineStr">
        <is>
          <t>Jan</t>
        </is>
      </c>
      <c r="C149" s="7" t="n">
        <v>2026</v>
      </c>
      <c r="D149" s="7" t="inlineStr">
        <is>
          <t>Test</t>
        </is>
      </c>
      <c r="E149" s="7" t="inlineStr">
        <is>
          <t>Active</t>
        </is>
      </c>
    </row>
    <row r="150" ht="15" customHeight="1" s="5">
      <c r="A150" s="7" t="inlineStr">
        <is>
          <t>PRJ013</t>
        </is>
      </c>
      <c r="B150" s="7" t="inlineStr">
        <is>
          <t>Feb</t>
        </is>
      </c>
      <c r="C150" s="7" t="n">
        <v>2026</v>
      </c>
      <c r="D150" s="7" t="inlineStr">
        <is>
          <t>Design</t>
        </is>
      </c>
      <c r="E150" s="7" t="inlineStr">
        <is>
          <t>Active</t>
        </is>
      </c>
    </row>
    <row r="151" ht="15" customHeight="1" s="5">
      <c r="A151" s="7" t="inlineStr">
        <is>
          <t>PRJ013</t>
        </is>
      </c>
      <c r="B151" s="7" t="inlineStr">
        <is>
          <t>Mar</t>
        </is>
      </c>
      <c r="C151" s="7" t="n">
        <v>2026</v>
      </c>
      <c r="D151" s="7" t="inlineStr">
        <is>
          <t>Test</t>
        </is>
      </c>
      <c r="E151" s="7" t="inlineStr">
        <is>
          <t>Active</t>
        </is>
      </c>
    </row>
    <row r="152" ht="15" customHeight="1" s="5">
      <c r="A152" s="7" t="inlineStr">
        <is>
          <t>PRJ013</t>
        </is>
      </c>
      <c r="B152" s="7" t="inlineStr">
        <is>
          <t>Apr</t>
        </is>
      </c>
      <c r="C152" s="7" t="n">
        <v>2026</v>
      </c>
      <c r="D152" s="7" t="inlineStr">
        <is>
          <t>Discovery</t>
        </is>
      </c>
      <c r="E152" s="7" t="inlineStr">
        <is>
          <t>Active</t>
        </is>
      </c>
    </row>
    <row r="153" ht="15" customHeight="1" s="5">
      <c r="A153" s="7" t="inlineStr">
        <is>
          <t>PRJ013</t>
        </is>
      </c>
      <c r="B153" s="7" t="inlineStr">
        <is>
          <t>May</t>
        </is>
      </c>
      <c r="C153" s="7" t="n">
        <v>2026</v>
      </c>
      <c r="D153" s="7" t="inlineStr">
        <is>
          <t>Design</t>
        </is>
      </c>
      <c r="E153" s="7" t="inlineStr">
        <is>
          <t>Active</t>
        </is>
      </c>
    </row>
    <row r="154" ht="15" customHeight="1" s="5">
      <c r="A154" s="7" t="inlineStr">
        <is>
          <t>PRJ013</t>
        </is>
      </c>
      <c r="B154" s="7" t="inlineStr">
        <is>
          <t>Jun</t>
        </is>
      </c>
      <c r="C154" s="7" t="n">
        <v>2026</v>
      </c>
      <c r="D154" s="7" t="inlineStr">
        <is>
          <t>Deploy</t>
        </is>
      </c>
      <c r="E154" s="7" t="inlineStr">
        <is>
          <t>Active</t>
        </is>
      </c>
    </row>
    <row r="155" ht="15" customHeight="1" s="5">
      <c r="A155" s="7" t="inlineStr">
        <is>
          <t>PRJ013</t>
        </is>
      </c>
      <c r="B155" s="7" t="inlineStr">
        <is>
          <t>Jul</t>
        </is>
      </c>
      <c r="C155" s="7" t="n">
        <v>2026</v>
      </c>
      <c r="D155" s="7" t="inlineStr">
        <is>
          <t>Deploy</t>
        </is>
      </c>
      <c r="E155" s="7" t="inlineStr">
        <is>
          <t>Active</t>
        </is>
      </c>
    </row>
    <row r="156" ht="15" customHeight="1" s="5">
      <c r="A156" s="7" t="inlineStr">
        <is>
          <t>PRJ013</t>
        </is>
      </c>
      <c r="B156" s="7" t="inlineStr">
        <is>
          <t>Aug</t>
        </is>
      </c>
      <c r="C156" s="7" t="n">
        <v>2026</v>
      </c>
      <c r="D156" s="7" t="inlineStr">
        <is>
          <t>Build</t>
        </is>
      </c>
      <c r="E156" s="7" t="inlineStr">
        <is>
          <t>Active</t>
        </is>
      </c>
    </row>
    <row r="157" ht="15" customHeight="1" s="5">
      <c r="A157" s="7" t="inlineStr">
        <is>
          <t>PRJ013</t>
        </is>
      </c>
      <c r="B157" s="7" t="inlineStr">
        <is>
          <t>Sep</t>
        </is>
      </c>
      <c r="C157" s="7" t="n">
        <v>2026</v>
      </c>
      <c r="D157" s="7" t="inlineStr">
        <is>
          <t>Discovery</t>
        </is>
      </c>
      <c r="E157" s="7" t="inlineStr">
        <is>
          <t>Active</t>
        </is>
      </c>
    </row>
    <row r="158" ht="15" customHeight="1" s="5">
      <c r="A158" s="7" t="inlineStr">
        <is>
          <t>PRJ013</t>
        </is>
      </c>
      <c r="B158" s="7" t="inlineStr">
        <is>
          <t>Oct</t>
        </is>
      </c>
      <c r="C158" s="7" t="n">
        <v>2026</v>
      </c>
      <c r="D158" s="7" t="inlineStr">
        <is>
          <t>Test</t>
        </is>
      </c>
      <c r="E158" s="7" t="inlineStr">
        <is>
          <t>Active</t>
        </is>
      </c>
    </row>
    <row r="159" ht="15" customHeight="1" s="5">
      <c r="A159" s="7" t="inlineStr">
        <is>
          <t>PRJ013</t>
        </is>
      </c>
      <c r="B159" s="7" t="inlineStr">
        <is>
          <t>Nov</t>
        </is>
      </c>
      <c r="C159" s="7" t="n">
        <v>2026</v>
      </c>
      <c r="D159" s="7" t="inlineStr">
        <is>
          <t>Discovery</t>
        </is>
      </c>
      <c r="E159" s="7" t="inlineStr">
        <is>
          <t>Active</t>
        </is>
      </c>
    </row>
    <row r="160" ht="15" customHeight="1" s="5">
      <c r="A160" s="7" t="inlineStr">
        <is>
          <t>PRJ013</t>
        </is>
      </c>
      <c r="B160" s="7" t="inlineStr">
        <is>
          <t>Dec</t>
        </is>
      </c>
      <c r="C160" s="7" t="n">
        <v>2026</v>
      </c>
      <c r="D160" s="7" t="inlineStr">
        <is>
          <t>Deploy</t>
        </is>
      </c>
      <c r="E160" s="7" t="inlineStr">
        <is>
          <t>Active</t>
        </is>
      </c>
    </row>
    <row r="161" ht="15" customHeight="1" s="5">
      <c r="A161" s="7" t="inlineStr">
        <is>
          <t>PRJ013</t>
        </is>
      </c>
      <c r="B161" s="7" t="inlineStr">
        <is>
          <t>Jan</t>
        </is>
      </c>
      <c r="C161" s="7" t="n">
        <v>2027</v>
      </c>
      <c r="D161" s="7" t="inlineStr">
        <is>
          <t>Test</t>
        </is>
      </c>
      <c r="E161" s="7" t="inlineStr">
        <is>
          <t>Active</t>
        </is>
      </c>
    </row>
    <row r="162" ht="15" customHeight="1" s="5">
      <c r="A162" s="7" t="inlineStr">
        <is>
          <t>PRJ013</t>
        </is>
      </c>
      <c r="B162" s="7" t="inlineStr">
        <is>
          <t>Feb</t>
        </is>
      </c>
      <c r="C162" s="7" t="n">
        <v>2027</v>
      </c>
      <c r="D162" s="7" t="inlineStr">
        <is>
          <t>Discovery</t>
        </is>
      </c>
      <c r="E162" s="7" t="inlineStr">
        <is>
          <t>Active</t>
        </is>
      </c>
    </row>
    <row r="163" ht="15" customHeight="1" s="5">
      <c r="A163" s="7" t="inlineStr">
        <is>
          <t>PRJ013</t>
        </is>
      </c>
      <c r="B163" s="7" t="inlineStr">
        <is>
          <t>Mar</t>
        </is>
      </c>
      <c r="C163" s="7" t="n">
        <v>2027</v>
      </c>
      <c r="D163" s="7" t="inlineStr">
        <is>
          <t>Design</t>
        </is>
      </c>
      <c r="E163" s="7" t="inlineStr">
        <is>
          <t>Active</t>
        </is>
      </c>
    </row>
    <row r="164" ht="15" customHeight="1" s="5">
      <c r="A164" s="7" t="inlineStr">
        <is>
          <t>PRJ014</t>
        </is>
      </c>
      <c r="B164" s="7" t="inlineStr">
        <is>
          <t>Mar</t>
        </is>
      </c>
      <c r="C164" s="7" t="n">
        <v>2025</v>
      </c>
      <c r="D164" s="7" t="inlineStr">
        <is>
          <t>Test</t>
        </is>
      </c>
      <c r="E164" s="7" t="inlineStr">
        <is>
          <t>Pipeline</t>
        </is>
      </c>
    </row>
    <row r="165" ht="15" customHeight="1" s="5">
      <c r="A165" s="7" t="inlineStr">
        <is>
          <t>PRJ014</t>
        </is>
      </c>
      <c r="B165" s="7" t="inlineStr">
        <is>
          <t>Apr</t>
        </is>
      </c>
      <c r="C165" s="7" t="n">
        <v>2025</v>
      </c>
      <c r="D165" s="7" t="inlineStr">
        <is>
          <t>Design</t>
        </is>
      </c>
      <c r="E165" s="7" t="inlineStr">
        <is>
          <t>Pipeline</t>
        </is>
      </c>
    </row>
    <row r="166" ht="15" customHeight="1" s="5">
      <c r="A166" s="7" t="inlineStr">
        <is>
          <t>PRJ014</t>
        </is>
      </c>
      <c r="B166" s="7" t="inlineStr">
        <is>
          <t>May</t>
        </is>
      </c>
      <c r="C166" s="7" t="n">
        <v>2025</v>
      </c>
      <c r="D166" s="7" t="inlineStr">
        <is>
          <t>Discovery</t>
        </is>
      </c>
      <c r="E166" s="7" t="inlineStr">
        <is>
          <t>Pipeline</t>
        </is>
      </c>
    </row>
    <row r="167" ht="15" customHeight="1" s="5">
      <c r="A167" s="7" t="inlineStr">
        <is>
          <t>PRJ014</t>
        </is>
      </c>
      <c r="B167" s="7" t="inlineStr">
        <is>
          <t>Jun</t>
        </is>
      </c>
      <c r="C167" s="7" t="n">
        <v>2025</v>
      </c>
      <c r="D167" s="7" t="inlineStr">
        <is>
          <t>Test</t>
        </is>
      </c>
      <c r="E167" s="7" t="inlineStr">
        <is>
          <t>Pipeline</t>
        </is>
      </c>
    </row>
    <row r="168" ht="15" customHeight="1" s="5">
      <c r="A168" s="7" t="inlineStr">
        <is>
          <t>PRJ014</t>
        </is>
      </c>
      <c r="B168" s="7" t="inlineStr">
        <is>
          <t>Jul</t>
        </is>
      </c>
      <c r="C168" s="7" t="n">
        <v>2025</v>
      </c>
      <c r="D168" s="7" t="inlineStr">
        <is>
          <t>Build</t>
        </is>
      </c>
      <c r="E168" s="7" t="inlineStr">
        <is>
          <t>Pipeline</t>
        </is>
      </c>
    </row>
    <row r="169" ht="15" customHeight="1" s="5">
      <c r="A169" s="7" t="inlineStr">
        <is>
          <t>PRJ014</t>
        </is>
      </c>
      <c r="B169" s="7" t="inlineStr">
        <is>
          <t>Aug</t>
        </is>
      </c>
      <c r="C169" s="7" t="n">
        <v>2025</v>
      </c>
      <c r="D169" s="7" t="inlineStr">
        <is>
          <t>Build</t>
        </is>
      </c>
      <c r="E169" s="7" t="inlineStr">
        <is>
          <t>Pipeline</t>
        </is>
      </c>
    </row>
    <row r="170" ht="15" customHeight="1" s="5">
      <c r="A170" s="7" t="inlineStr">
        <is>
          <t>PRJ014</t>
        </is>
      </c>
      <c r="B170" s="7" t="inlineStr">
        <is>
          <t>Sep</t>
        </is>
      </c>
      <c r="C170" s="7" t="n">
        <v>2025</v>
      </c>
      <c r="D170" s="7" t="inlineStr">
        <is>
          <t>Deploy</t>
        </is>
      </c>
      <c r="E170" s="7" t="inlineStr">
        <is>
          <t>Pipeline</t>
        </is>
      </c>
    </row>
    <row r="171" ht="15" customHeight="1" s="5">
      <c r="A171" s="7" t="inlineStr">
        <is>
          <t>PRJ014</t>
        </is>
      </c>
      <c r="B171" s="7" t="inlineStr">
        <is>
          <t>Oct</t>
        </is>
      </c>
      <c r="C171" s="7" t="n">
        <v>2025</v>
      </c>
      <c r="D171" s="7" t="inlineStr">
        <is>
          <t>Test</t>
        </is>
      </c>
      <c r="E171" s="7" t="inlineStr">
        <is>
          <t>Pipeline</t>
        </is>
      </c>
    </row>
    <row r="172" ht="15" customHeight="1" s="5">
      <c r="A172" s="7" t="inlineStr">
        <is>
          <t>PRJ014</t>
        </is>
      </c>
      <c r="B172" s="7" t="inlineStr">
        <is>
          <t>Nov</t>
        </is>
      </c>
      <c r="C172" s="7" t="n">
        <v>2025</v>
      </c>
      <c r="D172" s="7" t="inlineStr">
        <is>
          <t>Discovery</t>
        </is>
      </c>
      <c r="E172" s="7" t="inlineStr">
        <is>
          <t>Pipeline</t>
        </is>
      </c>
    </row>
    <row r="173" ht="15" customHeight="1" s="5">
      <c r="A173" s="7" t="inlineStr">
        <is>
          <t>PRJ014</t>
        </is>
      </c>
      <c r="B173" s="7" t="inlineStr">
        <is>
          <t>Dec</t>
        </is>
      </c>
      <c r="C173" s="7" t="n">
        <v>2025</v>
      </c>
      <c r="D173" s="7" t="inlineStr">
        <is>
          <t>Build</t>
        </is>
      </c>
      <c r="E173" s="7" t="inlineStr">
        <is>
          <t>Pipeline</t>
        </is>
      </c>
    </row>
    <row r="174" ht="15" customHeight="1" s="5">
      <c r="A174" s="7" t="inlineStr">
        <is>
          <t>PRJ014</t>
        </is>
      </c>
      <c r="B174" s="7" t="inlineStr">
        <is>
          <t>Jan</t>
        </is>
      </c>
      <c r="C174" s="7" t="n">
        <v>2026</v>
      </c>
      <c r="D174" s="7" t="inlineStr">
        <is>
          <t>Deploy</t>
        </is>
      </c>
      <c r="E174" s="7" t="inlineStr">
        <is>
          <t>Pipeline</t>
        </is>
      </c>
    </row>
    <row r="175" ht="15" customHeight="1" s="5">
      <c r="A175" s="7" t="inlineStr">
        <is>
          <t>PRJ014</t>
        </is>
      </c>
      <c r="B175" s="7" t="inlineStr">
        <is>
          <t>Feb</t>
        </is>
      </c>
      <c r="C175" s="7" t="n">
        <v>2026</v>
      </c>
      <c r="D175" s="7" t="inlineStr">
        <is>
          <t>Test</t>
        </is>
      </c>
      <c r="E175" s="7" t="inlineStr">
        <is>
          <t>Pipeline</t>
        </is>
      </c>
    </row>
    <row r="176" ht="15" customHeight="1" s="5">
      <c r="A176" s="7" t="inlineStr">
        <is>
          <t>PRJ014</t>
        </is>
      </c>
      <c r="B176" s="7" t="inlineStr">
        <is>
          <t>Mar</t>
        </is>
      </c>
      <c r="C176" s="7" t="n">
        <v>2026</v>
      </c>
      <c r="D176" s="7" t="inlineStr">
        <is>
          <t>Build</t>
        </is>
      </c>
      <c r="E176" s="7" t="inlineStr">
        <is>
          <t>Pipeline</t>
        </is>
      </c>
    </row>
    <row r="177" ht="15" customHeight="1" s="5">
      <c r="A177" s="7" t="inlineStr">
        <is>
          <t>PRJ015</t>
        </is>
      </c>
      <c r="B177" s="7" t="inlineStr">
        <is>
          <t>Jul</t>
        </is>
      </c>
      <c r="C177" s="7" t="n">
        <v>2025</v>
      </c>
      <c r="D177" s="7" t="inlineStr">
        <is>
          <t>Test</t>
        </is>
      </c>
      <c r="E177" s="7" t="inlineStr">
        <is>
          <t>Active</t>
        </is>
      </c>
    </row>
    <row r="178" ht="15" customHeight="1" s="5">
      <c r="A178" s="7" t="inlineStr">
        <is>
          <t>PRJ015</t>
        </is>
      </c>
      <c r="B178" s="7" t="inlineStr">
        <is>
          <t>Aug</t>
        </is>
      </c>
      <c r="C178" s="7" t="n">
        <v>2025</v>
      </c>
      <c r="D178" s="7" t="inlineStr">
        <is>
          <t>Deploy</t>
        </is>
      </c>
      <c r="E178" s="7" t="inlineStr">
        <is>
          <t>Active</t>
        </is>
      </c>
    </row>
    <row r="179" ht="15" customHeight="1" s="5">
      <c r="A179" s="7" t="inlineStr">
        <is>
          <t>PRJ015</t>
        </is>
      </c>
      <c r="B179" s="7" t="inlineStr">
        <is>
          <t>Sep</t>
        </is>
      </c>
      <c r="C179" s="7" t="n">
        <v>2025</v>
      </c>
      <c r="D179" s="7" t="inlineStr">
        <is>
          <t>Discovery</t>
        </is>
      </c>
      <c r="E179" s="7" t="inlineStr">
        <is>
          <t>Active</t>
        </is>
      </c>
    </row>
    <row r="180" ht="15" customHeight="1" s="5">
      <c r="A180" s="7" t="inlineStr">
        <is>
          <t>PRJ015</t>
        </is>
      </c>
      <c r="B180" s="7" t="inlineStr">
        <is>
          <t>Oct</t>
        </is>
      </c>
      <c r="C180" s="7" t="n">
        <v>2025</v>
      </c>
      <c r="D180" s="7" t="inlineStr">
        <is>
          <t>Deploy</t>
        </is>
      </c>
      <c r="E180" s="7" t="inlineStr">
        <is>
          <t>Active</t>
        </is>
      </c>
    </row>
    <row r="181" ht="15" customHeight="1" s="5">
      <c r="A181" s="7" t="inlineStr">
        <is>
          <t>PRJ015</t>
        </is>
      </c>
      <c r="B181" s="7" t="inlineStr">
        <is>
          <t>Nov</t>
        </is>
      </c>
      <c r="C181" s="7" t="n">
        <v>2025</v>
      </c>
      <c r="D181" s="7" t="inlineStr">
        <is>
          <t>Discovery</t>
        </is>
      </c>
      <c r="E181" s="7" t="inlineStr">
        <is>
          <t>Active</t>
        </is>
      </c>
    </row>
    <row r="182" ht="15" customHeight="1" s="5">
      <c r="A182" s="7" t="inlineStr">
        <is>
          <t>PRJ015</t>
        </is>
      </c>
      <c r="B182" s="7" t="inlineStr">
        <is>
          <t>Dec</t>
        </is>
      </c>
      <c r="C182" s="7" t="n">
        <v>2025</v>
      </c>
      <c r="D182" s="7" t="inlineStr">
        <is>
          <t>Design</t>
        </is>
      </c>
      <c r="E182" s="7" t="inlineStr">
        <is>
          <t>Active</t>
        </is>
      </c>
    </row>
    <row r="183" ht="15" customHeight="1" s="5">
      <c r="A183" s="7" t="inlineStr">
        <is>
          <t>PRJ015</t>
        </is>
      </c>
      <c r="B183" s="7" t="inlineStr">
        <is>
          <t>Jan</t>
        </is>
      </c>
      <c r="C183" s="7" t="n">
        <v>2026</v>
      </c>
      <c r="D183" s="7" t="inlineStr">
        <is>
          <t>Build</t>
        </is>
      </c>
      <c r="E183" s="7" t="inlineStr">
        <is>
          <t>Active</t>
        </is>
      </c>
    </row>
    <row r="184" ht="15" customHeight="1" s="5">
      <c r="A184" s="7" t="inlineStr">
        <is>
          <t>PRJ015</t>
        </is>
      </c>
      <c r="B184" s="7" t="inlineStr">
        <is>
          <t>Feb</t>
        </is>
      </c>
      <c r="C184" s="7" t="n">
        <v>2026</v>
      </c>
      <c r="D184" s="7" t="inlineStr">
        <is>
          <t>Design</t>
        </is>
      </c>
      <c r="E184" s="7" t="inlineStr">
        <is>
          <t>Active</t>
        </is>
      </c>
    </row>
    <row r="185" ht="15" customHeight="1" s="5">
      <c r="A185" s="7" t="inlineStr">
        <is>
          <t>PRJ015</t>
        </is>
      </c>
      <c r="B185" s="7" t="inlineStr">
        <is>
          <t>Mar</t>
        </is>
      </c>
      <c r="C185" s="7" t="n">
        <v>2026</v>
      </c>
      <c r="D185" s="7" t="inlineStr">
        <is>
          <t>Discovery</t>
        </is>
      </c>
      <c r="E185" s="7" t="inlineStr">
        <is>
          <t>Active</t>
        </is>
      </c>
    </row>
    <row r="186" ht="15" customHeight="1" s="5">
      <c r="A186" s="7" t="inlineStr">
        <is>
          <t>PRJ015</t>
        </is>
      </c>
      <c r="B186" s="7" t="inlineStr">
        <is>
          <t>Apr</t>
        </is>
      </c>
      <c r="C186" s="7" t="n">
        <v>2026</v>
      </c>
      <c r="D186" s="7" t="inlineStr">
        <is>
          <t>Test</t>
        </is>
      </c>
      <c r="E186" s="7" t="inlineStr">
        <is>
          <t>Active</t>
        </is>
      </c>
    </row>
    <row r="187" ht="15" customHeight="1" s="5">
      <c r="A187" s="7" t="inlineStr">
        <is>
          <t>PRJ016</t>
        </is>
      </c>
      <c r="B187" s="7" t="inlineStr">
        <is>
          <t>Dec</t>
        </is>
      </c>
      <c r="C187" s="7" t="n">
        <v>2025</v>
      </c>
      <c r="D187" s="7" t="inlineStr">
        <is>
          <t>Discovery</t>
        </is>
      </c>
      <c r="E187" s="7" t="inlineStr">
        <is>
          <t>Pipeline</t>
        </is>
      </c>
    </row>
    <row r="188" ht="15" customHeight="1" s="5">
      <c r="A188" s="7" t="inlineStr">
        <is>
          <t>PRJ016</t>
        </is>
      </c>
      <c r="B188" s="7" t="inlineStr">
        <is>
          <t>Jan</t>
        </is>
      </c>
      <c r="C188" s="7" t="n">
        <v>2026</v>
      </c>
      <c r="D188" s="7" t="inlineStr">
        <is>
          <t>Discovery</t>
        </is>
      </c>
      <c r="E188" s="7" t="inlineStr">
        <is>
          <t>Pipeline</t>
        </is>
      </c>
    </row>
    <row r="189" ht="15" customHeight="1" s="5">
      <c r="A189" s="7" t="inlineStr">
        <is>
          <t>PRJ016</t>
        </is>
      </c>
      <c r="B189" s="7" t="inlineStr">
        <is>
          <t>Feb</t>
        </is>
      </c>
      <c r="C189" s="7" t="n">
        <v>2026</v>
      </c>
      <c r="D189" s="7" t="inlineStr">
        <is>
          <t>Test</t>
        </is>
      </c>
      <c r="E189" s="7" t="inlineStr">
        <is>
          <t>Pipeline</t>
        </is>
      </c>
    </row>
    <row r="190" ht="15" customHeight="1" s="5">
      <c r="A190" s="7" t="inlineStr">
        <is>
          <t>PRJ016</t>
        </is>
      </c>
      <c r="B190" s="7" t="inlineStr">
        <is>
          <t>Mar</t>
        </is>
      </c>
      <c r="C190" s="7" t="n">
        <v>2026</v>
      </c>
      <c r="D190" s="7" t="inlineStr">
        <is>
          <t>Design</t>
        </is>
      </c>
      <c r="E190" s="7" t="inlineStr">
        <is>
          <t>Pipeline</t>
        </is>
      </c>
    </row>
    <row r="191" ht="15" customHeight="1" s="5">
      <c r="A191" s="7" t="inlineStr">
        <is>
          <t>PRJ016</t>
        </is>
      </c>
      <c r="B191" s="7" t="inlineStr">
        <is>
          <t>Apr</t>
        </is>
      </c>
      <c r="C191" s="7" t="n">
        <v>2026</v>
      </c>
      <c r="D191" s="7" t="inlineStr">
        <is>
          <t>Build</t>
        </is>
      </c>
      <c r="E191" s="7" t="inlineStr">
        <is>
          <t>Pipeline</t>
        </is>
      </c>
    </row>
    <row r="192" ht="15" customHeight="1" s="5">
      <c r="A192" s="7" t="inlineStr">
        <is>
          <t>PRJ016</t>
        </is>
      </c>
      <c r="B192" s="7" t="inlineStr">
        <is>
          <t>May</t>
        </is>
      </c>
      <c r="C192" s="7" t="n">
        <v>2026</v>
      </c>
      <c r="D192" s="7" t="inlineStr">
        <is>
          <t>Discovery</t>
        </is>
      </c>
      <c r="E192" s="7" t="inlineStr">
        <is>
          <t>Pipeline</t>
        </is>
      </c>
    </row>
    <row r="193" ht="15" customHeight="1" s="5">
      <c r="A193" s="7" t="inlineStr">
        <is>
          <t>PRJ016</t>
        </is>
      </c>
      <c r="B193" s="7" t="inlineStr">
        <is>
          <t>Jun</t>
        </is>
      </c>
      <c r="C193" s="7" t="n">
        <v>2026</v>
      </c>
      <c r="D193" s="7" t="inlineStr">
        <is>
          <t>Discovery</t>
        </is>
      </c>
      <c r="E193" s="7" t="inlineStr">
        <is>
          <t>Pipeline</t>
        </is>
      </c>
    </row>
    <row r="194" ht="15" customHeight="1" s="5">
      <c r="A194" s="7" t="inlineStr">
        <is>
          <t>PRJ016</t>
        </is>
      </c>
      <c r="B194" s="7" t="inlineStr">
        <is>
          <t>Jul</t>
        </is>
      </c>
      <c r="C194" s="7" t="n">
        <v>2026</v>
      </c>
      <c r="D194" s="7" t="inlineStr">
        <is>
          <t>Build</t>
        </is>
      </c>
      <c r="E194" s="7" t="inlineStr">
        <is>
          <t>Pipeline</t>
        </is>
      </c>
    </row>
    <row r="195" ht="15" customHeight="1" s="5">
      <c r="A195" s="7" t="inlineStr">
        <is>
          <t>PRJ016</t>
        </is>
      </c>
      <c r="B195" s="7" t="inlineStr">
        <is>
          <t>Aug</t>
        </is>
      </c>
      <c r="C195" s="7" t="n">
        <v>2026</v>
      </c>
      <c r="D195" s="7" t="inlineStr">
        <is>
          <t>Discovery</t>
        </is>
      </c>
      <c r="E195" s="7" t="inlineStr">
        <is>
          <t>Pipeline</t>
        </is>
      </c>
    </row>
    <row r="196" ht="15" customHeight="1" s="5">
      <c r="A196" s="7" t="inlineStr">
        <is>
          <t>PRJ016</t>
        </is>
      </c>
      <c r="B196" s="7" t="inlineStr">
        <is>
          <t>Sep</t>
        </is>
      </c>
      <c r="C196" s="7" t="n">
        <v>2026</v>
      </c>
      <c r="D196" s="7" t="inlineStr">
        <is>
          <t>Build</t>
        </is>
      </c>
      <c r="E196" s="7" t="inlineStr">
        <is>
          <t>Pipeline</t>
        </is>
      </c>
    </row>
    <row r="197" ht="15" customHeight="1" s="5">
      <c r="A197" s="7" t="inlineStr">
        <is>
          <t>PRJ016</t>
        </is>
      </c>
      <c r="B197" s="7" t="inlineStr">
        <is>
          <t>Oct</t>
        </is>
      </c>
      <c r="C197" s="7" t="n">
        <v>2026</v>
      </c>
      <c r="D197" s="7" t="inlineStr">
        <is>
          <t>Build</t>
        </is>
      </c>
      <c r="E197" s="7" t="inlineStr">
        <is>
          <t>Pipeline</t>
        </is>
      </c>
    </row>
    <row r="198" ht="15" customHeight="1" s="5">
      <c r="A198" s="7" t="inlineStr">
        <is>
          <t>PRJ016</t>
        </is>
      </c>
      <c r="B198" s="7" t="inlineStr">
        <is>
          <t>Nov</t>
        </is>
      </c>
      <c r="C198" s="7" t="n">
        <v>2026</v>
      </c>
      <c r="D198" s="7" t="inlineStr">
        <is>
          <t>Build</t>
        </is>
      </c>
      <c r="E198" s="7" t="inlineStr">
        <is>
          <t>Pipeline</t>
        </is>
      </c>
    </row>
    <row r="199" ht="15" customHeight="1" s="5">
      <c r="A199" s="7" t="inlineStr">
        <is>
          <t>PRJ017</t>
        </is>
      </c>
      <c r="B199" s="7" t="inlineStr">
        <is>
          <t>Mar</t>
        </is>
      </c>
      <c r="C199" s="7" t="n">
        <v>2025</v>
      </c>
      <c r="D199" s="7" t="inlineStr">
        <is>
          <t>Test</t>
        </is>
      </c>
      <c r="E199" s="7" t="inlineStr">
        <is>
          <t>Pipeline</t>
        </is>
      </c>
    </row>
    <row r="200" ht="15" customHeight="1" s="5">
      <c r="A200" s="7" t="inlineStr">
        <is>
          <t>PRJ017</t>
        </is>
      </c>
      <c r="B200" s="7" t="inlineStr">
        <is>
          <t>Apr</t>
        </is>
      </c>
      <c r="C200" s="7" t="n">
        <v>2025</v>
      </c>
      <c r="D200" s="7" t="inlineStr">
        <is>
          <t>Design</t>
        </is>
      </c>
      <c r="E200" s="7" t="inlineStr">
        <is>
          <t>Pipeline</t>
        </is>
      </c>
    </row>
    <row r="201" ht="15" customHeight="1" s="5">
      <c r="A201" s="7" t="inlineStr">
        <is>
          <t>PRJ017</t>
        </is>
      </c>
      <c r="B201" s="7" t="inlineStr">
        <is>
          <t>May</t>
        </is>
      </c>
      <c r="C201" s="7" t="n">
        <v>2025</v>
      </c>
      <c r="D201" s="7" t="inlineStr">
        <is>
          <t>Design</t>
        </is>
      </c>
      <c r="E201" s="7" t="inlineStr">
        <is>
          <t>Pipeline</t>
        </is>
      </c>
    </row>
    <row r="202" ht="15" customHeight="1" s="5">
      <c r="A202" s="7" t="inlineStr">
        <is>
          <t>PRJ017</t>
        </is>
      </c>
      <c r="B202" s="7" t="inlineStr">
        <is>
          <t>Jun</t>
        </is>
      </c>
      <c r="C202" s="7" t="n">
        <v>2025</v>
      </c>
      <c r="D202" s="7" t="inlineStr">
        <is>
          <t>Deploy</t>
        </is>
      </c>
      <c r="E202" s="7" t="inlineStr">
        <is>
          <t>Pipeline</t>
        </is>
      </c>
    </row>
    <row r="203" ht="15" customHeight="1" s="5">
      <c r="A203" s="7" t="inlineStr">
        <is>
          <t>PRJ017</t>
        </is>
      </c>
      <c r="B203" s="7" t="inlineStr">
        <is>
          <t>Jul</t>
        </is>
      </c>
      <c r="C203" s="7" t="n">
        <v>2025</v>
      </c>
      <c r="D203" s="7" t="inlineStr">
        <is>
          <t>Test</t>
        </is>
      </c>
      <c r="E203" s="7" t="inlineStr">
        <is>
          <t>Pipeline</t>
        </is>
      </c>
    </row>
    <row r="204" ht="15" customHeight="1" s="5">
      <c r="A204" s="7" t="inlineStr">
        <is>
          <t>PRJ017</t>
        </is>
      </c>
      <c r="B204" s="7" t="inlineStr">
        <is>
          <t>Aug</t>
        </is>
      </c>
      <c r="C204" s="7" t="n">
        <v>2025</v>
      </c>
      <c r="D204" s="7" t="inlineStr">
        <is>
          <t>Deploy</t>
        </is>
      </c>
      <c r="E204" s="7" t="inlineStr">
        <is>
          <t>Pipeline</t>
        </is>
      </c>
    </row>
    <row r="205" ht="15" customHeight="1" s="5">
      <c r="A205" s="7" t="inlineStr">
        <is>
          <t>PRJ017</t>
        </is>
      </c>
      <c r="B205" s="7" t="inlineStr">
        <is>
          <t>Sep</t>
        </is>
      </c>
      <c r="C205" s="7" t="n">
        <v>2025</v>
      </c>
      <c r="D205" s="7" t="inlineStr">
        <is>
          <t>Design</t>
        </is>
      </c>
      <c r="E205" s="7" t="inlineStr">
        <is>
          <t>Pipeline</t>
        </is>
      </c>
    </row>
    <row r="206" ht="15" customHeight="1" s="5">
      <c r="A206" s="7" t="inlineStr">
        <is>
          <t>PRJ017</t>
        </is>
      </c>
      <c r="B206" s="7" t="inlineStr">
        <is>
          <t>Oct</t>
        </is>
      </c>
      <c r="C206" s="7" t="n">
        <v>2025</v>
      </c>
      <c r="D206" s="7" t="inlineStr">
        <is>
          <t>Design</t>
        </is>
      </c>
      <c r="E206" s="7" t="inlineStr">
        <is>
          <t>Pipeline</t>
        </is>
      </c>
    </row>
    <row r="207" ht="15" customHeight="1" s="5">
      <c r="A207" s="7" t="inlineStr">
        <is>
          <t>PRJ017</t>
        </is>
      </c>
      <c r="B207" s="7" t="inlineStr">
        <is>
          <t>Nov</t>
        </is>
      </c>
      <c r="C207" s="7" t="n">
        <v>2025</v>
      </c>
      <c r="D207" s="7" t="inlineStr">
        <is>
          <t>Design</t>
        </is>
      </c>
      <c r="E207" s="7" t="inlineStr">
        <is>
          <t>Pipeline</t>
        </is>
      </c>
    </row>
    <row r="208" ht="15" customHeight="1" s="5">
      <c r="A208" s="7" t="inlineStr">
        <is>
          <t>PRJ017</t>
        </is>
      </c>
      <c r="B208" s="7" t="inlineStr">
        <is>
          <t>Dec</t>
        </is>
      </c>
      <c r="C208" s="7" t="n">
        <v>2025</v>
      </c>
      <c r="D208" s="7" t="inlineStr">
        <is>
          <t>Discovery</t>
        </is>
      </c>
      <c r="E208" s="7" t="inlineStr">
        <is>
          <t>Pipeline</t>
        </is>
      </c>
    </row>
    <row r="209" ht="15" customHeight="1" s="5">
      <c r="A209" s="7" t="inlineStr">
        <is>
          <t>PRJ017</t>
        </is>
      </c>
      <c r="B209" s="7" t="inlineStr">
        <is>
          <t>Jan</t>
        </is>
      </c>
      <c r="C209" s="7" t="n">
        <v>2026</v>
      </c>
      <c r="D209" s="7" t="inlineStr">
        <is>
          <t>Deploy</t>
        </is>
      </c>
      <c r="E209" s="7" t="inlineStr">
        <is>
          <t>Pipeline</t>
        </is>
      </c>
    </row>
    <row r="210" ht="15" customHeight="1" s="5">
      <c r="A210" s="7" t="inlineStr">
        <is>
          <t>PRJ017</t>
        </is>
      </c>
      <c r="B210" s="7" t="inlineStr">
        <is>
          <t>Feb</t>
        </is>
      </c>
      <c r="C210" s="7" t="n">
        <v>2026</v>
      </c>
      <c r="D210" s="7" t="inlineStr">
        <is>
          <t>Test</t>
        </is>
      </c>
      <c r="E210" s="7" t="inlineStr">
        <is>
          <t>Pipeline</t>
        </is>
      </c>
    </row>
    <row r="211" ht="15" customHeight="1" s="5">
      <c r="A211" s="7" t="inlineStr">
        <is>
          <t>PRJ017</t>
        </is>
      </c>
      <c r="B211" s="7" t="inlineStr">
        <is>
          <t>Mar</t>
        </is>
      </c>
      <c r="C211" s="7" t="n">
        <v>2026</v>
      </c>
      <c r="D211" s="7" t="inlineStr">
        <is>
          <t>Deploy</t>
        </is>
      </c>
      <c r="E211" s="7" t="inlineStr">
        <is>
          <t>Pipeline</t>
        </is>
      </c>
    </row>
    <row r="212" ht="15" customHeight="1" s="5">
      <c r="A212" s="7" t="inlineStr">
        <is>
          <t>PRJ017</t>
        </is>
      </c>
      <c r="B212" s="7" t="inlineStr">
        <is>
          <t>Apr</t>
        </is>
      </c>
      <c r="C212" s="7" t="n">
        <v>2026</v>
      </c>
      <c r="D212" s="7" t="inlineStr">
        <is>
          <t>Design</t>
        </is>
      </c>
      <c r="E212" s="7" t="inlineStr">
        <is>
          <t>Pipeline</t>
        </is>
      </c>
    </row>
    <row r="213" ht="15" customHeight="1" s="5">
      <c r="A213" s="7" t="inlineStr">
        <is>
          <t>PRJ018</t>
        </is>
      </c>
      <c r="B213" s="7" t="inlineStr">
        <is>
          <t>Nov</t>
        </is>
      </c>
      <c r="C213" s="7" t="n">
        <v>2025</v>
      </c>
      <c r="D213" s="7" t="inlineStr">
        <is>
          <t>Test</t>
        </is>
      </c>
      <c r="E213" s="7" t="inlineStr">
        <is>
          <t>Active</t>
        </is>
      </c>
    </row>
    <row r="214" ht="15" customHeight="1" s="5">
      <c r="A214" s="7" t="inlineStr">
        <is>
          <t>PRJ018</t>
        </is>
      </c>
      <c r="B214" s="7" t="inlineStr">
        <is>
          <t>Dec</t>
        </is>
      </c>
      <c r="C214" s="7" t="n">
        <v>2025</v>
      </c>
      <c r="D214" s="7" t="inlineStr">
        <is>
          <t>Deploy</t>
        </is>
      </c>
      <c r="E214" s="7" t="inlineStr">
        <is>
          <t>Active</t>
        </is>
      </c>
    </row>
    <row r="215" ht="15" customHeight="1" s="5">
      <c r="A215" s="7" t="inlineStr">
        <is>
          <t>PRJ018</t>
        </is>
      </c>
      <c r="B215" s="7" t="inlineStr">
        <is>
          <t>Jan</t>
        </is>
      </c>
      <c r="C215" s="7" t="n">
        <v>2026</v>
      </c>
      <c r="D215" s="7" t="inlineStr">
        <is>
          <t>Design</t>
        </is>
      </c>
      <c r="E215" s="7" t="inlineStr">
        <is>
          <t>Active</t>
        </is>
      </c>
    </row>
    <row r="216" ht="15" customHeight="1" s="5">
      <c r="A216" s="7" t="inlineStr">
        <is>
          <t>PRJ018</t>
        </is>
      </c>
      <c r="B216" s="7" t="inlineStr">
        <is>
          <t>Feb</t>
        </is>
      </c>
      <c r="C216" s="7" t="n">
        <v>2026</v>
      </c>
      <c r="D216" s="7" t="inlineStr">
        <is>
          <t>Design</t>
        </is>
      </c>
      <c r="E216" s="7" t="inlineStr">
        <is>
          <t>Active</t>
        </is>
      </c>
    </row>
    <row r="217" ht="15" customHeight="1" s="5">
      <c r="A217" s="7" t="inlineStr">
        <is>
          <t>PRJ018</t>
        </is>
      </c>
      <c r="B217" s="7" t="inlineStr">
        <is>
          <t>Mar</t>
        </is>
      </c>
      <c r="C217" s="7" t="n">
        <v>2026</v>
      </c>
      <c r="D217" s="7" t="inlineStr">
        <is>
          <t>Test</t>
        </is>
      </c>
      <c r="E217" s="7" t="inlineStr">
        <is>
          <t>Active</t>
        </is>
      </c>
    </row>
    <row r="218" ht="15" customHeight="1" s="5">
      <c r="A218" s="7" t="inlineStr">
        <is>
          <t>PRJ018</t>
        </is>
      </c>
      <c r="B218" s="7" t="inlineStr">
        <is>
          <t>Apr</t>
        </is>
      </c>
      <c r="C218" s="7" t="n">
        <v>2026</v>
      </c>
      <c r="D218" s="7" t="inlineStr">
        <is>
          <t>Build</t>
        </is>
      </c>
      <c r="E218" s="7" t="inlineStr">
        <is>
          <t>Active</t>
        </is>
      </c>
    </row>
    <row r="219" ht="15" customHeight="1" s="5">
      <c r="A219" s="7" t="inlineStr">
        <is>
          <t>PRJ018</t>
        </is>
      </c>
      <c r="B219" s="7" t="inlineStr">
        <is>
          <t>May</t>
        </is>
      </c>
      <c r="C219" s="7" t="n">
        <v>2026</v>
      </c>
      <c r="D219" s="7" t="inlineStr">
        <is>
          <t>Test</t>
        </is>
      </c>
      <c r="E219" s="7" t="inlineStr">
        <is>
          <t>Active</t>
        </is>
      </c>
    </row>
    <row r="220" ht="15" customHeight="1" s="5">
      <c r="A220" s="7" t="inlineStr">
        <is>
          <t>PRJ018</t>
        </is>
      </c>
      <c r="B220" s="7" t="inlineStr">
        <is>
          <t>Jun</t>
        </is>
      </c>
      <c r="C220" s="7" t="n">
        <v>2026</v>
      </c>
      <c r="D220" s="7" t="inlineStr">
        <is>
          <t>Build</t>
        </is>
      </c>
      <c r="E220" s="7" t="inlineStr">
        <is>
          <t>Active</t>
        </is>
      </c>
    </row>
    <row r="221" ht="15" customHeight="1" s="5">
      <c r="A221" s="7" t="inlineStr">
        <is>
          <t>PRJ018</t>
        </is>
      </c>
      <c r="B221" s="7" t="inlineStr">
        <is>
          <t>Jul</t>
        </is>
      </c>
      <c r="C221" s="7" t="n">
        <v>2026</v>
      </c>
      <c r="D221" s="7" t="inlineStr">
        <is>
          <t>Discovery</t>
        </is>
      </c>
      <c r="E221" s="7" t="inlineStr">
        <is>
          <t>Active</t>
        </is>
      </c>
    </row>
    <row r="222" ht="15" customHeight="1" s="5">
      <c r="A222" s="7" t="inlineStr">
        <is>
          <t>PRJ018</t>
        </is>
      </c>
      <c r="B222" s="7" t="inlineStr">
        <is>
          <t>Aug</t>
        </is>
      </c>
      <c r="C222" s="7" t="n">
        <v>2026</v>
      </c>
      <c r="D222" s="7" t="inlineStr">
        <is>
          <t>Test</t>
        </is>
      </c>
      <c r="E222" s="7" t="inlineStr">
        <is>
          <t>Active</t>
        </is>
      </c>
    </row>
    <row r="223" ht="15" customHeight="1" s="5">
      <c r="A223" s="7" t="inlineStr">
        <is>
          <t>PRJ018</t>
        </is>
      </c>
      <c r="B223" s="7" t="inlineStr">
        <is>
          <t>Sep</t>
        </is>
      </c>
      <c r="C223" s="7" t="n">
        <v>2026</v>
      </c>
      <c r="D223" s="7" t="inlineStr">
        <is>
          <t>Build</t>
        </is>
      </c>
      <c r="E223" s="7" t="inlineStr">
        <is>
          <t>Active</t>
        </is>
      </c>
    </row>
    <row r="224" ht="15" customHeight="1" s="5">
      <c r="A224" s="7" t="inlineStr">
        <is>
          <t>PRJ018</t>
        </is>
      </c>
      <c r="B224" s="7" t="inlineStr">
        <is>
          <t>Oct</t>
        </is>
      </c>
      <c r="C224" s="7" t="n">
        <v>2026</v>
      </c>
      <c r="D224" s="7" t="inlineStr">
        <is>
          <t>Deploy</t>
        </is>
      </c>
      <c r="E224" s="7" t="inlineStr">
        <is>
          <t>Active</t>
        </is>
      </c>
    </row>
    <row r="225" ht="15" customHeight="1" s="5">
      <c r="A225" s="7" t="inlineStr">
        <is>
          <t>PRJ018</t>
        </is>
      </c>
      <c r="B225" s="7" t="inlineStr">
        <is>
          <t>Nov</t>
        </is>
      </c>
      <c r="C225" s="7" t="n">
        <v>2026</v>
      </c>
      <c r="D225" s="7" t="inlineStr">
        <is>
          <t>Design</t>
        </is>
      </c>
      <c r="E225" s="7" t="inlineStr">
        <is>
          <t>Active</t>
        </is>
      </c>
    </row>
    <row r="226" ht="15" customHeight="1" s="5">
      <c r="A226" s="7" t="inlineStr">
        <is>
          <t>PRJ019</t>
        </is>
      </c>
      <c r="B226" s="7" t="inlineStr">
        <is>
          <t>Apr</t>
        </is>
      </c>
      <c r="C226" s="7" t="n">
        <v>2025</v>
      </c>
      <c r="D226" s="7" t="inlineStr">
        <is>
          <t>Discovery</t>
        </is>
      </c>
      <c r="E226" s="7" t="inlineStr">
        <is>
          <t>Active</t>
        </is>
      </c>
    </row>
    <row r="227" ht="15" customHeight="1" s="5">
      <c r="A227" s="7" t="inlineStr">
        <is>
          <t>PRJ019</t>
        </is>
      </c>
      <c r="B227" s="7" t="inlineStr">
        <is>
          <t>May</t>
        </is>
      </c>
      <c r="C227" s="7" t="n">
        <v>2025</v>
      </c>
      <c r="D227" s="7" t="inlineStr">
        <is>
          <t>Test</t>
        </is>
      </c>
      <c r="E227" s="7" t="inlineStr">
        <is>
          <t>Active</t>
        </is>
      </c>
    </row>
    <row r="228" ht="15" customHeight="1" s="5">
      <c r="A228" s="7" t="inlineStr">
        <is>
          <t>PRJ019</t>
        </is>
      </c>
      <c r="B228" s="7" t="inlineStr">
        <is>
          <t>Jun</t>
        </is>
      </c>
      <c r="C228" s="7" t="n">
        <v>2025</v>
      </c>
      <c r="D228" s="7" t="inlineStr">
        <is>
          <t>Build</t>
        </is>
      </c>
      <c r="E228" s="7" t="inlineStr">
        <is>
          <t>Active</t>
        </is>
      </c>
    </row>
    <row r="229" ht="15" customHeight="1" s="5">
      <c r="A229" s="7" t="inlineStr">
        <is>
          <t>PRJ019</t>
        </is>
      </c>
      <c r="B229" s="7" t="inlineStr">
        <is>
          <t>Jul</t>
        </is>
      </c>
      <c r="C229" s="7" t="n">
        <v>2025</v>
      </c>
      <c r="D229" s="7" t="inlineStr">
        <is>
          <t>Deploy</t>
        </is>
      </c>
      <c r="E229" s="7" t="inlineStr">
        <is>
          <t>Active</t>
        </is>
      </c>
    </row>
    <row r="230" ht="15" customHeight="1" s="5">
      <c r="A230" s="7" t="inlineStr">
        <is>
          <t>PRJ019</t>
        </is>
      </c>
      <c r="B230" s="7" t="inlineStr">
        <is>
          <t>Aug</t>
        </is>
      </c>
      <c r="C230" s="7" t="n">
        <v>2025</v>
      </c>
      <c r="D230" s="7" t="inlineStr">
        <is>
          <t>Build</t>
        </is>
      </c>
      <c r="E230" s="7" t="inlineStr">
        <is>
          <t>Active</t>
        </is>
      </c>
    </row>
    <row r="231" ht="15" customHeight="1" s="5">
      <c r="A231" s="7" t="inlineStr">
        <is>
          <t>PRJ019</t>
        </is>
      </c>
      <c r="B231" s="7" t="inlineStr">
        <is>
          <t>Sep</t>
        </is>
      </c>
      <c r="C231" s="7" t="n">
        <v>2025</v>
      </c>
      <c r="D231" s="7" t="inlineStr">
        <is>
          <t>Test</t>
        </is>
      </c>
      <c r="E231" s="7" t="inlineStr">
        <is>
          <t>Active</t>
        </is>
      </c>
    </row>
    <row r="232" ht="15" customHeight="1" s="5">
      <c r="A232" s="7" t="inlineStr">
        <is>
          <t>PRJ019</t>
        </is>
      </c>
      <c r="B232" s="7" t="inlineStr">
        <is>
          <t>Oct</t>
        </is>
      </c>
      <c r="C232" s="7" t="n">
        <v>2025</v>
      </c>
      <c r="D232" s="7" t="inlineStr">
        <is>
          <t>Build</t>
        </is>
      </c>
      <c r="E232" s="7" t="inlineStr">
        <is>
          <t>Active</t>
        </is>
      </c>
    </row>
    <row r="233" ht="15" customHeight="1" s="5">
      <c r="A233" s="7" t="inlineStr">
        <is>
          <t>PRJ019</t>
        </is>
      </c>
      <c r="B233" s="7" t="inlineStr">
        <is>
          <t>Nov</t>
        </is>
      </c>
      <c r="C233" s="7" t="n">
        <v>2025</v>
      </c>
      <c r="D233" s="7" t="inlineStr">
        <is>
          <t>Test</t>
        </is>
      </c>
      <c r="E233" s="7" t="inlineStr">
        <is>
          <t>Active</t>
        </is>
      </c>
    </row>
    <row r="234" ht="15" customHeight="1" s="5">
      <c r="A234" s="7" t="inlineStr">
        <is>
          <t>PRJ019</t>
        </is>
      </c>
      <c r="B234" s="7" t="inlineStr">
        <is>
          <t>Dec</t>
        </is>
      </c>
      <c r="C234" s="7" t="n">
        <v>2025</v>
      </c>
      <c r="D234" s="7" t="inlineStr">
        <is>
          <t>Build</t>
        </is>
      </c>
      <c r="E234" s="7" t="inlineStr">
        <is>
          <t>Active</t>
        </is>
      </c>
    </row>
    <row r="235" ht="15" customHeight="1" s="5">
      <c r="A235" s="7" t="inlineStr">
        <is>
          <t>PRJ019</t>
        </is>
      </c>
      <c r="B235" s="7" t="inlineStr">
        <is>
          <t>Jan</t>
        </is>
      </c>
      <c r="C235" s="7" t="n">
        <v>2026</v>
      </c>
      <c r="D235" s="7" t="inlineStr">
        <is>
          <t>Design</t>
        </is>
      </c>
      <c r="E235" s="7" t="inlineStr">
        <is>
          <t>Active</t>
        </is>
      </c>
    </row>
    <row r="236" ht="15" customHeight="1" s="5">
      <c r="A236" s="7" t="inlineStr">
        <is>
          <t>PRJ019</t>
        </is>
      </c>
      <c r="B236" s="7" t="inlineStr">
        <is>
          <t>Feb</t>
        </is>
      </c>
      <c r="C236" s="7" t="n">
        <v>2026</v>
      </c>
      <c r="D236" s="7" t="inlineStr">
        <is>
          <t>Test</t>
        </is>
      </c>
      <c r="E236" s="7" t="inlineStr">
        <is>
          <t>Active</t>
        </is>
      </c>
    </row>
    <row r="237" ht="15" customHeight="1" s="5">
      <c r="A237" s="7" t="inlineStr">
        <is>
          <t>PRJ019</t>
        </is>
      </c>
      <c r="B237" s="7" t="inlineStr">
        <is>
          <t>Mar</t>
        </is>
      </c>
      <c r="C237" s="7" t="n">
        <v>2026</v>
      </c>
      <c r="D237" s="7" t="inlineStr">
        <is>
          <t>Test</t>
        </is>
      </c>
      <c r="E237" s="7" t="inlineStr">
        <is>
          <t>Active</t>
        </is>
      </c>
    </row>
    <row r="238" ht="15" customHeight="1" s="5">
      <c r="A238" s="7" t="inlineStr">
        <is>
          <t>PRJ019</t>
        </is>
      </c>
      <c r="B238" s="7" t="inlineStr">
        <is>
          <t>Apr</t>
        </is>
      </c>
      <c r="C238" s="7" t="n">
        <v>2026</v>
      </c>
      <c r="D238" s="7" t="inlineStr">
        <is>
          <t>Discovery</t>
        </is>
      </c>
      <c r="E238" s="7" t="inlineStr">
        <is>
          <t>Active</t>
        </is>
      </c>
    </row>
    <row r="239" ht="15" customHeight="1" s="5">
      <c r="A239" s="7" t="inlineStr">
        <is>
          <t>PRJ019</t>
        </is>
      </c>
      <c r="B239" s="7" t="inlineStr">
        <is>
          <t>May</t>
        </is>
      </c>
      <c r="C239" s="7" t="n">
        <v>2026</v>
      </c>
      <c r="D239" s="7" t="inlineStr">
        <is>
          <t>Design</t>
        </is>
      </c>
      <c r="E239" s="7" t="inlineStr">
        <is>
          <t>Active</t>
        </is>
      </c>
    </row>
    <row r="240" ht="15" customHeight="1" s="5">
      <c r="A240" s="7" t="inlineStr">
        <is>
          <t>PRJ019</t>
        </is>
      </c>
      <c r="B240" s="7" t="inlineStr">
        <is>
          <t>Jun</t>
        </is>
      </c>
      <c r="C240" s="7" t="n">
        <v>2026</v>
      </c>
      <c r="D240" s="7" t="inlineStr">
        <is>
          <t>Test</t>
        </is>
      </c>
      <c r="E240" s="7" t="inlineStr">
        <is>
          <t>Active</t>
        </is>
      </c>
    </row>
    <row r="241" ht="15" customHeight="1" s="5">
      <c r="A241" s="7" t="inlineStr">
        <is>
          <t>PRJ019</t>
        </is>
      </c>
      <c r="B241" s="7" t="inlineStr">
        <is>
          <t>Jul</t>
        </is>
      </c>
      <c r="C241" s="7" t="n">
        <v>2026</v>
      </c>
      <c r="D241" s="7" t="inlineStr">
        <is>
          <t>Deploy</t>
        </is>
      </c>
      <c r="E241" s="7" t="inlineStr">
        <is>
          <t>Active</t>
        </is>
      </c>
    </row>
    <row r="242" ht="15" customHeight="1" s="5">
      <c r="A242" s="7" t="inlineStr">
        <is>
          <t>PRJ019</t>
        </is>
      </c>
      <c r="B242" s="7" t="inlineStr">
        <is>
          <t>Aug</t>
        </is>
      </c>
      <c r="C242" s="7" t="n">
        <v>2026</v>
      </c>
      <c r="D242" s="7" t="inlineStr">
        <is>
          <t>Build</t>
        </is>
      </c>
      <c r="E242" s="7" t="inlineStr">
        <is>
          <t>Active</t>
        </is>
      </c>
    </row>
    <row r="243" ht="15" customHeight="1" s="5">
      <c r="A243" s="7" t="inlineStr">
        <is>
          <t>PRJ019</t>
        </is>
      </c>
      <c r="B243" s="7" t="inlineStr">
        <is>
          <t>Sep</t>
        </is>
      </c>
      <c r="C243" s="7" t="n">
        <v>2026</v>
      </c>
      <c r="D243" s="7" t="inlineStr">
        <is>
          <t>Deploy</t>
        </is>
      </c>
      <c r="E243" s="7" t="inlineStr">
        <is>
          <t>Active</t>
        </is>
      </c>
    </row>
    <row r="244" ht="15" customHeight="1" s="5">
      <c r="A244" s="7" t="inlineStr">
        <is>
          <t>PRJ019</t>
        </is>
      </c>
      <c r="B244" s="7" t="inlineStr">
        <is>
          <t>Oct</t>
        </is>
      </c>
      <c r="C244" s="7" t="n">
        <v>2026</v>
      </c>
      <c r="D244" s="7" t="inlineStr">
        <is>
          <t>Build</t>
        </is>
      </c>
      <c r="E244" s="7" t="inlineStr">
        <is>
          <t>Active</t>
        </is>
      </c>
    </row>
    <row r="245" ht="15" customHeight="1" s="5">
      <c r="A245" s="7" t="inlineStr">
        <is>
          <t>PRJ019</t>
        </is>
      </c>
      <c r="B245" s="7" t="inlineStr">
        <is>
          <t>Nov</t>
        </is>
      </c>
      <c r="C245" s="7" t="n">
        <v>2026</v>
      </c>
      <c r="D245" s="7" t="inlineStr">
        <is>
          <t>Build</t>
        </is>
      </c>
      <c r="E245" s="7" t="inlineStr">
        <is>
          <t>Active</t>
        </is>
      </c>
    </row>
    <row r="246" ht="15" customHeight="1" s="5">
      <c r="A246" s="7" t="inlineStr">
        <is>
          <t>PRJ020</t>
        </is>
      </c>
      <c r="B246" s="7" t="inlineStr">
        <is>
          <t>May</t>
        </is>
      </c>
      <c r="C246" s="7" t="n">
        <v>2025</v>
      </c>
      <c r="D246" s="7" t="inlineStr">
        <is>
          <t>Discovery</t>
        </is>
      </c>
      <c r="E246" s="7" t="inlineStr">
        <is>
          <t>Completed</t>
        </is>
      </c>
    </row>
    <row r="247" ht="15" customHeight="1" s="5">
      <c r="A247" s="7" t="inlineStr">
        <is>
          <t>PRJ020</t>
        </is>
      </c>
      <c r="B247" s="7" t="inlineStr">
        <is>
          <t>Jun</t>
        </is>
      </c>
      <c r="C247" s="7" t="n">
        <v>2025</v>
      </c>
      <c r="D247" s="7" t="inlineStr">
        <is>
          <t>Test</t>
        </is>
      </c>
      <c r="E247" s="7" t="inlineStr">
        <is>
          <t>Completed</t>
        </is>
      </c>
    </row>
    <row r="248" ht="15" customHeight="1" s="5">
      <c r="A248" s="7" t="inlineStr">
        <is>
          <t>PRJ020</t>
        </is>
      </c>
      <c r="B248" s="7" t="inlineStr">
        <is>
          <t>Jul</t>
        </is>
      </c>
      <c r="C248" s="7" t="n">
        <v>2025</v>
      </c>
      <c r="D248" s="7" t="inlineStr">
        <is>
          <t>Build</t>
        </is>
      </c>
      <c r="E248" s="7" t="inlineStr">
        <is>
          <t>Completed</t>
        </is>
      </c>
    </row>
    <row r="249" ht="15" customHeight="1" s="5">
      <c r="A249" s="7" t="inlineStr">
        <is>
          <t>PRJ020</t>
        </is>
      </c>
      <c r="B249" s="7" t="inlineStr">
        <is>
          <t>Aug</t>
        </is>
      </c>
      <c r="C249" s="7" t="n">
        <v>2025</v>
      </c>
      <c r="D249" s="7" t="inlineStr">
        <is>
          <t>Discovery</t>
        </is>
      </c>
      <c r="E249" s="7" t="inlineStr">
        <is>
          <t>Completed</t>
        </is>
      </c>
    </row>
    <row r="250" ht="15" customHeight="1" s="5">
      <c r="A250" s="7" t="inlineStr">
        <is>
          <t>PRJ021</t>
        </is>
      </c>
      <c r="B250" s="7" t="inlineStr">
        <is>
          <t>Feb</t>
        </is>
      </c>
      <c r="C250" s="7" t="n">
        <v>2025</v>
      </c>
      <c r="D250" s="7" t="inlineStr">
        <is>
          <t>Deploy</t>
        </is>
      </c>
      <c r="E250" s="7" t="inlineStr">
        <is>
          <t>Active</t>
        </is>
      </c>
    </row>
    <row r="251" ht="15" customHeight="1" s="5">
      <c r="A251" s="7" t="inlineStr">
        <is>
          <t>PRJ021</t>
        </is>
      </c>
      <c r="B251" s="7" t="inlineStr">
        <is>
          <t>Mar</t>
        </is>
      </c>
      <c r="C251" s="7" t="n">
        <v>2025</v>
      </c>
      <c r="D251" s="7" t="inlineStr">
        <is>
          <t>Discovery</t>
        </is>
      </c>
      <c r="E251" s="7" t="inlineStr">
        <is>
          <t>Active</t>
        </is>
      </c>
    </row>
    <row r="252" ht="15" customHeight="1" s="5">
      <c r="A252" s="7" t="inlineStr">
        <is>
          <t>PRJ021</t>
        </is>
      </c>
      <c r="B252" s="7" t="inlineStr">
        <is>
          <t>Apr</t>
        </is>
      </c>
      <c r="C252" s="7" t="n">
        <v>2025</v>
      </c>
      <c r="D252" s="7" t="inlineStr">
        <is>
          <t>Deploy</t>
        </is>
      </c>
      <c r="E252" s="7" t="inlineStr">
        <is>
          <t>Active</t>
        </is>
      </c>
    </row>
    <row r="253" ht="15" customHeight="1" s="5">
      <c r="A253" s="7" t="inlineStr">
        <is>
          <t>PRJ021</t>
        </is>
      </c>
      <c r="B253" s="7" t="inlineStr">
        <is>
          <t>May</t>
        </is>
      </c>
      <c r="C253" s="7" t="n">
        <v>2025</v>
      </c>
      <c r="D253" s="7" t="inlineStr">
        <is>
          <t>Test</t>
        </is>
      </c>
      <c r="E253" s="7" t="inlineStr">
        <is>
          <t>Active</t>
        </is>
      </c>
    </row>
    <row r="254" ht="15" customHeight="1" s="5">
      <c r="A254" s="7" t="inlineStr">
        <is>
          <t>PRJ021</t>
        </is>
      </c>
      <c r="B254" s="7" t="inlineStr">
        <is>
          <t>Jun</t>
        </is>
      </c>
      <c r="C254" s="7" t="n">
        <v>2025</v>
      </c>
      <c r="D254" s="7" t="inlineStr">
        <is>
          <t>Build</t>
        </is>
      </c>
      <c r="E254" s="7" t="inlineStr">
        <is>
          <t>Active</t>
        </is>
      </c>
    </row>
    <row r="255" ht="15" customHeight="1" s="5">
      <c r="A255" s="7" t="inlineStr">
        <is>
          <t>PRJ022</t>
        </is>
      </c>
      <c r="B255" s="7" t="inlineStr">
        <is>
          <t>May</t>
        </is>
      </c>
      <c r="C255" s="7" t="n">
        <v>2025</v>
      </c>
      <c r="D255" s="7" t="inlineStr">
        <is>
          <t>Design</t>
        </is>
      </c>
      <c r="E255" s="7" t="inlineStr">
        <is>
          <t>Active</t>
        </is>
      </c>
    </row>
    <row r="256" ht="15" customHeight="1" s="5">
      <c r="A256" s="7" t="inlineStr">
        <is>
          <t>PRJ022</t>
        </is>
      </c>
      <c r="B256" s="7" t="inlineStr">
        <is>
          <t>Jun</t>
        </is>
      </c>
      <c r="C256" s="7" t="n">
        <v>2025</v>
      </c>
      <c r="D256" s="7" t="inlineStr">
        <is>
          <t>Deploy</t>
        </is>
      </c>
      <c r="E256" s="7" t="inlineStr">
        <is>
          <t>Active</t>
        </is>
      </c>
    </row>
    <row r="257" ht="15" customHeight="1" s="5">
      <c r="A257" s="7" t="inlineStr">
        <is>
          <t>PRJ022</t>
        </is>
      </c>
      <c r="B257" s="7" t="inlineStr">
        <is>
          <t>Jul</t>
        </is>
      </c>
      <c r="C257" s="7" t="n">
        <v>2025</v>
      </c>
      <c r="D257" s="7" t="inlineStr">
        <is>
          <t>Build</t>
        </is>
      </c>
      <c r="E257" s="7" t="inlineStr">
        <is>
          <t>Active</t>
        </is>
      </c>
    </row>
    <row r="258" ht="15" customHeight="1" s="5">
      <c r="A258" s="7" t="inlineStr">
        <is>
          <t>PRJ022</t>
        </is>
      </c>
      <c r="B258" s="7" t="inlineStr">
        <is>
          <t>Aug</t>
        </is>
      </c>
      <c r="C258" s="7" t="n">
        <v>2025</v>
      </c>
      <c r="D258" s="7" t="inlineStr">
        <is>
          <t>Design</t>
        </is>
      </c>
      <c r="E258" s="7" t="inlineStr">
        <is>
          <t>Active</t>
        </is>
      </c>
    </row>
    <row r="259" ht="15" customHeight="1" s="5">
      <c r="A259" s="7" t="inlineStr">
        <is>
          <t>PRJ022</t>
        </is>
      </c>
      <c r="B259" s="7" t="inlineStr">
        <is>
          <t>Sep</t>
        </is>
      </c>
      <c r="C259" s="7" t="n">
        <v>2025</v>
      </c>
      <c r="D259" s="7" t="inlineStr">
        <is>
          <t>Design</t>
        </is>
      </c>
      <c r="E259" s="7" t="inlineStr">
        <is>
          <t>Active</t>
        </is>
      </c>
    </row>
    <row r="260" ht="15" customHeight="1" s="5">
      <c r="A260" s="7" t="inlineStr">
        <is>
          <t>PRJ022</t>
        </is>
      </c>
      <c r="B260" s="7" t="inlineStr">
        <is>
          <t>Oct</t>
        </is>
      </c>
      <c r="C260" s="7" t="n">
        <v>2025</v>
      </c>
      <c r="D260" s="7" t="inlineStr">
        <is>
          <t>Deploy</t>
        </is>
      </c>
      <c r="E260" s="7" t="inlineStr">
        <is>
          <t>Active</t>
        </is>
      </c>
    </row>
    <row r="261" ht="15" customHeight="1" s="5">
      <c r="A261" s="7" t="inlineStr">
        <is>
          <t>PRJ022</t>
        </is>
      </c>
      <c r="B261" s="7" t="inlineStr">
        <is>
          <t>Nov</t>
        </is>
      </c>
      <c r="C261" s="7" t="n">
        <v>2025</v>
      </c>
      <c r="D261" s="7" t="inlineStr">
        <is>
          <t>Build</t>
        </is>
      </c>
      <c r="E261" s="7" t="inlineStr">
        <is>
          <t>Active</t>
        </is>
      </c>
    </row>
    <row r="262" ht="15" customHeight="1" s="5">
      <c r="A262" s="7" t="inlineStr">
        <is>
          <t>PRJ022</t>
        </is>
      </c>
      <c r="B262" s="7" t="inlineStr">
        <is>
          <t>Dec</t>
        </is>
      </c>
      <c r="C262" s="7" t="n">
        <v>2025</v>
      </c>
      <c r="D262" s="7" t="inlineStr">
        <is>
          <t>Design</t>
        </is>
      </c>
      <c r="E262" s="7" t="inlineStr">
        <is>
          <t>Active</t>
        </is>
      </c>
    </row>
    <row r="263" ht="15" customHeight="1" s="5">
      <c r="A263" s="7" t="inlineStr">
        <is>
          <t>PRJ022</t>
        </is>
      </c>
      <c r="B263" s="7" t="inlineStr">
        <is>
          <t>Jan</t>
        </is>
      </c>
      <c r="C263" s="7" t="n">
        <v>2026</v>
      </c>
      <c r="D263" s="7" t="inlineStr">
        <is>
          <t>Discovery</t>
        </is>
      </c>
      <c r="E263" s="7" t="inlineStr">
        <is>
          <t>Active</t>
        </is>
      </c>
    </row>
    <row r="264" ht="15" customHeight="1" s="5">
      <c r="A264" s="7" t="inlineStr">
        <is>
          <t>PRJ023</t>
        </is>
      </c>
      <c r="B264" s="7" t="inlineStr">
        <is>
          <t>Dec</t>
        </is>
      </c>
      <c r="C264" s="7" t="n">
        <v>2025</v>
      </c>
      <c r="D264" s="7" t="inlineStr">
        <is>
          <t>Discovery</t>
        </is>
      </c>
      <c r="E264" s="7" t="inlineStr">
        <is>
          <t>Completed</t>
        </is>
      </c>
    </row>
    <row r="265" ht="15" customHeight="1" s="5">
      <c r="A265" s="7" t="inlineStr">
        <is>
          <t>PRJ023</t>
        </is>
      </c>
      <c r="B265" s="7" t="inlineStr">
        <is>
          <t>Jan</t>
        </is>
      </c>
      <c r="C265" s="7" t="n">
        <v>2026</v>
      </c>
      <c r="D265" s="7" t="inlineStr">
        <is>
          <t>Build</t>
        </is>
      </c>
      <c r="E265" s="7" t="inlineStr">
        <is>
          <t>Completed</t>
        </is>
      </c>
    </row>
    <row r="266" ht="15" customHeight="1" s="5">
      <c r="A266" s="7" t="inlineStr">
        <is>
          <t>PRJ023</t>
        </is>
      </c>
      <c r="B266" s="7" t="inlineStr">
        <is>
          <t>Feb</t>
        </is>
      </c>
      <c r="C266" s="7" t="n">
        <v>2026</v>
      </c>
      <c r="D266" s="7" t="inlineStr">
        <is>
          <t>Test</t>
        </is>
      </c>
      <c r="E266" s="7" t="inlineStr">
        <is>
          <t>Completed</t>
        </is>
      </c>
    </row>
    <row r="267" ht="15" customHeight="1" s="5">
      <c r="A267" s="7" t="inlineStr">
        <is>
          <t>PRJ023</t>
        </is>
      </c>
      <c r="B267" s="7" t="inlineStr">
        <is>
          <t>Mar</t>
        </is>
      </c>
      <c r="C267" s="7" t="n">
        <v>2026</v>
      </c>
      <c r="D267" s="7" t="inlineStr">
        <is>
          <t>Discovery</t>
        </is>
      </c>
      <c r="E267" s="7" t="inlineStr">
        <is>
          <t>Completed</t>
        </is>
      </c>
    </row>
    <row r="268" ht="15" customHeight="1" s="5">
      <c r="A268" s="7" t="inlineStr">
        <is>
          <t>PRJ023</t>
        </is>
      </c>
      <c r="B268" s="7" t="inlineStr">
        <is>
          <t>Apr</t>
        </is>
      </c>
      <c r="C268" s="7" t="n">
        <v>2026</v>
      </c>
      <c r="D268" s="7" t="inlineStr">
        <is>
          <t>Deploy</t>
        </is>
      </c>
      <c r="E268" s="7" t="inlineStr">
        <is>
          <t>Completed</t>
        </is>
      </c>
    </row>
    <row r="269" ht="15" customHeight="1" s="5">
      <c r="A269" s="7" t="inlineStr">
        <is>
          <t>PRJ023</t>
        </is>
      </c>
      <c r="B269" s="7" t="inlineStr">
        <is>
          <t>May</t>
        </is>
      </c>
      <c r="C269" s="7" t="n">
        <v>2026</v>
      </c>
      <c r="D269" s="7" t="inlineStr">
        <is>
          <t>Build</t>
        </is>
      </c>
      <c r="E269" s="7" t="inlineStr">
        <is>
          <t>Completed</t>
        </is>
      </c>
    </row>
    <row r="270" ht="15" customHeight="1" s="5">
      <c r="A270" s="7" t="inlineStr">
        <is>
          <t>PRJ023</t>
        </is>
      </c>
      <c r="B270" s="7" t="inlineStr">
        <is>
          <t>Jun</t>
        </is>
      </c>
      <c r="C270" s="7" t="n">
        <v>2026</v>
      </c>
      <c r="D270" s="7" t="inlineStr">
        <is>
          <t>Design</t>
        </is>
      </c>
      <c r="E270" s="7" t="inlineStr">
        <is>
          <t>Completed</t>
        </is>
      </c>
    </row>
    <row r="271" ht="15" customHeight="1" s="5">
      <c r="A271" s="7" t="inlineStr">
        <is>
          <t>PRJ023</t>
        </is>
      </c>
      <c r="B271" s="7" t="inlineStr">
        <is>
          <t>Jul</t>
        </is>
      </c>
      <c r="C271" s="7" t="n">
        <v>2026</v>
      </c>
      <c r="D271" s="7" t="inlineStr">
        <is>
          <t>Discovery</t>
        </is>
      </c>
      <c r="E271" s="7" t="inlineStr">
        <is>
          <t>Completed</t>
        </is>
      </c>
    </row>
    <row r="272" ht="15" customHeight="1" s="5">
      <c r="A272" s="7" t="inlineStr">
        <is>
          <t>PRJ023</t>
        </is>
      </c>
      <c r="B272" s="7" t="inlineStr">
        <is>
          <t>Aug</t>
        </is>
      </c>
      <c r="C272" s="7" t="n">
        <v>2026</v>
      </c>
      <c r="D272" s="7" t="inlineStr">
        <is>
          <t>Build</t>
        </is>
      </c>
      <c r="E272" s="7" t="inlineStr">
        <is>
          <t>Completed</t>
        </is>
      </c>
    </row>
    <row r="273" ht="15" customHeight="1" s="5">
      <c r="A273" s="7" t="inlineStr">
        <is>
          <t>PRJ023</t>
        </is>
      </c>
      <c r="B273" s="7" t="inlineStr">
        <is>
          <t>Sep</t>
        </is>
      </c>
      <c r="C273" s="7" t="n">
        <v>2026</v>
      </c>
      <c r="D273" s="7" t="inlineStr">
        <is>
          <t>Build</t>
        </is>
      </c>
      <c r="E273" s="7" t="inlineStr">
        <is>
          <t>Completed</t>
        </is>
      </c>
    </row>
    <row r="274" ht="15" customHeight="1" s="5">
      <c r="A274" s="7" t="inlineStr">
        <is>
          <t>PRJ023</t>
        </is>
      </c>
      <c r="B274" s="7" t="inlineStr">
        <is>
          <t>Oct</t>
        </is>
      </c>
      <c r="C274" s="7" t="n">
        <v>2026</v>
      </c>
      <c r="D274" s="7" t="inlineStr">
        <is>
          <t>Test</t>
        </is>
      </c>
      <c r="E274" s="7" t="inlineStr">
        <is>
          <t>Completed</t>
        </is>
      </c>
    </row>
    <row r="275" ht="15" customHeight="1" s="5">
      <c r="A275" s="7" t="inlineStr">
        <is>
          <t>PRJ023</t>
        </is>
      </c>
      <c r="B275" s="7" t="inlineStr">
        <is>
          <t>Nov</t>
        </is>
      </c>
      <c r="C275" s="7" t="n">
        <v>2026</v>
      </c>
      <c r="D275" s="7" t="inlineStr">
        <is>
          <t>Design</t>
        </is>
      </c>
      <c r="E275" s="7" t="inlineStr">
        <is>
          <t>Completed</t>
        </is>
      </c>
    </row>
    <row r="276" ht="15" customHeight="1" s="5">
      <c r="A276" s="7" t="inlineStr">
        <is>
          <t>PRJ024</t>
        </is>
      </c>
      <c r="B276" s="7" t="inlineStr">
        <is>
          <t>Jan</t>
        </is>
      </c>
      <c r="C276" s="7" t="n">
        <v>2026</v>
      </c>
      <c r="D276" s="7" t="inlineStr">
        <is>
          <t>Design</t>
        </is>
      </c>
      <c r="E276" s="7" t="inlineStr">
        <is>
          <t>Pipeline</t>
        </is>
      </c>
    </row>
    <row r="277" ht="15" customHeight="1" s="5">
      <c r="A277" s="7" t="inlineStr">
        <is>
          <t>PRJ024</t>
        </is>
      </c>
      <c r="B277" s="7" t="inlineStr">
        <is>
          <t>Feb</t>
        </is>
      </c>
      <c r="C277" s="7" t="n">
        <v>2026</v>
      </c>
      <c r="D277" s="7" t="inlineStr">
        <is>
          <t>Design</t>
        </is>
      </c>
      <c r="E277" s="7" t="inlineStr">
        <is>
          <t>Pipeline</t>
        </is>
      </c>
    </row>
    <row r="278" ht="15" customHeight="1" s="5">
      <c r="A278" s="7" t="inlineStr">
        <is>
          <t>PRJ024</t>
        </is>
      </c>
      <c r="B278" s="7" t="inlineStr">
        <is>
          <t>Mar</t>
        </is>
      </c>
      <c r="C278" s="7" t="n">
        <v>2026</v>
      </c>
      <c r="D278" s="7" t="inlineStr">
        <is>
          <t>Deploy</t>
        </is>
      </c>
      <c r="E278" s="7" t="inlineStr">
        <is>
          <t>Pipeline</t>
        </is>
      </c>
    </row>
    <row r="279" ht="15" customHeight="1" s="5">
      <c r="A279" s="7" t="inlineStr">
        <is>
          <t>PRJ024</t>
        </is>
      </c>
      <c r="B279" s="7" t="inlineStr">
        <is>
          <t>Apr</t>
        </is>
      </c>
      <c r="C279" s="7" t="n">
        <v>2026</v>
      </c>
      <c r="D279" s="7" t="inlineStr">
        <is>
          <t>Build</t>
        </is>
      </c>
      <c r="E279" s="7" t="inlineStr">
        <is>
          <t>Pipeline</t>
        </is>
      </c>
    </row>
    <row r="280" ht="15" customHeight="1" s="5">
      <c r="A280" s="7" t="inlineStr">
        <is>
          <t>PRJ024</t>
        </is>
      </c>
      <c r="B280" s="7" t="inlineStr">
        <is>
          <t>May</t>
        </is>
      </c>
      <c r="C280" s="7" t="n">
        <v>2026</v>
      </c>
      <c r="D280" s="7" t="inlineStr">
        <is>
          <t>Deploy</t>
        </is>
      </c>
      <c r="E280" s="7" t="inlineStr">
        <is>
          <t>Pipeline</t>
        </is>
      </c>
    </row>
    <row r="281" ht="15" customHeight="1" s="5">
      <c r="A281" s="7" t="inlineStr">
        <is>
          <t>PRJ024</t>
        </is>
      </c>
      <c r="B281" s="7" t="inlineStr">
        <is>
          <t>Jun</t>
        </is>
      </c>
      <c r="C281" s="7" t="n">
        <v>2026</v>
      </c>
      <c r="D281" s="7" t="inlineStr">
        <is>
          <t>Deploy</t>
        </is>
      </c>
      <c r="E281" s="7" t="inlineStr">
        <is>
          <t>Pipeline</t>
        </is>
      </c>
    </row>
    <row r="282" ht="15" customHeight="1" s="5">
      <c r="A282" s="7" t="inlineStr">
        <is>
          <t>PRJ024</t>
        </is>
      </c>
      <c r="B282" s="7" t="inlineStr">
        <is>
          <t>Jul</t>
        </is>
      </c>
      <c r="C282" s="7" t="n">
        <v>2026</v>
      </c>
      <c r="D282" s="7" t="inlineStr">
        <is>
          <t>Build</t>
        </is>
      </c>
      <c r="E282" s="7" t="inlineStr">
        <is>
          <t>Pipeline</t>
        </is>
      </c>
    </row>
    <row r="283" ht="15" customHeight="1" s="5">
      <c r="A283" s="7" t="inlineStr">
        <is>
          <t>PRJ024</t>
        </is>
      </c>
      <c r="B283" s="7" t="inlineStr">
        <is>
          <t>Aug</t>
        </is>
      </c>
      <c r="C283" s="7" t="n">
        <v>2026</v>
      </c>
      <c r="D283" s="7" t="inlineStr">
        <is>
          <t>Design</t>
        </is>
      </c>
      <c r="E283" s="7" t="inlineStr">
        <is>
          <t>Pipeline</t>
        </is>
      </c>
    </row>
    <row r="284" ht="15" customHeight="1" s="5">
      <c r="A284" s="7" t="inlineStr">
        <is>
          <t>PRJ024</t>
        </is>
      </c>
      <c r="B284" s="7" t="inlineStr">
        <is>
          <t>Sep</t>
        </is>
      </c>
      <c r="C284" s="7" t="n">
        <v>2026</v>
      </c>
      <c r="D284" s="7" t="inlineStr">
        <is>
          <t>Build</t>
        </is>
      </c>
      <c r="E284" s="7" t="inlineStr">
        <is>
          <t>Pipeline</t>
        </is>
      </c>
    </row>
    <row r="285" ht="15" customHeight="1" s="5">
      <c r="A285" s="7" t="inlineStr">
        <is>
          <t>PRJ024</t>
        </is>
      </c>
      <c r="B285" s="7" t="inlineStr">
        <is>
          <t>Oct</t>
        </is>
      </c>
      <c r="C285" s="7" t="n">
        <v>2026</v>
      </c>
      <c r="D285" s="7" t="inlineStr">
        <is>
          <t>Test</t>
        </is>
      </c>
      <c r="E285" s="7" t="inlineStr">
        <is>
          <t>Pipeline</t>
        </is>
      </c>
    </row>
    <row r="286" ht="15" customHeight="1" s="5">
      <c r="A286" s="7" t="inlineStr">
        <is>
          <t>PRJ024</t>
        </is>
      </c>
      <c r="B286" s="7" t="inlineStr">
        <is>
          <t>Nov</t>
        </is>
      </c>
      <c r="C286" s="7" t="n">
        <v>2026</v>
      </c>
      <c r="D286" s="7" t="inlineStr">
        <is>
          <t>Build</t>
        </is>
      </c>
      <c r="E286" s="7" t="inlineStr">
        <is>
          <t>Pipeline</t>
        </is>
      </c>
    </row>
    <row r="287" ht="15" customHeight="1" s="5">
      <c r="A287" s="7" t="inlineStr">
        <is>
          <t>PRJ024</t>
        </is>
      </c>
      <c r="B287" s="7" t="inlineStr">
        <is>
          <t>Dec</t>
        </is>
      </c>
      <c r="C287" s="7" t="n">
        <v>2026</v>
      </c>
      <c r="D287" s="7" t="inlineStr">
        <is>
          <t>Build</t>
        </is>
      </c>
      <c r="E287" s="7" t="inlineStr">
        <is>
          <t>Pipeline</t>
        </is>
      </c>
    </row>
    <row r="288" ht="15" customHeight="1" s="5">
      <c r="A288" s="7" t="inlineStr">
        <is>
          <t>PRJ024</t>
        </is>
      </c>
      <c r="B288" s="7" t="inlineStr">
        <is>
          <t>Jan</t>
        </is>
      </c>
      <c r="C288" s="7" t="n">
        <v>2027</v>
      </c>
      <c r="D288" s="7" t="inlineStr">
        <is>
          <t>Discovery</t>
        </is>
      </c>
      <c r="E288" s="7" t="inlineStr">
        <is>
          <t>Pipeline</t>
        </is>
      </c>
    </row>
    <row r="289" ht="15" customHeight="1" s="5">
      <c r="A289" s="7" t="inlineStr">
        <is>
          <t>PRJ025</t>
        </is>
      </c>
      <c r="B289" s="7" t="inlineStr">
        <is>
          <t>Jan</t>
        </is>
      </c>
      <c r="C289" s="7" t="n">
        <v>2026</v>
      </c>
      <c r="D289" s="7" t="inlineStr">
        <is>
          <t>Test</t>
        </is>
      </c>
      <c r="E289" s="7" t="inlineStr">
        <is>
          <t>Active</t>
        </is>
      </c>
    </row>
    <row r="290" ht="15" customHeight="1" s="5">
      <c r="A290" s="7" t="inlineStr">
        <is>
          <t>PRJ025</t>
        </is>
      </c>
      <c r="B290" s="7" t="inlineStr">
        <is>
          <t>Feb</t>
        </is>
      </c>
      <c r="C290" s="7" t="n">
        <v>2026</v>
      </c>
      <c r="D290" s="7" t="inlineStr">
        <is>
          <t>Discovery</t>
        </is>
      </c>
      <c r="E290" s="7" t="inlineStr">
        <is>
          <t>Active</t>
        </is>
      </c>
    </row>
    <row r="291" ht="15" customHeight="1" s="5">
      <c r="A291" s="7" t="inlineStr">
        <is>
          <t>PRJ025</t>
        </is>
      </c>
      <c r="B291" s="7" t="inlineStr">
        <is>
          <t>Mar</t>
        </is>
      </c>
      <c r="C291" s="7" t="n">
        <v>2026</v>
      </c>
      <c r="D291" s="7" t="inlineStr">
        <is>
          <t>Design</t>
        </is>
      </c>
      <c r="E291" s="7" t="inlineStr">
        <is>
          <t>Active</t>
        </is>
      </c>
    </row>
    <row r="292" ht="15" customHeight="1" s="5">
      <c r="A292" s="7" t="inlineStr">
        <is>
          <t>PRJ025</t>
        </is>
      </c>
      <c r="B292" s="7" t="inlineStr">
        <is>
          <t>Apr</t>
        </is>
      </c>
      <c r="C292" s="7" t="n">
        <v>2026</v>
      </c>
      <c r="D292" s="7" t="inlineStr">
        <is>
          <t>Design</t>
        </is>
      </c>
      <c r="E292" s="7" t="inlineStr">
        <is>
          <t>Active</t>
        </is>
      </c>
    </row>
    <row r="293" ht="15" customHeight="1" s="5">
      <c r="A293" s="7" t="inlineStr">
        <is>
          <t>PRJ025</t>
        </is>
      </c>
      <c r="B293" s="7" t="inlineStr">
        <is>
          <t>May</t>
        </is>
      </c>
      <c r="C293" s="7" t="n">
        <v>2026</v>
      </c>
      <c r="D293" s="7" t="inlineStr">
        <is>
          <t>Test</t>
        </is>
      </c>
      <c r="E293" s="7" t="inlineStr">
        <is>
          <t>Active</t>
        </is>
      </c>
    </row>
    <row r="294" ht="15" customHeight="1" s="5">
      <c r="A294" s="7" t="inlineStr">
        <is>
          <t>PRJ025</t>
        </is>
      </c>
      <c r="B294" s="7" t="inlineStr">
        <is>
          <t>Jun</t>
        </is>
      </c>
      <c r="C294" s="7" t="n">
        <v>2026</v>
      </c>
      <c r="D294" s="7" t="inlineStr">
        <is>
          <t>Deploy</t>
        </is>
      </c>
      <c r="E294" s="7" t="inlineStr">
        <is>
          <t>Active</t>
        </is>
      </c>
    </row>
    <row r="295" ht="15" customHeight="1" s="5">
      <c r="A295" s="7" t="inlineStr">
        <is>
          <t>PRJ025</t>
        </is>
      </c>
      <c r="B295" s="7" t="inlineStr">
        <is>
          <t>Jul</t>
        </is>
      </c>
      <c r="C295" s="7" t="n">
        <v>2026</v>
      </c>
      <c r="D295" s="7" t="inlineStr">
        <is>
          <t>Build</t>
        </is>
      </c>
      <c r="E295" s="7" t="inlineStr">
        <is>
          <t>Active</t>
        </is>
      </c>
    </row>
    <row r="296" ht="15" customHeight="1" s="5">
      <c r="A296" s="7" t="inlineStr">
        <is>
          <t>PRJ025</t>
        </is>
      </c>
      <c r="B296" s="7" t="inlineStr">
        <is>
          <t>Aug</t>
        </is>
      </c>
      <c r="C296" s="7" t="n">
        <v>2026</v>
      </c>
      <c r="D296" s="7" t="inlineStr">
        <is>
          <t>Discovery</t>
        </is>
      </c>
      <c r="E296" s="7" t="inlineStr">
        <is>
          <t>Active</t>
        </is>
      </c>
    </row>
    <row r="297" ht="15" customHeight="1" s="5">
      <c r="A297" s="7" t="inlineStr">
        <is>
          <t>PRJ025</t>
        </is>
      </c>
      <c r="B297" s="7" t="inlineStr">
        <is>
          <t>Sep</t>
        </is>
      </c>
      <c r="C297" s="7" t="n">
        <v>2026</v>
      </c>
      <c r="D297" s="7" t="inlineStr">
        <is>
          <t>Test</t>
        </is>
      </c>
      <c r="E297" s="7" t="inlineStr">
        <is>
          <t>Active</t>
        </is>
      </c>
    </row>
    <row r="298" ht="15" customHeight="1" s="5">
      <c r="A298" s="7" t="inlineStr">
        <is>
          <t>PRJ025</t>
        </is>
      </c>
      <c r="B298" s="7" t="inlineStr">
        <is>
          <t>Oct</t>
        </is>
      </c>
      <c r="C298" s="7" t="n">
        <v>2026</v>
      </c>
      <c r="D298" s="7" t="inlineStr">
        <is>
          <t>Discovery</t>
        </is>
      </c>
      <c r="E298" s="7" t="inlineStr">
        <is>
          <t>Active</t>
        </is>
      </c>
    </row>
    <row r="299" ht="15" customHeight="1" s="5">
      <c r="A299" s="7" t="inlineStr">
        <is>
          <t>PRJ025</t>
        </is>
      </c>
      <c r="B299" s="7" t="inlineStr">
        <is>
          <t>Nov</t>
        </is>
      </c>
      <c r="C299" s="7" t="n">
        <v>2026</v>
      </c>
      <c r="D299" s="7" t="inlineStr">
        <is>
          <t>Build</t>
        </is>
      </c>
      <c r="E299" s="7" t="inlineStr">
        <is>
          <t>Active</t>
        </is>
      </c>
    </row>
    <row r="300" ht="15" customHeight="1" s="5">
      <c r="A300" s="7" t="inlineStr">
        <is>
          <t>PRJ025</t>
        </is>
      </c>
      <c r="B300" s="7" t="inlineStr">
        <is>
          <t>Dec</t>
        </is>
      </c>
      <c r="C300" s="7" t="n">
        <v>2026</v>
      </c>
      <c r="D300" s="7" t="inlineStr">
        <is>
          <t>Deploy</t>
        </is>
      </c>
      <c r="E300" s="7" t="inlineStr">
        <is>
          <t>Active</t>
        </is>
      </c>
    </row>
    <row r="301" ht="15" customHeight="1" s="5">
      <c r="A301" s="7" t="inlineStr">
        <is>
          <t>PRJ025</t>
        </is>
      </c>
      <c r="B301" s="7" t="inlineStr">
        <is>
          <t>Jan</t>
        </is>
      </c>
      <c r="C301" s="7" t="n">
        <v>2027</v>
      </c>
      <c r="D301" s="7" t="inlineStr">
        <is>
          <t>Discovery</t>
        </is>
      </c>
      <c r="E301" s="7" t="inlineStr">
        <is>
          <t>Active</t>
        </is>
      </c>
    </row>
    <row r="302" ht="15" customHeight="1" s="5">
      <c r="A302" s="7" t="inlineStr">
        <is>
          <t>PRJ025</t>
        </is>
      </c>
      <c r="B302" s="7" t="inlineStr">
        <is>
          <t>Feb</t>
        </is>
      </c>
      <c r="C302" s="7" t="n">
        <v>2027</v>
      </c>
      <c r="D302" s="7" t="inlineStr">
        <is>
          <t>Test</t>
        </is>
      </c>
      <c r="E302" s="7" t="inlineStr">
        <is>
          <t>Active</t>
        </is>
      </c>
    </row>
    <row r="303" ht="15" customHeight="1" s="5">
      <c r="A303" s="7" t="inlineStr">
        <is>
          <t>PRJ026</t>
        </is>
      </c>
      <c r="B303" s="7" t="inlineStr">
        <is>
          <t>Oct</t>
        </is>
      </c>
      <c r="C303" s="7" t="n">
        <v>2025</v>
      </c>
      <c r="D303" s="7" t="inlineStr">
        <is>
          <t>Build</t>
        </is>
      </c>
      <c r="E303" s="7" t="inlineStr">
        <is>
          <t>Active</t>
        </is>
      </c>
    </row>
    <row r="304" ht="15" customHeight="1" s="5">
      <c r="A304" s="7" t="inlineStr">
        <is>
          <t>PRJ026</t>
        </is>
      </c>
      <c r="B304" s="7" t="inlineStr">
        <is>
          <t>Nov</t>
        </is>
      </c>
      <c r="C304" s="7" t="n">
        <v>2025</v>
      </c>
      <c r="D304" s="7" t="inlineStr">
        <is>
          <t>Build</t>
        </is>
      </c>
      <c r="E304" s="7" t="inlineStr">
        <is>
          <t>Active</t>
        </is>
      </c>
    </row>
    <row r="305" ht="15" customHeight="1" s="5">
      <c r="A305" s="7" t="inlineStr">
        <is>
          <t>PRJ026</t>
        </is>
      </c>
      <c r="B305" s="7" t="inlineStr">
        <is>
          <t>Dec</t>
        </is>
      </c>
      <c r="C305" s="7" t="n">
        <v>2025</v>
      </c>
      <c r="D305" s="7" t="inlineStr">
        <is>
          <t>Deploy</t>
        </is>
      </c>
      <c r="E305" s="7" t="inlineStr">
        <is>
          <t>Active</t>
        </is>
      </c>
    </row>
    <row r="306" ht="15" customHeight="1" s="5">
      <c r="A306" s="7" t="inlineStr">
        <is>
          <t>PRJ026</t>
        </is>
      </c>
      <c r="B306" s="7" t="inlineStr">
        <is>
          <t>Jan</t>
        </is>
      </c>
      <c r="C306" s="7" t="n">
        <v>2026</v>
      </c>
      <c r="D306" s="7" t="inlineStr">
        <is>
          <t>Test</t>
        </is>
      </c>
      <c r="E306" s="7" t="inlineStr">
        <is>
          <t>Active</t>
        </is>
      </c>
    </row>
    <row r="307" ht="15" customHeight="1" s="5">
      <c r="A307" s="7" t="inlineStr">
        <is>
          <t>PRJ026</t>
        </is>
      </c>
      <c r="B307" s="7" t="inlineStr">
        <is>
          <t>Feb</t>
        </is>
      </c>
      <c r="C307" s="7" t="n">
        <v>2026</v>
      </c>
      <c r="D307" s="7" t="inlineStr">
        <is>
          <t>Build</t>
        </is>
      </c>
      <c r="E307" s="7" t="inlineStr">
        <is>
          <t>Active</t>
        </is>
      </c>
    </row>
    <row r="308" ht="15" customHeight="1" s="5">
      <c r="A308" s="7" t="inlineStr">
        <is>
          <t>PRJ026</t>
        </is>
      </c>
      <c r="B308" s="7" t="inlineStr">
        <is>
          <t>Mar</t>
        </is>
      </c>
      <c r="C308" s="7" t="n">
        <v>2026</v>
      </c>
      <c r="D308" s="7" t="inlineStr">
        <is>
          <t>Discovery</t>
        </is>
      </c>
      <c r="E308" s="7" t="inlineStr">
        <is>
          <t>Active</t>
        </is>
      </c>
    </row>
    <row r="309" ht="15" customHeight="1" s="5">
      <c r="A309" s="7" t="inlineStr">
        <is>
          <t>PRJ026</t>
        </is>
      </c>
      <c r="B309" s="7" t="inlineStr">
        <is>
          <t>Apr</t>
        </is>
      </c>
      <c r="C309" s="7" t="n">
        <v>2026</v>
      </c>
      <c r="D309" s="7" t="inlineStr">
        <is>
          <t>Design</t>
        </is>
      </c>
      <c r="E309" s="7" t="inlineStr">
        <is>
          <t>Active</t>
        </is>
      </c>
    </row>
    <row r="310" ht="15" customHeight="1" s="5">
      <c r="A310" s="7" t="inlineStr">
        <is>
          <t>PRJ026</t>
        </is>
      </c>
      <c r="B310" s="7" t="inlineStr">
        <is>
          <t>May</t>
        </is>
      </c>
      <c r="C310" s="7" t="n">
        <v>2026</v>
      </c>
      <c r="D310" s="7" t="inlineStr">
        <is>
          <t>Test</t>
        </is>
      </c>
      <c r="E310" s="7" t="inlineStr">
        <is>
          <t>Active</t>
        </is>
      </c>
    </row>
    <row r="311" ht="15" customHeight="1" s="5">
      <c r="A311" s="7" t="inlineStr">
        <is>
          <t>PRJ026</t>
        </is>
      </c>
      <c r="B311" s="7" t="inlineStr">
        <is>
          <t>Jun</t>
        </is>
      </c>
      <c r="C311" s="7" t="n">
        <v>2026</v>
      </c>
      <c r="D311" s="7" t="inlineStr">
        <is>
          <t>Discovery</t>
        </is>
      </c>
      <c r="E311" s="7" t="inlineStr">
        <is>
          <t>Active</t>
        </is>
      </c>
    </row>
    <row r="312" ht="15" customHeight="1" s="5">
      <c r="A312" s="7" t="inlineStr">
        <is>
          <t>PRJ026</t>
        </is>
      </c>
      <c r="B312" s="7" t="inlineStr">
        <is>
          <t>Jul</t>
        </is>
      </c>
      <c r="C312" s="7" t="n">
        <v>2026</v>
      </c>
      <c r="D312" s="7" t="inlineStr">
        <is>
          <t>Deploy</t>
        </is>
      </c>
      <c r="E312" s="7" t="inlineStr">
        <is>
          <t>Active</t>
        </is>
      </c>
    </row>
    <row r="313" ht="15" customHeight="1" s="5">
      <c r="A313" s="7" t="inlineStr">
        <is>
          <t>PRJ027</t>
        </is>
      </c>
      <c r="B313" s="7" t="inlineStr">
        <is>
          <t>May</t>
        </is>
      </c>
      <c r="C313" s="7" t="n">
        <v>2025</v>
      </c>
      <c r="D313" s="7" t="inlineStr">
        <is>
          <t>Deploy</t>
        </is>
      </c>
      <c r="E313" s="7" t="inlineStr">
        <is>
          <t>Active</t>
        </is>
      </c>
    </row>
    <row r="314" ht="15" customHeight="1" s="5">
      <c r="A314" s="7" t="inlineStr">
        <is>
          <t>PRJ027</t>
        </is>
      </c>
      <c r="B314" s="7" t="inlineStr">
        <is>
          <t>Jun</t>
        </is>
      </c>
      <c r="C314" s="7" t="n">
        <v>2025</v>
      </c>
      <c r="D314" s="7" t="inlineStr">
        <is>
          <t>Build</t>
        </is>
      </c>
      <c r="E314" s="7" t="inlineStr">
        <is>
          <t>Active</t>
        </is>
      </c>
    </row>
    <row r="315" ht="15" customHeight="1" s="5">
      <c r="A315" s="7" t="inlineStr">
        <is>
          <t>PRJ027</t>
        </is>
      </c>
      <c r="B315" s="7" t="inlineStr">
        <is>
          <t>Jul</t>
        </is>
      </c>
      <c r="C315" s="7" t="n">
        <v>2025</v>
      </c>
      <c r="D315" s="7" t="inlineStr">
        <is>
          <t>Deploy</t>
        </is>
      </c>
      <c r="E315" s="7" t="inlineStr">
        <is>
          <t>Active</t>
        </is>
      </c>
    </row>
    <row r="316" ht="15" customHeight="1" s="5">
      <c r="A316" s="7" t="inlineStr">
        <is>
          <t>PRJ027</t>
        </is>
      </c>
      <c r="B316" s="7" t="inlineStr">
        <is>
          <t>Aug</t>
        </is>
      </c>
      <c r="C316" s="7" t="n">
        <v>2025</v>
      </c>
      <c r="D316" s="7" t="inlineStr">
        <is>
          <t>Design</t>
        </is>
      </c>
      <c r="E316" s="7" t="inlineStr">
        <is>
          <t>Active</t>
        </is>
      </c>
    </row>
    <row r="317" ht="15" customHeight="1" s="5">
      <c r="A317" s="7" t="inlineStr">
        <is>
          <t>PRJ027</t>
        </is>
      </c>
      <c r="B317" s="7" t="inlineStr">
        <is>
          <t>Sep</t>
        </is>
      </c>
      <c r="C317" s="7" t="n">
        <v>2025</v>
      </c>
      <c r="D317" s="7" t="inlineStr">
        <is>
          <t>Discovery</t>
        </is>
      </c>
      <c r="E317" s="7" t="inlineStr">
        <is>
          <t>Active</t>
        </is>
      </c>
    </row>
    <row r="318" ht="15" customHeight="1" s="5">
      <c r="A318" s="7" t="inlineStr">
        <is>
          <t>PRJ027</t>
        </is>
      </c>
      <c r="B318" s="7" t="inlineStr">
        <is>
          <t>Oct</t>
        </is>
      </c>
      <c r="C318" s="7" t="n">
        <v>2025</v>
      </c>
      <c r="D318" s="7" t="inlineStr">
        <is>
          <t>Test</t>
        </is>
      </c>
      <c r="E318" s="7" t="inlineStr">
        <is>
          <t>Active</t>
        </is>
      </c>
    </row>
    <row r="319" ht="15" customHeight="1" s="5">
      <c r="A319" s="7" t="inlineStr">
        <is>
          <t>PRJ027</t>
        </is>
      </c>
      <c r="B319" s="7" t="inlineStr">
        <is>
          <t>Nov</t>
        </is>
      </c>
      <c r="C319" s="7" t="n">
        <v>2025</v>
      </c>
      <c r="D319" s="7" t="inlineStr">
        <is>
          <t>Build</t>
        </is>
      </c>
      <c r="E319" s="7" t="inlineStr">
        <is>
          <t>Active</t>
        </is>
      </c>
    </row>
    <row r="320" ht="15" customHeight="1" s="5">
      <c r="A320" s="7" t="inlineStr">
        <is>
          <t>PRJ027</t>
        </is>
      </c>
      <c r="B320" s="7" t="inlineStr">
        <is>
          <t>Dec</t>
        </is>
      </c>
      <c r="C320" s="7" t="n">
        <v>2025</v>
      </c>
      <c r="D320" s="7" t="inlineStr">
        <is>
          <t>Test</t>
        </is>
      </c>
      <c r="E320" s="7" t="inlineStr">
        <is>
          <t>Active</t>
        </is>
      </c>
    </row>
    <row r="321" ht="15" customHeight="1" s="5">
      <c r="A321" s="7" t="inlineStr">
        <is>
          <t>PRJ027</t>
        </is>
      </c>
      <c r="B321" s="7" t="inlineStr">
        <is>
          <t>Jan</t>
        </is>
      </c>
      <c r="C321" s="7" t="n">
        <v>2026</v>
      </c>
      <c r="D321" s="7" t="inlineStr">
        <is>
          <t>Discovery</t>
        </is>
      </c>
      <c r="E321" s="7" t="inlineStr">
        <is>
          <t>Active</t>
        </is>
      </c>
    </row>
    <row r="322" ht="15" customHeight="1" s="5">
      <c r="A322" s="7" t="inlineStr">
        <is>
          <t>PRJ027</t>
        </is>
      </c>
      <c r="B322" s="7" t="inlineStr">
        <is>
          <t>Feb</t>
        </is>
      </c>
      <c r="C322" s="7" t="n">
        <v>2026</v>
      </c>
      <c r="D322" s="7" t="inlineStr">
        <is>
          <t>Design</t>
        </is>
      </c>
      <c r="E322" s="7" t="inlineStr">
        <is>
          <t>Active</t>
        </is>
      </c>
    </row>
    <row r="323" ht="15" customHeight="1" s="5">
      <c r="A323" s="7" t="inlineStr">
        <is>
          <t>PRJ028</t>
        </is>
      </c>
      <c r="B323" s="7" t="inlineStr">
        <is>
          <t>Feb</t>
        </is>
      </c>
      <c r="C323" s="7" t="n">
        <v>2025</v>
      </c>
      <c r="D323" s="7" t="inlineStr">
        <is>
          <t>Discovery</t>
        </is>
      </c>
      <c r="E323" s="7" t="inlineStr">
        <is>
          <t>Active</t>
        </is>
      </c>
    </row>
    <row r="324" ht="15" customHeight="1" s="5">
      <c r="A324" s="7" t="inlineStr">
        <is>
          <t>PRJ028</t>
        </is>
      </c>
      <c r="B324" s="7" t="inlineStr">
        <is>
          <t>Mar</t>
        </is>
      </c>
      <c r="C324" s="7" t="n">
        <v>2025</v>
      </c>
      <c r="D324" s="7" t="inlineStr">
        <is>
          <t>Discovery</t>
        </is>
      </c>
      <c r="E324" s="7" t="inlineStr">
        <is>
          <t>Active</t>
        </is>
      </c>
    </row>
    <row r="325" ht="15" customHeight="1" s="5">
      <c r="A325" s="7" t="inlineStr">
        <is>
          <t>PRJ028</t>
        </is>
      </c>
      <c r="B325" s="7" t="inlineStr">
        <is>
          <t>Apr</t>
        </is>
      </c>
      <c r="C325" s="7" t="n">
        <v>2025</v>
      </c>
      <c r="D325" s="7" t="inlineStr">
        <is>
          <t>Build</t>
        </is>
      </c>
      <c r="E325" s="7" t="inlineStr">
        <is>
          <t>Active</t>
        </is>
      </c>
    </row>
    <row r="326" ht="15" customHeight="1" s="5">
      <c r="A326" s="7" t="inlineStr">
        <is>
          <t>PRJ028</t>
        </is>
      </c>
      <c r="B326" s="7" t="inlineStr">
        <is>
          <t>May</t>
        </is>
      </c>
      <c r="C326" s="7" t="n">
        <v>2025</v>
      </c>
      <c r="D326" s="7" t="inlineStr">
        <is>
          <t>Test</t>
        </is>
      </c>
      <c r="E326" s="7" t="inlineStr">
        <is>
          <t>Active</t>
        </is>
      </c>
    </row>
    <row r="327" ht="15" customHeight="1" s="5">
      <c r="A327" s="7" t="inlineStr">
        <is>
          <t>PRJ028</t>
        </is>
      </c>
      <c r="B327" s="7" t="inlineStr">
        <is>
          <t>Jun</t>
        </is>
      </c>
      <c r="C327" s="7" t="n">
        <v>2025</v>
      </c>
      <c r="D327" s="7" t="inlineStr">
        <is>
          <t>Discovery</t>
        </is>
      </c>
      <c r="E327" s="7" t="inlineStr">
        <is>
          <t>Active</t>
        </is>
      </c>
    </row>
    <row r="328" ht="15" customHeight="1" s="5">
      <c r="A328" s="7" t="inlineStr">
        <is>
          <t>PRJ028</t>
        </is>
      </c>
      <c r="B328" s="7" t="inlineStr">
        <is>
          <t>Jul</t>
        </is>
      </c>
      <c r="C328" s="7" t="n">
        <v>2025</v>
      </c>
      <c r="D328" s="7" t="inlineStr">
        <is>
          <t>Discovery</t>
        </is>
      </c>
      <c r="E328" s="7" t="inlineStr">
        <is>
          <t>Active</t>
        </is>
      </c>
    </row>
    <row r="329" ht="15" customHeight="1" s="5">
      <c r="A329" s="7" t="inlineStr">
        <is>
          <t>PRJ028</t>
        </is>
      </c>
      <c r="B329" s="7" t="inlineStr">
        <is>
          <t>Aug</t>
        </is>
      </c>
      <c r="C329" s="7" t="n">
        <v>2025</v>
      </c>
      <c r="D329" s="7" t="inlineStr">
        <is>
          <t>Design</t>
        </is>
      </c>
      <c r="E329" s="7" t="inlineStr">
        <is>
          <t>Active</t>
        </is>
      </c>
    </row>
    <row r="330" ht="15" customHeight="1" s="5">
      <c r="A330" s="7" t="inlineStr">
        <is>
          <t>PRJ028</t>
        </is>
      </c>
      <c r="B330" s="7" t="inlineStr">
        <is>
          <t>Sep</t>
        </is>
      </c>
      <c r="C330" s="7" t="n">
        <v>2025</v>
      </c>
      <c r="D330" s="7" t="inlineStr">
        <is>
          <t>Deploy</t>
        </is>
      </c>
      <c r="E330" s="7" t="inlineStr">
        <is>
          <t>Active</t>
        </is>
      </c>
    </row>
    <row r="331" ht="15" customHeight="1" s="5">
      <c r="A331" s="7" t="inlineStr">
        <is>
          <t>PRJ028</t>
        </is>
      </c>
      <c r="B331" s="7" t="inlineStr">
        <is>
          <t>Oct</t>
        </is>
      </c>
      <c r="C331" s="7" t="n">
        <v>2025</v>
      </c>
      <c r="D331" s="7" t="inlineStr">
        <is>
          <t>Design</t>
        </is>
      </c>
      <c r="E331" s="7" t="inlineStr">
        <is>
          <t>Active</t>
        </is>
      </c>
    </row>
    <row r="332" ht="15" customHeight="1" s="5">
      <c r="A332" s="7" t="inlineStr">
        <is>
          <t>PRJ028</t>
        </is>
      </c>
      <c r="B332" s="7" t="inlineStr">
        <is>
          <t>Nov</t>
        </is>
      </c>
      <c r="C332" s="7" t="n">
        <v>2025</v>
      </c>
      <c r="D332" s="7" t="inlineStr">
        <is>
          <t>Test</t>
        </is>
      </c>
      <c r="E332" s="7" t="inlineStr">
        <is>
          <t>Active</t>
        </is>
      </c>
    </row>
    <row r="333" ht="15" customHeight="1" s="5">
      <c r="A333" s="7" t="inlineStr">
        <is>
          <t>PRJ028</t>
        </is>
      </c>
      <c r="B333" s="7" t="inlineStr">
        <is>
          <t>Dec</t>
        </is>
      </c>
      <c r="C333" s="7" t="n">
        <v>2025</v>
      </c>
      <c r="D333" s="7" t="inlineStr">
        <is>
          <t>Test</t>
        </is>
      </c>
      <c r="E333" s="7" t="inlineStr">
        <is>
          <t>Active</t>
        </is>
      </c>
    </row>
    <row r="334" ht="15" customHeight="1" s="5">
      <c r="A334" s="7" t="inlineStr">
        <is>
          <t>PRJ028</t>
        </is>
      </c>
      <c r="B334" s="7" t="inlineStr">
        <is>
          <t>Jan</t>
        </is>
      </c>
      <c r="C334" s="7" t="n">
        <v>2026</v>
      </c>
      <c r="D334" s="7" t="inlineStr">
        <is>
          <t>Build</t>
        </is>
      </c>
      <c r="E334" s="7" t="inlineStr">
        <is>
          <t>Active</t>
        </is>
      </c>
    </row>
    <row r="335" ht="15" customHeight="1" s="5">
      <c r="A335" s="7" t="inlineStr">
        <is>
          <t>PRJ028</t>
        </is>
      </c>
      <c r="B335" s="7" t="inlineStr">
        <is>
          <t>Feb</t>
        </is>
      </c>
      <c r="C335" s="7" t="n">
        <v>2026</v>
      </c>
      <c r="D335" s="7" t="inlineStr">
        <is>
          <t>Deploy</t>
        </is>
      </c>
      <c r="E335" s="7" t="inlineStr">
        <is>
          <t>Active</t>
        </is>
      </c>
    </row>
    <row r="336" ht="15" customHeight="1" s="5">
      <c r="A336" s="7" t="inlineStr">
        <is>
          <t>PRJ028</t>
        </is>
      </c>
      <c r="B336" s="7" t="inlineStr">
        <is>
          <t>Mar</t>
        </is>
      </c>
      <c r="C336" s="7" t="n">
        <v>2026</v>
      </c>
      <c r="D336" s="7" t="inlineStr">
        <is>
          <t>Test</t>
        </is>
      </c>
      <c r="E336" s="7" t="inlineStr">
        <is>
          <t>Active</t>
        </is>
      </c>
    </row>
    <row r="337" ht="15" customHeight="1" s="5">
      <c r="A337" s="7" t="inlineStr">
        <is>
          <t>PRJ028</t>
        </is>
      </c>
      <c r="B337" s="7" t="inlineStr">
        <is>
          <t>Apr</t>
        </is>
      </c>
      <c r="C337" s="7" t="n">
        <v>2026</v>
      </c>
      <c r="D337" s="7" t="inlineStr">
        <is>
          <t>Deploy</t>
        </is>
      </c>
      <c r="E337" s="7" t="inlineStr">
        <is>
          <t>Active</t>
        </is>
      </c>
    </row>
    <row r="338" ht="15" customHeight="1" s="5">
      <c r="A338" s="7" t="inlineStr">
        <is>
          <t>PRJ028</t>
        </is>
      </c>
      <c r="B338" s="7" t="inlineStr">
        <is>
          <t>May</t>
        </is>
      </c>
      <c r="C338" s="7" t="n">
        <v>2026</v>
      </c>
      <c r="D338" s="7" t="inlineStr">
        <is>
          <t>Design</t>
        </is>
      </c>
      <c r="E338" s="7" t="inlineStr">
        <is>
          <t>Active</t>
        </is>
      </c>
    </row>
    <row r="339" ht="15" customHeight="1" s="5">
      <c r="A339" s="7" t="inlineStr">
        <is>
          <t>PRJ028</t>
        </is>
      </c>
      <c r="B339" s="7" t="inlineStr">
        <is>
          <t>Jun</t>
        </is>
      </c>
      <c r="C339" s="7" t="n">
        <v>2026</v>
      </c>
      <c r="D339" s="7" t="inlineStr">
        <is>
          <t>Test</t>
        </is>
      </c>
      <c r="E339" s="7" t="inlineStr">
        <is>
          <t>Active</t>
        </is>
      </c>
    </row>
    <row r="340" ht="15" customHeight="1" s="5">
      <c r="A340" s="7" t="inlineStr">
        <is>
          <t>PRJ028</t>
        </is>
      </c>
      <c r="B340" s="7" t="inlineStr">
        <is>
          <t>Jul</t>
        </is>
      </c>
      <c r="C340" s="7" t="n">
        <v>2026</v>
      </c>
      <c r="D340" s="7" t="inlineStr">
        <is>
          <t>Discovery</t>
        </is>
      </c>
      <c r="E340" s="7" t="inlineStr">
        <is>
          <t>Active</t>
        </is>
      </c>
    </row>
    <row r="341" ht="15" customHeight="1" s="5">
      <c r="A341" s="7" t="inlineStr">
        <is>
          <t>PRJ029</t>
        </is>
      </c>
      <c r="B341" s="7" t="inlineStr">
        <is>
          <t>Dec</t>
        </is>
      </c>
      <c r="C341" s="7" t="n">
        <v>2025</v>
      </c>
      <c r="D341" s="7" t="inlineStr">
        <is>
          <t>Test</t>
        </is>
      </c>
      <c r="E341" s="7" t="inlineStr">
        <is>
          <t>Active</t>
        </is>
      </c>
    </row>
    <row r="342" ht="15" customHeight="1" s="5">
      <c r="A342" s="7" t="inlineStr">
        <is>
          <t>PRJ029</t>
        </is>
      </c>
      <c r="B342" s="7" t="inlineStr">
        <is>
          <t>Jan</t>
        </is>
      </c>
      <c r="C342" s="7" t="n">
        <v>2026</v>
      </c>
      <c r="D342" s="7" t="inlineStr">
        <is>
          <t>Deploy</t>
        </is>
      </c>
      <c r="E342" s="7" t="inlineStr">
        <is>
          <t>Active</t>
        </is>
      </c>
    </row>
    <row r="343" ht="15" customHeight="1" s="5">
      <c r="A343" s="7" t="inlineStr">
        <is>
          <t>PRJ029</t>
        </is>
      </c>
      <c r="B343" s="7" t="inlineStr">
        <is>
          <t>Feb</t>
        </is>
      </c>
      <c r="C343" s="7" t="n">
        <v>2026</v>
      </c>
      <c r="D343" s="7" t="inlineStr">
        <is>
          <t>Test</t>
        </is>
      </c>
      <c r="E343" s="7" t="inlineStr">
        <is>
          <t>Active</t>
        </is>
      </c>
    </row>
    <row r="344" ht="15" customHeight="1" s="5">
      <c r="A344" s="7" t="inlineStr">
        <is>
          <t>PRJ029</t>
        </is>
      </c>
      <c r="B344" s="7" t="inlineStr">
        <is>
          <t>Mar</t>
        </is>
      </c>
      <c r="C344" s="7" t="n">
        <v>2026</v>
      </c>
      <c r="D344" s="7" t="inlineStr">
        <is>
          <t>Build</t>
        </is>
      </c>
      <c r="E344" s="7" t="inlineStr">
        <is>
          <t>Active</t>
        </is>
      </c>
    </row>
    <row r="345" ht="15" customHeight="1" s="5">
      <c r="A345" s="7" t="inlineStr">
        <is>
          <t>PRJ029</t>
        </is>
      </c>
      <c r="B345" s="7" t="inlineStr">
        <is>
          <t>Apr</t>
        </is>
      </c>
      <c r="C345" s="7" t="n">
        <v>2026</v>
      </c>
      <c r="D345" s="7" t="inlineStr">
        <is>
          <t>Discovery</t>
        </is>
      </c>
      <c r="E345" s="7" t="inlineStr">
        <is>
          <t>Active</t>
        </is>
      </c>
    </row>
    <row r="346" ht="15" customHeight="1" s="5">
      <c r="A346" s="7" t="inlineStr">
        <is>
          <t>PRJ029</t>
        </is>
      </c>
      <c r="B346" s="7" t="inlineStr">
        <is>
          <t>May</t>
        </is>
      </c>
      <c r="C346" s="7" t="n">
        <v>2026</v>
      </c>
      <c r="D346" s="7" t="inlineStr">
        <is>
          <t>Build</t>
        </is>
      </c>
      <c r="E346" s="7" t="inlineStr">
        <is>
          <t>Active</t>
        </is>
      </c>
    </row>
    <row r="347" ht="15" customHeight="1" s="5">
      <c r="A347" s="7" t="inlineStr">
        <is>
          <t>PRJ029</t>
        </is>
      </c>
      <c r="B347" s="7" t="inlineStr">
        <is>
          <t>Jun</t>
        </is>
      </c>
      <c r="C347" s="7" t="n">
        <v>2026</v>
      </c>
      <c r="D347" s="7" t="inlineStr">
        <is>
          <t>Design</t>
        </is>
      </c>
      <c r="E347" s="7" t="inlineStr">
        <is>
          <t>Active</t>
        </is>
      </c>
    </row>
    <row r="348" ht="15" customHeight="1" s="5">
      <c r="A348" s="7" t="inlineStr">
        <is>
          <t>PRJ029</t>
        </is>
      </c>
      <c r="B348" s="7" t="inlineStr">
        <is>
          <t>Jul</t>
        </is>
      </c>
      <c r="C348" s="7" t="n">
        <v>2026</v>
      </c>
      <c r="D348" s="7" t="inlineStr">
        <is>
          <t>Test</t>
        </is>
      </c>
      <c r="E348" s="7" t="inlineStr">
        <is>
          <t>Active</t>
        </is>
      </c>
    </row>
    <row r="349" ht="15" customHeight="1" s="5">
      <c r="A349" s="7" t="inlineStr">
        <is>
          <t>PRJ029</t>
        </is>
      </c>
      <c r="B349" s="7" t="inlineStr">
        <is>
          <t>Aug</t>
        </is>
      </c>
      <c r="C349" s="7" t="n">
        <v>2026</v>
      </c>
      <c r="D349" s="7" t="inlineStr">
        <is>
          <t>Test</t>
        </is>
      </c>
      <c r="E349" s="7" t="inlineStr">
        <is>
          <t>Active</t>
        </is>
      </c>
    </row>
    <row r="350" ht="15" customHeight="1" s="5">
      <c r="A350" s="7" t="inlineStr">
        <is>
          <t>PRJ029</t>
        </is>
      </c>
      <c r="B350" s="7" t="inlineStr">
        <is>
          <t>Sep</t>
        </is>
      </c>
      <c r="C350" s="7" t="n">
        <v>2026</v>
      </c>
      <c r="D350" s="7" t="inlineStr">
        <is>
          <t>Design</t>
        </is>
      </c>
      <c r="E350" s="7" t="inlineStr">
        <is>
          <t>Active</t>
        </is>
      </c>
    </row>
    <row r="351" ht="15" customHeight="1" s="5">
      <c r="A351" s="7" t="inlineStr">
        <is>
          <t>PRJ029</t>
        </is>
      </c>
      <c r="B351" s="7" t="inlineStr">
        <is>
          <t>Oct</t>
        </is>
      </c>
      <c r="C351" s="7" t="n">
        <v>2026</v>
      </c>
      <c r="D351" s="7" t="inlineStr">
        <is>
          <t>Build</t>
        </is>
      </c>
      <c r="E351" s="7" t="inlineStr">
        <is>
          <t>Active</t>
        </is>
      </c>
    </row>
    <row r="352" ht="15" customHeight="1" s="5">
      <c r="A352" s="7" t="inlineStr">
        <is>
          <t>PRJ029</t>
        </is>
      </c>
      <c r="B352" s="7" t="inlineStr">
        <is>
          <t>Nov</t>
        </is>
      </c>
      <c r="C352" s="7" t="n">
        <v>2026</v>
      </c>
      <c r="D352" s="7" t="inlineStr">
        <is>
          <t>Discovery</t>
        </is>
      </c>
      <c r="E352" s="7" t="inlineStr">
        <is>
          <t>Active</t>
        </is>
      </c>
    </row>
    <row r="353" ht="15" customHeight="1" s="5">
      <c r="A353" s="7" t="inlineStr">
        <is>
          <t>PRJ030</t>
        </is>
      </c>
      <c r="B353" s="7" t="inlineStr">
        <is>
          <t>Jun</t>
        </is>
      </c>
      <c r="C353" s="7" t="n">
        <v>2025</v>
      </c>
      <c r="D353" s="7" t="inlineStr">
        <is>
          <t>Build</t>
        </is>
      </c>
      <c r="E353" s="7" t="inlineStr">
        <is>
          <t>Active</t>
        </is>
      </c>
    </row>
    <row r="354" ht="15" customHeight="1" s="5">
      <c r="A354" s="7" t="inlineStr">
        <is>
          <t>PRJ030</t>
        </is>
      </c>
      <c r="B354" s="7" t="inlineStr">
        <is>
          <t>Jul</t>
        </is>
      </c>
      <c r="C354" s="7" t="n">
        <v>2025</v>
      </c>
      <c r="D354" s="7" t="inlineStr">
        <is>
          <t>Deploy</t>
        </is>
      </c>
      <c r="E354" s="7" t="inlineStr">
        <is>
          <t>Active</t>
        </is>
      </c>
    </row>
    <row r="355" ht="15" customHeight="1" s="5">
      <c r="A355" s="7" t="inlineStr">
        <is>
          <t>PRJ030</t>
        </is>
      </c>
      <c r="B355" s="7" t="inlineStr">
        <is>
          <t>Aug</t>
        </is>
      </c>
      <c r="C355" s="7" t="n">
        <v>2025</v>
      </c>
      <c r="D355" s="7" t="inlineStr">
        <is>
          <t>Build</t>
        </is>
      </c>
      <c r="E355" s="7" t="inlineStr">
        <is>
          <t>Active</t>
        </is>
      </c>
    </row>
    <row r="356" ht="15" customHeight="1" s="5">
      <c r="A356" s="7" t="inlineStr">
        <is>
          <t>PRJ030</t>
        </is>
      </c>
      <c r="B356" s="7" t="inlineStr">
        <is>
          <t>Sep</t>
        </is>
      </c>
      <c r="C356" s="7" t="n">
        <v>2025</v>
      </c>
      <c r="D356" s="7" t="inlineStr">
        <is>
          <t>Discovery</t>
        </is>
      </c>
      <c r="E356" s="7" t="inlineStr">
        <is>
          <t>Active</t>
        </is>
      </c>
    </row>
    <row r="357" ht="15" customHeight="1" s="5">
      <c r="A357" s="7" t="inlineStr">
        <is>
          <t>PRJ030</t>
        </is>
      </c>
      <c r="B357" s="7" t="inlineStr">
        <is>
          <t>Oct</t>
        </is>
      </c>
      <c r="C357" s="7" t="n">
        <v>2025</v>
      </c>
      <c r="D357" s="7" t="inlineStr">
        <is>
          <t>Test</t>
        </is>
      </c>
      <c r="E357" s="7" t="inlineStr">
        <is>
          <t>Active</t>
        </is>
      </c>
    </row>
    <row r="358" ht="15" customHeight="1" s="5">
      <c r="A358" s="7" t="inlineStr">
        <is>
          <t>PRJ030</t>
        </is>
      </c>
      <c r="B358" s="7" t="inlineStr">
        <is>
          <t>Nov</t>
        </is>
      </c>
      <c r="C358" s="7" t="n">
        <v>2025</v>
      </c>
      <c r="D358" s="7" t="inlineStr">
        <is>
          <t>Build</t>
        </is>
      </c>
      <c r="E358" s="7" t="inlineStr">
        <is>
          <t>Active</t>
        </is>
      </c>
    </row>
    <row r="359" ht="15" customHeight="1" s="5">
      <c r="A359" s="7" t="inlineStr">
        <is>
          <t>PRJ030</t>
        </is>
      </c>
      <c r="B359" s="7" t="inlineStr">
        <is>
          <t>Dec</t>
        </is>
      </c>
      <c r="C359" s="7" t="n">
        <v>2025</v>
      </c>
      <c r="D359" s="7" t="inlineStr">
        <is>
          <t>Design</t>
        </is>
      </c>
      <c r="E359" s="7" t="inlineStr">
        <is>
          <t>Active</t>
        </is>
      </c>
    </row>
    <row r="360" ht="15" customHeight="1" s="5">
      <c r="A360" s="7" t="inlineStr">
        <is>
          <t>PRJ030</t>
        </is>
      </c>
      <c r="B360" s="7" t="inlineStr">
        <is>
          <t>Jan</t>
        </is>
      </c>
      <c r="C360" s="7" t="n">
        <v>2026</v>
      </c>
      <c r="D360" s="7" t="inlineStr">
        <is>
          <t>Discovery</t>
        </is>
      </c>
      <c r="E360" s="7" t="inlineStr">
        <is>
          <t>Active</t>
        </is>
      </c>
    </row>
    <row r="361" ht="15" customHeight="1" s="5">
      <c r="A361" s="7" t="inlineStr">
        <is>
          <t>PRJ030</t>
        </is>
      </c>
      <c r="B361" s="7" t="inlineStr">
        <is>
          <t>Feb</t>
        </is>
      </c>
      <c r="C361" s="7" t="n">
        <v>2026</v>
      </c>
      <c r="D361" s="7" t="inlineStr">
        <is>
          <t>Test</t>
        </is>
      </c>
      <c r="E361" s="7" t="inlineStr">
        <is>
          <t>Active</t>
        </is>
      </c>
    </row>
    <row r="362" ht="15" customHeight="1" s="5">
      <c r="A362" s="7" t="inlineStr">
        <is>
          <t>PRJ030</t>
        </is>
      </c>
      <c r="B362" s="7" t="inlineStr">
        <is>
          <t>Mar</t>
        </is>
      </c>
      <c r="C362" s="7" t="n">
        <v>2026</v>
      </c>
      <c r="D362" s="7" t="inlineStr">
        <is>
          <t>Discovery</t>
        </is>
      </c>
      <c r="E362" s="7" t="inlineStr">
        <is>
          <t>Active</t>
        </is>
      </c>
    </row>
    <row r="363" ht="15" customHeight="1" s="5">
      <c r="A363" s="7" t="inlineStr">
        <is>
          <t>PRJ030</t>
        </is>
      </c>
      <c r="B363" s="7" t="inlineStr">
        <is>
          <t>Apr</t>
        </is>
      </c>
      <c r="C363" s="7" t="n">
        <v>2026</v>
      </c>
      <c r="D363" s="7" t="inlineStr">
        <is>
          <t>Design</t>
        </is>
      </c>
      <c r="E363" s="7" t="inlineStr">
        <is>
          <t>Active</t>
        </is>
      </c>
    </row>
    <row r="364" ht="15" customHeight="1" s="5">
      <c r="A364" s="7" t="inlineStr">
        <is>
          <t>PRJ030</t>
        </is>
      </c>
      <c r="B364" s="7" t="inlineStr">
        <is>
          <t>May</t>
        </is>
      </c>
      <c r="C364" s="7" t="n">
        <v>2026</v>
      </c>
      <c r="D364" s="7" t="inlineStr">
        <is>
          <t>Deploy</t>
        </is>
      </c>
      <c r="E364" s="7" t="inlineStr">
        <is>
          <t>Active</t>
        </is>
      </c>
    </row>
    <row r="365" ht="15" customHeight="1" s="5">
      <c r="A365" s="7" t="inlineStr">
        <is>
          <t>PRJ030</t>
        </is>
      </c>
      <c r="B365" s="7" t="inlineStr">
        <is>
          <t>Jun</t>
        </is>
      </c>
      <c r="C365" s="7" t="n">
        <v>2026</v>
      </c>
      <c r="D365" s="7" t="inlineStr">
        <is>
          <t>Discovery</t>
        </is>
      </c>
      <c r="E365" s="7" t="inlineStr">
        <is>
          <t>Active</t>
        </is>
      </c>
    </row>
    <row r="366" ht="15" customHeight="1" s="5">
      <c r="A366" s="7" t="inlineStr">
        <is>
          <t>PRJ030</t>
        </is>
      </c>
      <c r="B366" s="7" t="inlineStr">
        <is>
          <t>Jul</t>
        </is>
      </c>
      <c r="C366" s="7" t="n">
        <v>2026</v>
      </c>
      <c r="D366" s="7" t="inlineStr">
        <is>
          <t>Discovery</t>
        </is>
      </c>
      <c r="E366" s="7" t="inlineStr">
        <is>
          <t>Active</t>
        </is>
      </c>
    </row>
    <row r="367" ht="15" customHeight="1" s="5">
      <c r="A367" s="7" t="inlineStr">
        <is>
          <t>PRJ030</t>
        </is>
      </c>
      <c r="B367" s="7" t="inlineStr">
        <is>
          <t>Aug</t>
        </is>
      </c>
      <c r="C367" s="7" t="n">
        <v>2026</v>
      </c>
      <c r="D367" s="7" t="inlineStr">
        <is>
          <t>Build</t>
        </is>
      </c>
      <c r="E367" s="7" t="inlineStr">
        <is>
          <t>Active</t>
        </is>
      </c>
    </row>
    <row r="368" ht="15" customHeight="1" s="5">
      <c r="A368" s="7" t="inlineStr">
        <is>
          <t>PRJ030</t>
        </is>
      </c>
      <c r="B368" s="7" t="inlineStr">
        <is>
          <t>Sep</t>
        </is>
      </c>
      <c r="C368" s="7" t="n">
        <v>2026</v>
      </c>
      <c r="D368" s="7" t="inlineStr">
        <is>
          <t>Design</t>
        </is>
      </c>
      <c r="E368" s="7" t="inlineStr">
        <is>
          <t>Active</t>
        </is>
      </c>
    </row>
    <row r="369" ht="15" customHeight="1" s="5">
      <c r="A369" s="7" t="inlineStr">
        <is>
          <t>PRJ030</t>
        </is>
      </c>
      <c r="B369" s="7" t="inlineStr">
        <is>
          <t>Oct</t>
        </is>
      </c>
      <c r="C369" s="7" t="n">
        <v>2026</v>
      </c>
      <c r="D369" s="7" t="inlineStr">
        <is>
          <t>Design</t>
        </is>
      </c>
      <c r="E369" s="7" t="inlineStr">
        <is>
          <t>Active</t>
        </is>
      </c>
    </row>
    <row r="370" ht="15" customHeight="1" s="5">
      <c r="A370" s="7" t="inlineStr">
        <is>
          <t>PRJ031</t>
        </is>
      </c>
      <c r="B370" s="7" t="inlineStr">
        <is>
          <t>Sep</t>
        </is>
      </c>
      <c r="C370" s="7" t="n">
        <v>2025</v>
      </c>
      <c r="D370" s="7" t="inlineStr">
        <is>
          <t>Deploy</t>
        </is>
      </c>
      <c r="E370" s="7" t="inlineStr">
        <is>
          <t>Pipeline</t>
        </is>
      </c>
    </row>
    <row r="371" ht="15" customHeight="1" s="5">
      <c r="A371" s="7" t="inlineStr">
        <is>
          <t>PRJ031</t>
        </is>
      </c>
      <c r="B371" s="7" t="inlineStr">
        <is>
          <t>Oct</t>
        </is>
      </c>
      <c r="C371" s="7" t="n">
        <v>2025</v>
      </c>
      <c r="D371" s="7" t="inlineStr">
        <is>
          <t>Design</t>
        </is>
      </c>
      <c r="E371" s="7" t="inlineStr">
        <is>
          <t>Pipeline</t>
        </is>
      </c>
    </row>
    <row r="372" ht="15" customHeight="1" s="5">
      <c r="A372" s="7" t="inlineStr">
        <is>
          <t>PRJ031</t>
        </is>
      </c>
      <c r="B372" s="7" t="inlineStr">
        <is>
          <t>Nov</t>
        </is>
      </c>
      <c r="C372" s="7" t="n">
        <v>2025</v>
      </c>
      <c r="D372" s="7" t="inlineStr">
        <is>
          <t>Discovery</t>
        </is>
      </c>
      <c r="E372" s="7" t="inlineStr">
        <is>
          <t>Pipeline</t>
        </is>
      </c>
    </row>
    <row r="373" ht="15" customHeight="1" s="5">
      <c r="A373" s="7" t="inlineStr">
        <is>
          <t>PRJ031</t>
        </is>
      </c>
      <c r="B373" s="7" t="inlineStr">
        <is>
          <t>Dec</t>
        </is>
      </c>
      <c r="C373" s="7" t="n">
        <v>2025</v>
      </c>
      <c r="D373" s="7" t="inlineStr">
        <is>
          <t>Deploy</t>
        </is>
      </c>
      <c r="E373" s="7" t="inlineStr">
        <is>
          <t>Pipeline</t>
        </is>
      </c>
    </row>
    <row r="374" ht="15" customHeight="1" s="5">
      <c r="A374" s="7" t="inlineStr">
        <is>
          <t>PRJ031</t>
        </is>
      </c>
      <c r="B374" s="7" t="inlineStr">
        <is>
          <t>Jan</t>
        </is>
      </c>
      <c r="C374" s="7" t="n">
        <v>2026</v>
      </c>
      <c r="D374" s="7" t="inlineStr">
        <is>
          <t>Design</t>
        </is>
      </c>
      <c r="E374" s="7" t="inlineStr">
        <is>
          <t>Pipeline</t>
        </is>
      </c>
    </row>
    <row r="375" ht="15" customHeight="1" s="5">
      <c r="A375" s="7" t="inlineStr">
        <is>
          <t>PRJ031</t>
        </is>
      </c>
      <c r="B375" s="7" t="inlineStr">
        <is>
          <t>Feb</t>
        </is>
      </c>
      <c r="C375" s="7" t="n">
        <v>2026</v>
      </c>
      <c r="D375" s="7" t="inlineStr">
        <is>
          <t>Deploy</t>
        </is>
      </c>
      <c r="E375" s="7" t="inlineStr">
        <is>
          <t>Pipeline</t>
        </is>
      </c>
    </row>
    <row r="376" ht="15" customHeight="1" s="5">
      <c r="A376" s="7" t="inlineStr">
        <is>
          <t>PRJ031</t>
        </is>
      </c>
      <c r="B376" s="7" t="inlineStr">
        <is>
          <t>Mar</t>
        </is>
      </c>
      <c r="C376" s="7" t="n">
        <v>2026</v>
      </c>
      <c r="D376" s="7" t="inlineStr">
        <is>
          <t>Design</t>
        </is>
      </c>
      <c r="E376" s="7" t="inlineStr">
        <is>
          <t>Pipeline</t>
        </is>
      </c>
    </row>
    <row r="377" ht="15" customHeight="1" s="5">
      <c r="A377" s="7" t="inlineStr">
        <is>
          <t>PRJ031</t>
        </is>
      </c>
      <c r="B377" s="7" t="inlineStr">
        <is>
          <t>Apr</t>
        </is>
      </c>
      <c r="C377" s="7" t="n">
        <v>2026</v>
      </c>
      <c r="D377" s="7" t="inlineStr">
        <is>
          <t>Design</t>
        </is>
      </c>
      <c r="E377" s="7" t="inlineStr">
        <is>
          <t>Pipeline</t>
        </is>
      </c>
    </row>
    <row r="378" ht="15" customHeight="1" s="5">
      <c r="A378" s="7" t="inlineStr">
        <is>
          <t>PRJ031</t>
        </is>
      </c>
      <c r="B378" s="7" t="inlineStr">
        <is>
          <t>May</t>
        </is>
      </c>
      <c r="C378" s="7" t="n">
        <v>2026</v>
      </c>
      <c r="D378" s="7" t="inlineStr">
        <is>
          <t>Build</t>
        </is>
      </c>
      <c r="E378" s="7" t="inlineStr">
        <is>
          <t>Pipeline</t>
        </is>
      </c>
    </row>
    <row r="379" ht="15" customHeight="1" s="5">
      <c r="A379" s="7" t="inlineStr">
        <is>
          <t>PRJ031</t>
        </is>
      </c>
      <c r="B379" s="7" t="inlineStr">
        <is>
          <t>Jun</t>
        </is>
      </c>
      <c r="C379" s="7" t="n">
        <v>2026</v>
      </c>
      <c r="D379" s="7" t="inlineStr">
        <is>
          <t>Design</t>
        </is>
      </c>
      <c r="E379" s="7" t="inlineStr">
        <is>
          <t>Pipeline</t>
        </is>
      </c>
    </row>
    <row r="380" ht="15" customHeight="1" s="5">
      <c r="A380" s="7" t="inlineStr">
        <is>
          <t>PRJ031</t>
        </is>
      </c>
      <c r="B380" s="7" t="inlineStr">
        <is>
          <t>Jul</t>
        </is>
      </c>
      <c r="C380" s="7" t="n">
        <v>2026</v>
      </c>
      <c r="D380" s="7" t="inlineStr">
        <is>
          <t>Deploy</t>
        </is>
      </c>
      <c r="E380" s="7" t="inlineStr">
        <is>
          <t>Pipeline</t>
        </is>
      </c>
    </row>
    <row r="381" ht="15" customHeight="1" s="5">
      <c r="A381" s="7" t="inlineStr">
        <is>
          <t>PRJ031</t>
        </is>
      </c>
      <c r="B381" s="7" t="inlineStr">
        <is>
          <t>Aug</t>
        </is>
      </c>
      <c r="C381" s="7" t="n">
        <v>2026</v>
      </c>
      <c r="D381" s="7" t="inlineStr">
        <is>
          <t>Discovery</t>
        </is>
      </c>
      <c r="E381" s="7" t="inlineStr">
        <is>
          <t>Pipeline</t>
        </is>
      </c>
    </row>
    <row r="382" ht="15" customHeight="1" s="5">
      <c r="A382" s="7" t="inlineStr">
        <is>
          <t>PRJ031</t>
        </is>
      </c>
      <c r="B382" s="7" t="inlineStr">
        <is>
          <t>Sep</t>
        </is>
      </c>
      <c r="C382" s="7" t="n">
        <v>2026</v>
      </c>
      <c r="D382" s="7" t="inlineStr">
        <is>
          <t>Build</t>
        </is>
      </c>
      <c r="E382" s="7" t="inlineStr">
        <is>
          <t>Pipeline</t>
        </is>
      </c>
    </row>
    <row r="383" ht="15" customHeight="1" s="5">
      <c r="A383" s="7" t="inlineStr">
        <is>
          <t>PRJ031</t>
        </is>
      </c>
      <c r="B383" s="7" t="inlineStr">
        <is>
          <t>Oct</t>
        </is>
      </c>
      <c r="C383" s="7" t="n">
        <v>2026</v>
      </c>
      <c r="D383" s="7" t="inlineStr">
        <is>
          <t>Design</t>
        </is>
      </c>
      <c r="E383" s="7" t="inlineStr">
        <is>
          <t>Pipeline</t>
        </is>
      </c>
    </row>
    <row r="384" ht="15" customHeight="1" s="5">
      <c r="A384" s="7" t="inlineStr">
        <is>
          <t>PRJ031</t>
        </is>
      </c>
      <c r="B384" s="7" t="inlineStr">
        <is>
          <t>Nov</t>
        </is>
      </c>
      <c r="C384" s="7" t="n">
        <v>2026</v>
      </c>
      <c r="D384" s="7" t="inlineStr">
        <is>
          <t>Design</t>
        </is>
      </c>
      <c r="E384" s="7" t="inlineStr">
        <is>
          <t>Pipeline</t>
        </is>
      </c>
    </row>
    <row r="385" ht="15" customHeight="1" s="5">
      <c r="A385" s="7" t="inlineStr">
        <is>
          <t>PRJ032</t>
        </is>
      </c>
      <c r="B385" s="7" t="inlineStr">
        <is>
          <t>Jan</t>
        </is>
      </c>
      <c r="C385" s="7" t="n">
        <v>2026</v>
      </c>
      <c r="D385" s="7" t="inlineStr">
        <is>
          <t>Deploy</t>
        </is>
      </c>
      <c r="E385" s="7" t="inlineStr">
        <is>
          <t>Completed</t>
        </is>
      </c>
    </row>
    <row r="386" ht="15" customHeight="1" s="5">
      <c r="A386" s="7" t="inlineStr">
        <is>
          <t>PRJ032</t>
        </is>
      </c>
      <c r="B386" s="7" t="inlineStr">
        <is>
          <t>Feb</t>
        </is>
      </c>
      <c r="C386" s="7" t="n">
        <v>2026</v>
      </c>
      <c r="D386" s="7" t="inlineStr">
        <is>
          <t>Build</t>
        </is>
      </c>
      <c r="E386" s="7" t="inlineStr">
        <is>
          <t>Completed</t>
        </is>
      </c>
    </row>
    <row r="387" ht="15" customHeight="1" s="5">
      <c r="A387" s="7" t="inlineStr">
        <is>
          <t>PRJ032</t>
        </is>
      </c>
      <c r="B387" s="7" t="inlineStr">
        <is>
          <t>Mar</t>
        </is>
      </c>
      <c r="C387" s="7" t="n">
        <v>2026</v>
      </c>
      <c r="D387" s="7" t="inlineStr">
        <is>
          <t>Design</t>
        </is>
      </c>
      <c r="E387" s="7" t="inlineStr">
        <is>
          <t>Completed</t>
        </is>
      </c>
    </row>
    <row r="388" ht="15" customHeight="1" s="5">
      <c r="A388" s="7" t="inlineStr">
        <is>
          <t>PRJ032</t>
        </is>
      </c>
      <c r="B388" s="7" t="inlineStr">
        <is>
          <t>Apr</t>
        </is>
      </c>
      <c r="C388" s="7" t="n">
        <v>2026</v>
      </c>
      <c r="D388" s="7" t="inlineStr">
        <is>
          <t>Discovery</t>
        </is>
      </c>
      <c r="E388" s="7" t="inlineStr">
        <is>
          <t>Completed</t>
        </is>
      </c>
    </row>
    <row r="389" ht="15" customHeight="1" s="5">
      <c r="A389" s="7" t="inlineStr">
        <is>
          <t>PRJ032</t>
        </is>
      </c>
      <c r="B389" s="7" t="inlineStr">
        <is>
          <t>May</t>
        </is>
      </c>
      <c r="C389" s="7" t="n">
        <v>2026</v>
      </c>
      <c r="D389" s="7" t="inlineStr">
        <is>
          <t>Discovery</t>
        </is>
      </c>
      <c r="E389" s="7" t="inlineStr">
        <is>
          <t>Completed</t>
        </is>
      </c>
    </row>
    <row r="390" ht="15" customHeight="1" s="5">
      <c r="A390" s="7" t="inlineStr">
        <is>
          <t>PRJ032</t>
        </is>
      </c>
      <c r="B390" s="7" t="inlineStr">
        <is>
          <t>Jun</t>
        </is>
      </c>
      <c r="C390" s="7" t="n">
        <v>2026</v>
      </c>
      <c r="D390" s="7" t="inlineStr">
        <is>
          <t>Design</t>
        </is>
      </c>
      <c r="E390" s="7" t="inlineStr">
        <is>
          <t>Completed</t>
        </is>
      </c>
    </row>
    <row r="391" ht="15" customHeight="1" s="5">
      <c r="A391" s="7" t="inlineStr">
        <is>
          <t>PRJ032</t>
        </is>
      </c>
      <c r="B391" s="7" t="inlineStr">
        <is>
          <t>Jul</t>
        </is>
      </c>
      <c r="C391" s="7" t="n">
        <v>2026</v>
      </c>
      <c r="D391" s="7" t="inlineStr">
        <is>
          <t>Discovery</t>
        </is>
      </c>
      <c r="E391" s="7" t="inlineStr">
        <is>
          <t>Completed</t>
        </is>
      </c>
    </row>
    <row r="392" ht="15" customHeight="1" s="5">
      <c r="A392" s="7" t="inlineStr">
        <is>
          <t>PRJ032</t>
        </is>
      </c>
      <c r="B392" s="7" t="inlineStr">
        <is>
          <t>Aug</t>
        </is>
      </c>
      <c r="C392" s="7" t="n">
        <v>2026</v>
      </c>
      <c r="D392" s="7" t="inlineStr">
        <is>
          <t>Build</t>
        </is>
      </c>
      <c r="E392" s="7" t="inlineStr">
        <is>
          <t>Completed</t>
        </is>
      </c>
    </row>
    <row r="393" ht="15" customHeight="1" s="5">
      <c r="A393" s="7" t="inlineStr">
        <is>
          <t>PRJ032</t>
        </is>
      </c>
      <c r="B393" s="7" t="inlineStr">
        <is>
          <t>Sep</t>
        </is>
      </c>
      <c r="C393" s="7" t="n">
        <v>2026</v>
      </c>
      <c r="D393" s="7" t="inlineStr">
        <is>
          <t>Design</t>
        </is>
      </c>
      <c r="E393" s="7" t="inlineStr">
        <is>
          <t>Completed</t>
        </is>
      </c>
    </row>
    <row r="394" ht="15" customHeight="1" s="5">
      <c r="A394" s="7" t="inlineStr">
        <is>
          <t>PRJ032</t>
        </is>
      </c>
      <c r="B394" s="7" t="inlineStr">
        <is>
          <t>Oct</t>
        </is>
      </c>
      <c r="C394" s="7" t="n">
        <v>2026</v>
      </c>
      <c r="D394" s="7" t="inlineStr">
        <is>
          <t>Deploy</t>
        </is>
      </c>
      <c r="E394" s="7" t="inlineStr">
        <is>
          <t>Completed</t>
        </is>
      </c>
    </row>
    <row r="395" ht="15" customHeight="1" s="5">
      <c r="A395" s="7" t="inlineStr">
        <is>
          <t>PRJ032</t>
        </is>
      </c>
      <c r="B395" s="7" t="inlineStr">
        <is>
          <t>Nov</t>
        </is>
      </c>
      <c r="C395" s="7" t="n">
        <v>2026</v>
      </c>
      <c r="D395" s="7" t="inlineStr">
        <is>
          <t>Build</t>
        </is>
      </c>
      <c r="E395" s="7" t="inlineStr">
        <is>
          <t>Completed</t>
        </is>
      </c>
    </row>
    <row r="396" ht="15" customHeight="1" s="5">
      <c r="A396" s="7" t="inlineStr">
        <is>
          <t>PRJ032</t>
        </is>
      </c>
      <c r="B396" s="7" t="inlineStr">
        <is>
          <t>Dec</t>
        </is>
      </c>
      <c r="C396" s="7" t="n">
        <v>2026</v>
      </c>
      <c r="D396" s="7" t="inlineStr">
        <is>
          <t>Discovery</t>
        </is>
      </c>
      <c r="E396" s="7" t="inlineStr">
        <is>
          <t>Completed</t>
        </is>
      </c>
    </row>
    <row r="397" ht="15" customHeight="1" s="5">
      <c r="A397" s="7" t="inlineStr">
        <is>
          <t>PRJ032</t>
        </is>
      </c>
      <c r="B397" s="7" t="inlineStr">
        <is>
          <t>Jan</t>
        </is>
      </c>
      <c r="C397" s="7" t="n">
        <v>2027</v>
      </c>
      <c r="D397" s="7" t="inlineStr">
        <is>
          <t>Design</t>
        </is>
      </c>
      <c r="E397" s="7" t="inlineStr">
        <is>
          <t>Completed</t>
        </is>
      </c>
    </row>
    <row r="398" ht="15" customHeight="1" s="5">
      <c r="A398" s="7" t="inlineStr">
        <is>
          <t>PRJ032</t>
        </is>
      </c>
      <c r="B398" s="7" t="inlineStr">
        <is>
          <t>Feb</t>
        </is>
      </c>
      <c r="C398" s="7" t="n">
        <v>2027</v>
      </c>
      <c r="D398" s="7" t="inlineStr">
        <is>
          <t>Build</t>
        </is>
      </c>
      <c r="E398" s="7" t="inlineStr">
        <is>
          <t>Completed</t>
        </is>
      </c>
    </row>
    <row r="399" ht="15" customHeight="1" s="5">
      <c r="A399" s="7" t="inlineStr">
        <is>
          <t>PRJ032</t>
        </is>
      </c>
      <c r="B399" s="7" t="inlineStr">
        <is>
          <t>Mar</t>
        </is>
      </c>
      <c r="C399" s="7" t="n">
        <v>2027</v>
      </c>
      <c r="D399" s="7" t="inlineStr">
        <is>
          <t>Discovery</t>
        </is>
      </c>
      <c r="E399" s="7" t="inlineStr">
        <is>
          <t>Completed</t>
        </is>
      </c>
    </row>
    <row r="400" ht="15" customHeight="1" s="5">
      <c r="A400" s="7" t="inlineStr">
        <is>
          <t>PRJ032</t>
        </is>
      </c>
      <c r="B400" s="7" t="inlineStr">
        <is>
          <t>Apr</t>
        </is>
      </c>
      <c r="C400" s="7" t="n">
        <v>2027</v>
      </c>
      <c r="D400" s="7" t="inlineStr">
        <is>
          <t>Design</t>
        </is>
      </c>
      <c r="E400" s="7" t="inlineStr">
        <is>
          <t>Completed</t>
        </is>
      </c>
    </row>
    <row r="401" ht="15" customHeight="1" s="5">
      <c r="A401" s="7" t="inlineStr">
        <is>
          <t>PRJ032</t>
        </is>
      </c>
      <c r="B401" s="7" t="inlineStr">
        <is>
          <t>May</t>
        </is>
      </c>
      <c r="C401" s="7" t="n">
        <v>2027</v>
      </c>
      <c r="D401" s="7" t="inlineStr">
        <is>
          <t>Test</t>
        </is>
      </c>
      <c r="E401" s="7" t="inlineStr">
        <is>
          <t>Completed</t>
        </is>
      </c>
    </row>
    <row r="402" ht="15" customHeight="1" s="5">
      <c r="A402" s="7" t="inlineStr">
        <is>
          <t>PRJ033</t>
        </is>
      </c>
      <c r="B402" s="7" t="inlineStr">
        <is>
          <t>Dec</t>
        </is>
      </c>
      <c r="C402" s="7" t="n">
        <v>2025</v>
      </c>
      <c r="D402" s="7" t="inlineStr">
        <is>
          <t>Deploy</t>
        </is>
      </c>
      <c r="E402" s="7" t="inlineStr">
        <is>
          <t>Pipeline</t>
        </is>
      </c>
    </row>
    <row r="403" ht="15" customHeight="1" s="5">
      <c r="A403" s="7" t="inlineStr">
        <is>
          <t>PRJ033</t>
        </is>
      </c>
      <c r="B403" s="7" t="inlineStr">
        <is>
          <t>Jan</t>
        </is>
      </c>
      <c r="C403" s="7" t="n">
        <v>2026</v>
      </c>
      <c r="D403" s="7" t="inlineStr">
        <is>
          <t>Discovery</t>
        </is>
      </c>
      <c r="E403" s="7" t="inlineStr">
        <is>
          <t>Pipeline</t>
        </is>
      </c>
    </row>
    <row r="404" ht="15" customHeight="1" s="5">
      <c r="A404" s="7" t="inlineStr">
        <is>
          <t>PRJ033</t>
        </is>
      </c>
      <c r="B404" s="7" t="inlineStr">
        <is>
          <t>Feb</t>
        </is>
      </c>
      <c r="C404" s="7" t="n">
        <v>2026</v>
      </c>
      <c r="D404" s="7" t="inlineStr">
        <is>
          <t>Discovery</t>
        </is>
      </c>
      <c r="E404" s="7" t="inlineStr">
        <is>
          <t>Pipeline</t>
        </is>
      </c>
    </row>
    <row r="405" ht="15" customHeight="1" s="5">
      <c r="A405" s="7" t="inlineStr">
        <is>
          <t>PRJ033</t>
        </is>
      </c>
      <c r="B405" s="7" t="inlineStr">
        <is>
          <t>Mar</t>
        </is>
      </c>
      <c r="C405" s="7" t="n">
        <v>2026</v>
      </c>
      <c r="D405" s="7" t="inlineStr">
        <is>
          <t>Test</t>
        </is>
      </c>
      <c r="E405" s="7" t="inlineStr">
        <is>
          <t>Pipeline</t>
        </is>
      </c>
    </row>
    <row r="406" ht="15" customHeight="1" s="5">
      <c r="A406" s="7" t="inlineStr">
        <is>
          <t>PRJ033</t>
        </is>
      </c>
      <c r="B406" s="7" t="inlineStr">
        <is>
          <t>Apr</t>
        </is>
      </c>
      <c r="C406" s="7" t="n">
        <v>2026</v>
      </c>
      <c r="D406" s="7" t="inlineStr">
        <is>
          <t>Test</t>
        </is>
      </c>
      <c r="E406" s="7" t="inlineStr">
        <is>
          <t>Pipeline</t>
        </is>
      </c>
    </row>
    <row r="407" ht="15" customHeight="1" s="5">
      <c r="A407" s="7" t="inlineStr">
        <is>
          <t>PRJ033</t>
        </is>
      </c>
      <c r="B407" s="7" t="inlineStr">
        <is>
          <t>May</t>
        </is>
      </c>
      <c r="C407" s="7" t="n">
        <v>2026</v>
      </c>
      <c r="D407" s="7" t="inlineStr">
        <is>
          <t>Build</t>
        </is>
      </c>
      <c r="E407" s="7" t="inlineStr">
        <is>
          <t>Pipeline</t>
        </is>
      </c>
    </row>
    <row r="408" ht="15" customHeight="1" s="5">
      <c r="A408" s="7" t="inlineStr">
        <is>
          <t>PRJ033</t>
        </is>
      </c>
      <c r="B408" s="7" t="inlineStr">
        <is>
          <t>Jun</t>
        </is>
      </c>
      <c r="C408" s="7" t="n">
        <v>2026</v>
      </c>
      <c r="D408" s="7" t="inlineStr">
        <is>
          <t>Deploy</t>
        </is>
      </c>
      <c r="E408" s="7" t="inlineStr">
        <is>
          <t>Pipeline</t>
        </is>
      </c>
    </row>
    <row r="409" ht="15" customHeight="1" s="5">
      <c r="A409" s="7" t="inlineStr">
        <is>
          <t>PRJ033</t>
        </is>
      </c>
      <c r="B409" s="7" t="inlineStr">
        <is>
          <t>Jul</t>
        </is>
      </c>
      <c r="C409" s="7" t="n">
        <v>2026</v>
      </c>
      <c r="D409" s="7" t="inlineStr">
        <is>
          <t>Deploy</t>
        </is>
      </c>
      <c r="E409" s="7" t="inlineStr">
        <is>
          <t>Pipeline</t>
        </is>
      </c>
    </row>
    <row r="410" ht="15" customHeight="1" s="5">
      <c r="A410" s="7" t="inlineStr">
        <is>
          <t>PRJ033</t>
        </is>
      </c>
      <c r="B410" s="7" t="inlineStr">
        <is>
          <t>Aug</t>
        </is>
      </c>
      <c r="C410" s="7" t="n">
        <v>2026</v>
      </c>
      <c r="D410" s="7" t="inlineStr">
        <is>
          <t>Discovery</t>
        </is>
      </c>
      <c r="E410" s="7" t="inlineStr">
        <is>
          <t>Pipeline</t>
        </is>
      </c>
    </row>
    <row r="411" ht="15" customHeight="1" s="5">
      <c r="A411" s="7" t="inlineStr">
        <is>
          <t>PRJ033</t>
        </is>
      </c>
      <c r="B411" s="7" t="inlineStr">
        <is>
          <t>Sep</t>
        </is>
      </c>
      <c r="C411" s="7" t="n">
        <v>2026</v>
      </c>
      <c r="D411" s="7" t="inlineStr">
        <is>
          <t>Test</t>
        </is>
      </c>
      <c r="E411" s="7" t="inlineStr">
        <is>
          <t>Pipeline</t>
        </is>
      </c>
    </row>
    <row r="412" ht="15" customHeight="1" s="5">
      <c r="A412" s="7" t="inlineStr">
        <is>
          <t>PRJ033</t>
        </is>
      </c>
      <c r="B412" s="7" t="inlineStr">
        <is>
          <t>Oct</t>
        </is>
      </c>
      <c r="C412" s="7" t="n">
        <v>2026</v>
      </c>
      <c r="D412" s="7" t="inlineStr">
        <is>
          <t>Deploy</t>
        </is>
      </c>
      <c r="E412" s="7" t="inlineStr">
        <is>
          <t>Pipeline</t>
        </is>
      </c>
    </row>
    <row r="413" ht="15" customHeight="1" s="5">
      <c r="A413" s="7" t="inlineStr">
        <is>
          <t>PRJ033</t>
        </is>
      </c>
      <c r="B413" s="7" t="inlineStr">
        <is>
          <t>Nov</t>
        </is>
      </c>
      <c r="C413" s="7" t="n">
        <v>2026</v>
      </c>
      <c r="D413" s="7" t="inlineStr">
        <is>
          <t>Design</t>
        </is>
      </c>
      <c r="E413" s="7" t="inlineStr">
        <is>
          <t>Pipeline</t>
        </is>
      </c>
    </row>
    <row r="414" ht="15" customHeight="1" s="5">
      <c r="A414" s="7" t="inlineStr">
        <is>
          <t>PRJ033</t>
        </is>
      </c>
      <c r="B414" s="7" t="inlineStr">
        <is>
          <t>Dec</t>
        </is>
      </c>
      <c r="C414" s="7" t="n">
        <v>2026</v>
      </c>
      <c r="D414" s="7" t="inlineStr">
        <is>
          <t>Deploy</t>
        </is>
      </c>
      <c r="E414" s="7" t="inlineStr">
        <is>
          <t>Pipeline</t>
        </is>
      </c>
    </row>
    <row r="415" ht="15" customHeight="1" s="5">
      <c r="A415" s="7" t="inlineStr">
        <is>
          <t>PRJ033</t>
        </is>
      </c>
      <c r="B415" s="7" t="inlineStr">
        <is>
          <t>Jan</t>
        </is>
      </c>
      <c r="C415" s="7" t="n">
        <v>2027</v>
      </c>
      <c r="D415" s="7" t="inlineStr">
        <is>
          <t>Discovery</t>
        </is>
      </c>
      <c r="E415" s="7" t="inlineStr">
        <is>
          <t>Pipeline</t>
        </is>
      </c>
    </row>
    <row r="416" ht="15" customHeight="1" s="5">
      <c r="A416" s="7" t="inlineStr">
        <is>
          <t>PRJ033</t>
        </is>
      </c>
      <c r="B416" s="7" t="inlineStr">
        <is>
          <t>Feb</t>
        </is>
      </c>
      <c r="C416" s="7" t="n">
        <v>2027</v>
      </c>
      <c r="D416" s="7" t="inlineStr">
        <is>
          <t>Deploy</t>
        </is>
      </c>
      <c r="E416" s="7" t="inlineStr">
        <is>
          <t>Pipeline</t>
        </is>
      </c>
    </row>
    <row r="417" ht="15" customHeight="1" s="5">
      <c r="A417" s="7" t="inlineStr">
        <is>
          <t>PRJ033</t>
        </is>
      </c>
      <c r="B417" s="7" t="inlineStr">
        <is>
          <t>Mar</t>
        </is>
      </c>
      <c r="C417" s="7" t="n">
        <v>2027</v>
      </c>
      <c r="D417" s="7" t="inlineStr">
        <is>
          <t>Build</t>
        </is>
      </c>
      <c r="E417" s="7" t="inlineStr">
        <is>
          <t>Pipeline</t>
        </is>
      </c>
    </row>
    <row r="418" ht="15" customHeight="1" s="5">
      <c r="A418" s="7" t="inlineStr">
        <is>
          <t>PRJ033</t>
        </is>
      </c>
      <c r="B418" s="7" t="inlineStr">
        <is>
          <t>Apr</t>
        </is>
      </c>
      <c r="C418" s="7" t="n">
        <v>2027</v>
      </c>
      <c r="D418" s="7" t="inlineStr">
        <is>
          <t>Test</t>
        </is>
      </c>
      <c r="E418" s="7" t="inlineStr">
        <is>
          <t>Pipeline</t>
        </is>
      </c>
    </row>
    <row r="419" ht="15" customHeight="1" s="5">
      <c r="A419" s="7" t="inlineStr">
        <is>
          <t>PRJ033</t>
        </is>
      </c>
      <c r="B419" s="7" t="inlineStr">
        <is>
          <t>May</t>
        </is>
      </c>
      <c r="C419" s="7" t="n">
        <v>2027</v>
      </c>
      <c r="D419" s="7" t="inlineStr">
        <is>
          <t>Discovery</t>
        </is>
      </c>
      <c r="E419" s="7" t="inlineStr">
        <is>
          <t>Pipeline</t>
        </is>
      </c>
    </row>
    <row r="420" ht="15" customHeight="1" s="5">
      <c r="A420" s="7" t="inlineStr">
        <is>
          <t>PRJ034</t>
        </is>
      </c>
      <c r="B420" s="7" t="inlineStr">
        <is>
          <t>Dec</t>
        </is>
      </c>
      <c r="C420" s="7" t="n">
        <v>2025</v>
      </c>
      <c r="D420" s="7" t="inlineStr">
        <is>
          <t>Discovery</t>
        </is>
      </c>
      <c r="E420" s="7" t="inlineStr">
        <is>
          <t>Pipeline</t>
        </is>
      </c>
    </row>
    <row r="421" ht="15" customHeight="1" s="5">
      <c r="A421" s="7" t="inlineStr">
        <is>
          <t>PRJ034</t>
        </is>
      </c>
      <c r="B421" s="7" t="inlineStr">
        <is>
          <t>Jan</t>
        </is>
      </c>
      <c r="C421" s="7" t="n">
        <v>2026</v>
      </c>
      <c r="D421" s="7" t="inlineStr">
        <is>
          <t>Test</t>
        </is>
      </c>
      <c r="E421" s="7" t="inlineStr">
        <is>
          <t>Pipeline</t>
        </is>
      </c>
    </row>
    <row r="422" ht="15" customHeight="1" s="5">
      <c r="A422" s="7" t="inlineStr">
        <is>
          <t>PRJ034</t>
        </is>
      </c>
      <c r="B422" s="7" t="inlineStr">
        <is>
          <t>Feb</t>
        </is>
      </c>
      <c r="C422" s="7" t="n">
        <v>2026</v>
      </c>
      <c r="D422" s="7" t="inlineStr">
        <is>
          <t>Test</t>
        </is>
      </c>
      <c r="E422" s="7" t="inlineStr">
        <is>
          <t>Pipeline</t>
        </is>
      </c>
    </row>
    <row r="423" ht="15" customHeight="1" s="5">
      <c r="A423" s="7" t="inlineStr">
        <is>
          <t>PRJ034</t>
        </is>
      </c>
      <c r="B423" s="7" t="inlineStr">
        <is>
          <t>Mar</t>
        </is>
      </c>
      <c r="C423" s="7" t="n">
        <v>2026</v>
      </c>
      <c r="D423" s="7" t="inlineStr">
        <is>
          <t>Test</t>
        </is>
      </c>
      <c r="E423" s="7" t="inlineStr">
        <is>
          <t>Pipeline</t>
        </is>
      </c>
    </row>
    <row r="424" ht="15" customHeight="1" s="5">
      <c r="A424" s="7" t="inlineStr">
        <is>
          <t>PRJ034</t>
        </is>
      </c>
      <c r="B424" s="7" t="inlineStr">
        <is>
          <t>Apr</t>
        </is>
      </c>
      <c r="C424" s="7" t="n">
        <v>2026</v>
      </c>
      <c r="D424" s="7" t="inlineStr">
        <is>
          <t>Discovery</t>
        </is>
      </c>
      <c r="E424" s="7" t="inlineStr">
        <is>
          <t>Pipeline</t>
        </is>
      </c>
    </row>
    <row r="425" ht="15" customHeight="1" s="5">
      <c r="A425" s="7" t="inlineStr">
        <is>
          <t>PRJ034</t>
        </is>
      </c>
      <c r="B425" s="7" t="inlineStr">
        <is>
          <t>May</t>
        </is>
      </c>
      <c r="C425" s="7" t="n">
        <v>2026</v>
      </c>
      <c r="D425" s="7" t="inlineStr">
        <is>
          <t>Test</t>
        </is>
      </c>
      <c r="E425" s="7" t="inlineStr">
        <is>
          <t>Pipeline</t>
        </is>
      </c>
    </row>
    <row r="426" ht="15" customHeight="1" s="5">
      <c r="A426" s="7" t="inlineStr">
        <is>
          <t>PRJ034</t>
        </is>
      </c>
      <c r="B426" s="7" t="inlineStr">
        <is>
          <t>Jun</t>
        </is>
      </c>
      <c r="C426" s="7" t="n">
        <v>2026</v>
      </c>
      <c r="D426" s="7" t="inlineStr">
        <is>
          <t>Test</t>
        </is>
      </c>
      <c r="E426" s="7" t="inlineStr">
        <is>
          <t>Pipeline</t>
        </is>
      </c>
    </row>
    <row r="427" ht="15" customHeight="1" s="5">
      <c r="A427" s="7" t="inlineStr">
        <is>
          <t>PRJ034</t>
        </is>
      </c>
      <c r="B427" s="7" t="inlineStr">
        <is>
          <t>Jul</t>
        </is>
      </c>
      <c r="C427" s="7" t="n">
        <v>2026</v>
      </c>
      <c r="D427" s="7" t="inlineStr">
        <is>
          <t>Discovery</t>
        </is>
      </c>
      <c r="E427" s="7" t="inlineStr">
        <is>
          <t>Pipeline</t>
        </is>
      </c>
    </row>
    <row r="428" ht="15" customHeight="1" s="5">
      <c r="A428" s="7" t="inlineStr">
        <is>
          <t>PRJ034</t>
        </is>
      </c>
      <c r="B428" s="7" t="inlineStr">
        <is>
          <t>Aug</t>
        </is>
      </c>
      <c r="C428" s="7" t="n">
        <v>2026</v>
      </c>
      <c r="D428" s="7" t="inlineStr">
        <is>
          <t>Discovery</t>
        </is>
      </c>
      <c r="E428" s="7" t="inlineStr">
        <is>
          <t>Pipeline</t>
        </is>
      </c>
    </row>
    <row r="429" ht="15" customHeight="1" s="5">
      <c r="A429" s="7" t="inlineStr">
        <is>
          <t>PRJ034</t>
        </is>
      </c>
      <c r="B429" s="7" t="inlineStr">
        <is>
          <t>Sep</t>
        </is>
      </c>
      <c r="C429" s="7" t="n">
        <v>2026</v>
      </c>
      <c r="D429" s="7" t="inlineStr">
        <is>
          <t>Build</t>
        </is>
      </c>
      <c r="E429" s="7" t="inlineStr">
        <is>
          <t>Pipeline</t>
        </is>
      </c>
    </row>
    <row r="430" ht="15" customHeight="1" s="5">
      <c r="A430" s="7" t="inlineStr">
        <is>
          <t>PRJ034</t>
        </is>
      </c>
      <c r="B430" s="7" t="inlineStr">
        <is>
          <t>Oct</t>
        </is>
      </c>
      <c r="C430" s="7" t="n">
        <v>2026</v>
      </c>
      <c r="D430" s="7" t="inlineStr">
        <is>
          <t>Deploy</t>
        </is>
      </c>
      <c r="E430" s="7" t="inlineStr">
        <is>
          <t>Pipeline</t>
        </is>
      </c>
    </row>
    <row r="431" ht="15" customHeight="1" s="5">
      <c r="A431" s="7" t="inlineStr">
        <is>
          <t>PRJ034</t>
        </is>
      </c>
      <c r="B431" s="7" t="inlineStr">
        <is>
          <t>Nov</t>
        </is>
      </c>
      <c r="C431" s="7" t="n">
        <v>2026</v>
      </c>
      <c r="D431" s="7" t="inlineStr">
        <is>
          <t>Design</t>
        </is>
      </c>
      <c r="E431" s="7" t="inlineStr">
        <is>
          <t>Pipeline</t>
        </is>
      </c>
    </row>
    <row r="432" ht="15" customHeight="1" s="5">
      <c r="A432" s="7" t="inlineStr">
        <is>
          <t>PRJ034</t>
        </is>
      </c>
      <c r="B432" s="7" t="inlineStr">
        <is>
          <t>Dec</t>
        </is>
      </c>
      <c r="C432" s="7" t="n">
        <v>2026</v>
      </c>
      <c r="D432" s="7" t="inlineStr">
        <is>
          <t>Discovery</t>
        </is>
      </c>
      <c r="E432" s="7" t="inlineStr">
        <is>
          <t>Pipeline</t>
        </is>
      </c>
    </row>
    <row r="433" ht="15" customHeight="1" s="5">
      <c r="A433" s="7" t="inlineStr">
        <is>
          <t>PRJ034</t>
        </is>
      </c>
      <c r="B433" s="7" t="inlineStr">
        <is>
          <t>Jan</t>
        </is>
      </c>
      <c r="C433" s="7" t="n">
        <v>2027</v>
      </c>
      <c r="D433" s="7" t="inlineStr">
        <is>
          <t>Design</t>
        </is>
      </c>
      <c r="E433" s="7" t="inlineStr">
        <is>
          <t>Pipeline</t>
        </is>
      </c>
    </row>
    <row r="434" ht="15" customHeight="1" s="5">
      <c r="A434" s="7" t="inlineStr">
        <is>
          <t>PRJ035</t>
        </is>
      </c>
      <c r="B434" s="7" t="inlineStr">
        <is>
          <t>Jun</t>
        </is>
      </c>
      <c r="C434" s="7" t="n">
        <v>2025</v>
      </c>
      <c r="D434" s="7" t="inlineStr">
        <is>
          <t>Build</t>
        </is>
      </c>
      <c r="E434" s="7" t="inlineStr">
        <is>
          <t>Active</t>
        </is>
      </c>
    </row>
    <row r="435" ht="15" customHeight="1" s="5">
      <c r="A435" s="7" t="inlineStr">
        <is>
          <t>PRJ035</t>
        </is>
      </c>
      <c r="B435" s="7" t="inlineStr">
        <is>
          <t>Jul</t>
        </is>
      </c>
      <c r="C435" s="7" t="n">
        <v>2025</v>
      </c>
      <c r="D435" s="7" t="inlineStr">
        <is>
          <t>Deploy</t>
        </is>
      </c>
      <c r="E435" s="7" t="inlineStr">
        <is>
          <t>Active</t>
        </is>
      </c>
    </row>
    <row r="436" ht="15" customHeight="1" s="5">
      <c r="A436" s="7" t="inlineStr">
        <is>
          <t>PRJ035</t>
        </is>
      </c>
      <c r="B436" s="7" t="inlineStr">
        <is>
          <t>Aug</t>
        </is>
      </c>
      <c r="C436" s="7" t="n">
        <v>2025</v>
      </c>
      <c r="D436" s="7" t="inlineStr">
        <is>
          <t>Deploy</t>
        </is>
      </c>
      <c r="E436" s="7" t="inlineStr">
        <is>
          <t>Active</t>
        </is>
      </c>
    </row>
    <row r="437" ht="15" customHeight="1" s="5">
      <c r="A437" s="7" t="inlineStr">
        <is>
          <t>PRJ035</t>
        </is>
      </c>
      <c r="B437" s="7" t="inlineStr">
        <is>
          <t>Sep</t>
        </is>
      </c>
      <c r="C437" s="7" t="n">
        <v>2025</v>
      </c>
      <c r="D437" s="7" t="inlineStr">
        <is>
          <t>Deploy</t>
        </is>
      </c>
      <c r="E437" s="7" t="inlineStr">
        <is>
          <t>Active</t>
        </is>
      </c>
    </row>
    <row r="438" ht="15" customHeight="1" s="5">
      <c r="A438" s="7" t="inlineStr">
        <is>
          <t>PRJ035</t>
        </is>
      </c>
      <c r="B438" s="7" t="inlineStr">
        <is>
          <t>Oct</t>
        </is>
      </c>
      <c r="C438" s="7" t="n">
        <v>2025</v>
      </c>
      <c r="D438" s="7" t="inlineStr">
        <is>
          <t>Build</t>
        </is>
      </c>
      <c r="E438" s="7" t="inlineStr">
        <is>
          <t>Active</t>
        </is>
      </c>
    </row>
    <row r="439" ht="15" customHeight="1" s="5">
      <c r="A439" s="7" t="inlineStr">
        <is>
          <t>PRJ035</t>
        </is>
      </c>
      <c r="B439" s="7" t="inlineStr">
        <is>
          <t>Nov</t>
        </is>
      </c>
      <c r="C439" s="7" t="n">
        <v>2025</v>
      </c>
      <c r="D439" s="7" t="inlineStr">
        <is>
          <t>Test</t>
        </is>
      </c>
      <c r="E439" s="7" t="inlineStr">
        <is>
          <t>Active</t>
        </is>
      </c>
    </row>
    <row r="440" ht="15" customHeight="1" s="5">
      <c r="A440" s="7" t="inlineStr">
        <is>
          <t>PRJ035</t>
        </is>
      </c>
      <c r="B440" s="7" t="inlineStr">
        <is>
          <t>Dec</t>
        </is>
      </c>
      <c r="C440" s="7" t="n">
        <v>2025</v>
      </c>
      <c r="D440" s="7" t="inlineStr">
        <is>
          <t>Deploy</t>
        </is>
      </c>
      <c r="E440" s="7" t="inlineStr">
        <is>
          <t>Active</t>
        </is>
      </c>
    </row>
    <row r="441" ht="15" customHeight="1" s="5">
      <c r="A441" s="7" t="inlineStr">
        <is>
          <t>PRJ035</t>
        </is>
      </c>
      <c r="B441" s="7" t="inlineStr">
        <is>
          <t>Jan</t>
        </is>
      </c>
      <c r="C441" s="7" t="n">
        <v>2026</v>
      </c>
      <c r="D441" s="7" t="inlineStr">
        <is>
          <t>Deploy</t>
        </is>
      </c>
      <c r="E441" s="7" t="inlineStr">
        <is>
          <t>Active</t>
        </is>
      </c>
    </row>
    <row r="442" ht="15" customHeight="1" s="5">
      <c r="A442" s="7" t="inlineStr">
        <is>
          <t>PRJ035</t>
        </is>
      </c>
      <c r="B442" s="7" t="inlineStr">
        <is>
          <t>Feb</t>
        </is>
      </c>
      <c r="C442" s="7" t="n">
        <v>2026</v>
      </c>
      <c r="D442" s="7" t="inlineStr">
        <is>
          <t>Build</t>
        </is>
      </c>
      <c r="E442" s="7" t="inlineStr">
        <is>
          <t>Active</t>
        </is>
      </c>
    </row>
    <row r="443" ht="15" customHeight="1" s="5">
      <c r="A443" s="7" t="inlineStr">
        <is>
          <t>PRJ035</t>
        </is>
      </c>
      <c r="B443" s="7" t="inlineStr">
        <is>
          <t>Mar</t>
        </is>
      </c>
      <c r="C443" s="7" t="n">
        <v>2026</v>
      </c>
      <c r="D443" s="7" t="inlineStr">
        <is>
          <t>Test</t>
        </is>
      </c>
      <c r="E443" s="7" t="inlineStr">
        <is>
          <t>Active</t>
        </is>
      </c>
    </row>
    <row r="444" ht="15" customHeight="1" s="5">
      <c r="A444" s="7" t="inlineStr">
        <is>
          <t>PRJ035</t>
        </is>
      </c>
      <c r="B444" s="7" t="inlineStr">
        <is>
          <t>Apr</t>
        </is>
      </c>
      <c r="C444" s="7" t="n">
        <v>2026</v>
      </c>
      <c r="D444" s="7" t="inlineStr">
        <is>
          <t>Deploy</t>
        </is>
      </c>
      <c r="E444" s="7" t="inlineStr">
        <is>
          <t>Active</t>
        </is>
      </c>
    </row>
    <row r="445" ht="15" customHeight="1" s="5">
      <c r="A445" s="7" t="inlineStr">
        <is>
          <t>PRJ035</t>
        </is>
      </c>
      <c r="B445" s="7" t="inlineStr">
        <is>
          <t>May</t>
        </is>
      </c>
      <c r="C445" s="7" t="n">
        <v>2026</v>
      </c>
      <c r="D445" s="7" t="inlineStr">
        <is>
          <t>Deploy</t>
        </is>
      </c>
      <c r="E445" s="7" t="inlineStr">
        <is>
          <t>Active</t>
        </is>
      </c>
    </row>
    <row r="446" ht="15" customHeight="1" s="5">
      <c r="A446" s="7" t="inlineStr">
        <is>
          <t>PRJ035</t>
        </is>
      </c>
      <c r="B446" s="7" t="inlineStr">
        <is>
          <t>Jun</t>
        </is>
      </c>
      <c r="C446" s="7" t="n">
        <v>2026</v>
      </c>
      <c r="D446" s="7" t="inlineStr">
        <is>
          <t>Test</t>
        </is>
      </c>
      <c r="E446" s="7" t="inlineStr">
        <is>
          <t>Active</t>
        </is>
      </c>
    </row>
    <row r="447" ht="15" customHeight="1" s="5">
      <c r="A447" s="7" t="inlineStr">
        <is>
          <t>PRJ035</t>
        </is>
      </c>
      <c r="B447" s="7" t="inlineStr">
        <is>
          <t>Jul</t>
        </is>
      </c>
      <c r="C447" s="7" t="n">
        <v>2026</v>
      </c>
      <c r="D447" s="7" t="inlineStr">
        <is>
          <t>Discovery</t>
        </is>
      </c>
      <c r="E447" s="7" t="inlineStr">
        <is>
          <t>Active</t>
        </is>
      </c>
    </row>
    <row r="448" ht="15" customHeight="1" s="5">
      <c r="A448" s="7" t="inlineStr">
        <is>
          <t>PRJ036</t>
        </is>
      </c>
      <c r="B448" s="7" t="inlineStr">
        <is>
          <t>Jun</t>
        </is>
      </c>
      <c r="C448" s="7" t="n">
        <v>2025</v>
      </c>
      <c r="D448" s="7" t="inlineStr">
        <is>
          <t>Discovery</t>
        </is>
      </c>
      <c r="E448" s="7" t="inlineStr">
        <is>
          <t>Pipeline</t>
        </is>
      </c>
    </row>
    <row r="449" ht="15" customHeight="1" s="5">
      <c r="A449" s="7" t="inlineStr">
        <is>
          <t>PRJ036</t>
        </is>
      </c>
      <c r="B449" s="7" t="inlineStr">
        <is>
          <t>Jul</t>
        </is>
      </c>
      <c r="C449" s="7" t="n">
        <v>2025</v>
      </c>
      <c r="D449" s="7" t="inlineStr">
        <is>
          <t>Deploy</t>
        </is>
      </c>
      <c r="E449" s="7" t="inlineStr">
        <is>
          <t>Pipeline</t>
        </is>
      </c>
    </row>
    <row r="450" ht="15" customHeight="1" s="5">
      <c r="A450" s="7" t="inlineStr">
        <is>
          <t>PRJ036</t>
        </is>
      </c>
      <c r="B450" s="7" t="inlineStr">
        <is>
          <t>Aug</t>
        </is>
      </c>
      <c r="C450" s="7" t="n">
        <v>2025</v>
      </c>
      <c r="D450" s="7" t="inlineStr">
        <is>
          <t>Design</t>
        </is>
      </c>
      <c r="E450" s="7" t="inlineStr">
        <is>
          <t>Pipeline</t>
        </is>
      </c>
    </row>
    <row r="451" ht="15" customHeight="1" s="5">
      <c r="A451" s="7" t="inlineStr">
        <is>
          <t>PRJ036</t>
        </is>
      </c>
      <c r="B451" s="7" t="inlineStr">
        <is>
          <t>Sep</t>
        </is>
      </c>
      <c r="C451" s="7" t="n">
        <v>2025</v>
      </c>
      <c r="D451" s="7" t="inlineStr">
        <is>
          <t>Test</t>
        </is>
      </c>
      <c r="E451" s="7" t="inlineStr">
        <is>
          <t>Pipeline</t>
        </is>
      </c>
    </row>
    <row r="452" ht="15" customHeight="1" s="5">
      <c r="A452" s="7" t="inlineStr">
        <is>
          <t>PRJ036</t>
        </is>
      </c>
      <c r="B452" s="7" t="inlineStr">
        <is>
          <t>Oct</t>
        </is>
      </c>
      <c r="C452" s="7" t="n">
        <v>2025</v>
      </c>
      <c r="D452" s="7" t="inlineStr">
        <is>
          <t>Test</t>
        </is>
      </c>
      <c r="E452" s="7" t="inlineStr">
        <is>
          <t>Pipeline</t>
        </is>
      </c>
    </row>
    <row r="453" ht="15" customHeight="1" s="5">
      <c r="A453" s="7" t="inlineStr">
        <is>
          <t>PRJ036</t>
        </is>
      </c>
      <c r="B453" s="7" t="inlineStr">
        <is>
          <t>Nov</t>
        </is>
      </c>
      <c r="C453" s="7" t="n">
        <v>2025</v>
      </c>
      <c r="D453" s="7" t="inlineStr">
        <is>
          <t>Design</t>
        </is>
      </c>
      <c r="E453" s="7" t="inlineStr">
        <is>
          <t>Pipeline</t>
        </is>
      </c>
    </row>
    <row r="454" ht="15" customHeight="1" s="5">
      <c r="A454" s="7" t="inlineStr">
        <is>
          <t>PRJ036</t>
        </is>
      </c>
      <c r="B454" s="7" t="inlineStr">
        <is>
          <t>Dec</t>
        </is>
      </c>
      <c r="C454" s="7" t="n">
        <v>2025</v>
      </c>
      <c r="D454" s="7" t="inlineStr">
        <is>
          <t>Test</t>
        </is>
      </c>
      <c r="E454" s="7" t="inlineStr">
        <is>
          <t>Pipeline</t>
        </is>
      </c>
    </row>
    <row r="455" ht="15" customHeight="1" s="5">
      <c r="A455" s="7" t="inlineStr">
        <is>
          <t>PRJ037</t>
        </is>
      </c>
      <c r="B455" s="7" t="inlineStr">
        <is>
          <t>Apr</t>
        </is>
      </c>
      <c r="C455" s="7" t="n">
        <v>2025</v>
      </c>
      <c r="D455" s="7" t="inlineStr">
        <is>
          <t>Build</t>
        </is>
      </c>
      <c r="E455" s="7" t="inlineStr">
        <is>
          <t>Completed</t>
        </is>
      </c>
    </row>
    <row r="456" ht="15" customHeight="1" s="5">
      <c r="A456" s="7" t="inlineStr">
        <is>
          <t>PRJ037</t>
        </is>
      </c>
      <c r="B456" s="7" t="inlineStr">
        <is>
          <t>May</t>
        </is>
      </c>
      <c r="C456" s="7" t="n">
        <v>2025</v>
      </c>
      <c r="D456" s="7" t="inlineStr">
        <is>
          <t>Test</t>
        </is>
      </c>
      <c r="E456" s="7" t="inlineStr">
        <is>
          <t>Completed</t>
        </is>
      </c>
    </row>
    <row r="457" ht="15" customHeight="1" s="5">
      <c r="A457" s="7" t="inlineStr">
        <is>
          <t>PRJ037</t>
        </is>
      </c>
      <c r="B457" s="7" t="inlineStr">
        <is>
          <t>Jun</t>
        </is>
      </c>
      <c r="C457" s="7" t="n">
        <v>2025</v>
      </c>
      <c r="D457" s="7" t="inlineStr">
        <is>
          <t>Test</t>
        </is>
      </c>
      <c r="E457" s="7" t="inlineStr">
        <is>
          <t>Completed</t>
        </is>
      </c>
    </row>
    <row r="458" ht="15" customHeight="1" s="5">
      <c r="A458" s="7" t="inlineStr">
        <is>
          <t>PRJ037</t>
        </is>
      </c>
      <c r="B458" s="7" t="inlineStr">
        <is>
          <t>Jul</t>
        </is>
      </c>
      <c r="C458" s="7" t="n">
        <v>2025</v>
      </c>
      <c r="D458" s="7" t="inlineStr">
        <is>
          <t>Test</t>
        </is>
      </c>
      <c r="E458" s="7" t="inlineStr">
        <is>
          <t>Completed</t>
        </is>
      </c>
    </row>
    <row r="459" ht="15" customHeight="1" s="5">
      <c r="A459" s="7" t="inlineStr">
        <is>
          <t>PRJ037</t>
        </is>
      </c>
      <c r="B459" s="7" t="inlineStr">
        <is>
          <t>Aug</t>
        </is>
      </c>
      <c r="C459" s="7" t="n">
        <v>2025</v>
      </c>
      <c r="D459" s="7" t="inlineStr">
        <is>
          <t>Discovery</t>
        </is>
      </c>
      <c r="E459" s="7" t="inlineStr">
        <is>
          <t>Completed</t>
        </is>
      </c>
    </row>
    <row r="460" ht="15" customHeight="1" s="5">
      <c r="A460" s="7" t="inlineStr">
        <is>
          <t>PRJ037</t>
        </is>
      </c>
      <c r="B460" s="7" t="inlineStr">
        <is>
          <t>Sep</t>
        </is>
      </c>
      <c r="C460" s="7" t="n">
        <v>2025</v>
      </c>
      <c r="D460" s="7" t="inlineStr">
        <is>
          <t>Build</t>
        </is>
      </c>
      <c r="E460" s="7" t="inlineStr">
        <is>
          <t>Completed</t>
        </is>
      </c>
    </row>
    <row r="461" ht="15" customHeight="1" s="5">
      <c r="A461" s="7" t="inlineStr">
        <is>
          <t>PRJ037</t>
        </is>
      </c>
      <c r="B461" s="7" t="inlineStr">
        <is>
          <t>Oct</t>
        </is>
      </c>
      <c r="C461" s="7" t="n">
        <v>2025</v>
      </c>
      <c r="D461" s="7" t="inlineStr">
        <is>
          <t>Test</t>
        </is>
      </c>
      <c r="E461" s="7" t="inlineStr">
        <is>
          <t>Completed</t>
        </is>
      </c>
    </row>
    <row r="462" ht="15" customHeight="1" s="5">
      <c r="A462" s="7" t="inlineStr">
        <is>
          <t>PRJ038</t>
        </is>
      </c>
      <c r="B462" s="7" t="inlineStr">
        <is>
          <t>Oct</t>
        </is>
      </c>
      <c r="C462" s="7" t="n">
        <v>2025</v>
      </c>
      <c r="D462" s="7" t="inlineStr">
        <is>
          <t>Build</t>
        </is>
      </c>
      <c r="E462" s="7" t="inlineStr">
        <is>
          <t>Pipeline</t>
        </is>
      </c>
    </row>
    <row r="463" ht="15" customHeight="1" s="5">
      <c r="A463" s="7" t="inlineStr">
        <is>
          <t>PRJ038</t>
        </is>
      </c>
      <c r="B463" s="7" t="inlineStr">
        <is>
          <t>Nov</t>
        </is>
      </c>
      <c r="C463" s="7" t="n">
        <v>2025</v>
      </c>
      <c r="D463" s="7" t="inlineStr">
        <is>
          <t>Build</t>
        </is>
      </c>
      <c r="E463" s="7" t="inlineStr">
        <is>
          <t>Pipeline</t>
        </is>
      </c>
    </row>
    <row r="464" ht="15" customHeight="1" s="5">
      <c r="A464" s="7" t="inlineStr">
        <is>
          <t>PRJ038</t>
        </is>
      </c>
      <c r="B464" s="7" t="inlineStr">
        <is>
          <t>Dec</t>
        </is>
      </c>
      <c r="C464" s="7" t="n">
        <v>2025</v>
      </c>
      <c r="D464" s="7" t="inlineStr">
        <is>
          <t>Build</t>
        </is>
      </c>
      <c r="E464" s="7" t="inlineStr">
        <is>
          <t>Pipeline</t>
        </is>
      </c>
    </row>
    <row r="465" ht="15" customHeight="1" s="5">
      <c r="A465" s="7" t="inlineStr">
        <is>
          <t>PRJ038</t>
        </is>
      </c>
      <c r="B465" s="7" t="inlineStr">
        <is>
          <t>Jan</t>
        </is>
      </c>
      <c r="C465" s="7" t="n">
        <v>2026</v>
      </c>
      <c r="D465" s="7" t="inlineStr">
        <is>
          <t>Design</t>
        </is>
      </c>
      <c r="E465" s="7" t="inlineStr">
        <is>
          <t>Pipeline</t>
        </is>
      </c>
    </row>
    <row r="466" ht="15" customHeight="1" s="5">
      <c r="A466" s="7" t="inlineStr">
        <is>
          <t>PRJ039</t>
        </is>
      </c>
      <c r="B466" s="7" t="inlineStr">
        <is>
          <t>Dec</t>
        </is>
      </c>
      <c r="C466" s="7" t="n">
        <v>2025</v>
      </c>
      <c r="D466" s="7" t="inlineStr">
        <is>
          <t>Test</t>
        </is>
      </c>
      <c r="E466" s="7" t="inlineStr">
        <is>
          <t>Active</t>
        </is>
      </c>
    </row>
    <row r="467" ht="15" customHeight="1" s="5">
      <c r="A467" s="7" t="inlineStr">
        <is>
          <t>PRJ039</t>
        </is>
      </c>
      <c r="B467" s="7" t="inlineStr">
        <is>
          <t>Jan</t>
        </is>
      </c>
      <c r="C467" s="7" t="n">
        <v>2026</v>
      </c>
      <c r="D467" s="7" t="inlineStr">
        <is>
          <t>Discovery</t>
        </is>
      </c>
      <c r="E467" s="7" t="inlineStr">
        <is>
          <t>Active</t>
        </is>
      </c>
    </row>
    <row r="468" ht="15" customHeight="1" s="5">
      <c r="A468" s="7" t="inlineStr">
        <is>
          <t>PRJ039</t>
        </is>
      </c>
      <c r="B468" s="7" t="inlineStr">
        <is>
          <t>Feb</t>
        </is>
      </c>
      <c r="C468" s="7" t="n">
        <v>2026</v>
      </c>
      <c r="D468" s="7" t="inlineStr">
        <is>
          <t>Discovery</t>
        </is>
      </c>
      <c r="E468" s="7" t="inlineStr">
        <is>
          <t>Active</t>
        </is>
      </c>
    </row>
    <row r="469" ht="15" customHeight="1" s="5">
      <c r="A469" s="7" t="inlineStr">
        <is>
          <t>PRJ039</t>
        </is>
      </c>
      <c r="B469" s="7" t="inlineStr">
        <is>
          <t>Mar</t>
        </is>
      </c>
      <c r="C469" s="7" t="n">
        <v>2026</v>
      </c>
      <c r="D469" s="7" t="inlineStr">
        <is>
          <t>Discovery</t>
        </is>
      </c>
      <c r="E469" s="7" t="inlineStr">
        <is>
          <t>Active</t>
        </is>
      </c>
    </row>
    <row r="470" ht="15" customHeight="1" s="5">
      <c r="A470" s="7" t="inlineStr">
        <is>
          <t>PRJ040</t>
        </is>
      </c>
      <c r="B470" s="7" t="inlineStr">
        <is>
          <t>Mar</t>
        </is>
      </c>
      <c r="C470" s="7" t="n">
        <v>2025</v>
      </c>
      <c r="D470" s="7" t="inlineStr">
        <is>
          <t>Discovery</t>
        </is>
      </c>
      <c r="E470" s="7" t="inlineStr">
        <is>
          <t>Active</t>
        </is>
      </c>
    </row>
    <row r="471" ht="15" customHeight="1" s="5">
      <c r="A471" s="7" t="inlineStr">
        <is>
          <t>PRJ040</t>
        </is>
      </c>
      <c r="B471" s="7" t="inlineStr">
        <is>
          <t>Apr</t>
        </is>
      </c>
      <c r="C471" s="7" t="n">
        <v>2025</v>
      </c>
      <c r="D471" s="7" t="inlineStr">
        <is>
          <t>Test</t>
        </is>
      </c>
      <c r="E471" s="7" t="inlineStr">
        <is>
          <t>Active</t>
        </is>
      </c>
    </row>
    <row r="472" ht="15" customHeight="1" s="5">
      <c r="A472" s="7" t="inlineStr">
        <is>
          <t>PRJ040</t>
        </is>
      </c>
      <c r="B472" s="7" t="inlineStr">
        <is>
          <t>May</t>
        </is>
      </c>
      <c r="C472" s="7" t="n">
        <v>2025</v>
      </c>
      <c r="D472" s="7" t="inlineStr">
        <is>
          <t>Discovery</t>
        </is>
      </c>
      <c r="E472" s="7" t="inlineStr">
        <is>
          <t>Active</t>
        </is>
      </c>
    </row>
    <row r="473" ht="15" customHeight="1" s="5">
      <c r="A473" s="7" t="inlineStr">
        <is>
          <t>PRJ040</t>
        </is>
      </c>
      <c r="B473" s="7" t="inlineStr">
        <is>
          <t>Jun</t>
        </is>
      </c>
      <c r="C473" s="7" t="n">
        <v>2025</v>
      </c>
      <c r="D473" s="7" t="inlineStr">
        <is>
          <t>Build</t>
        </is>
      </c>
      <c r="E473" s="7" t="inlineStr">
        <is>
          <t>Active</t>
        </is>
      </c>
    </row>
    <row r="474" ht="15" customHeight="1" s="5">
      <c r="A474" s="7" t="inlineStr">
        <is>
          <t>PRJ040</t>
        </is>
      </c>
      <c r="B474" s="7" t="inlineStr">
        <is>
          <t>Jul</t>
        </is>
      </c>
      <c r="C474" s="7" t="n">
        <v>2025</v>
      </c>
      <c r="D474" s="7" t="inlineStr">
        <is>
          <t>Design</t>
        </is>
      </c>
      <c r="E474" s="7" t="inlineStr">
        <is>
          <t>Active</t>
        </is>
      </c>
    </row>
    <row r="475" ht="15" customHeight="1" s="5">
      <c r="A475" s="7" t="inlineStr">
        <is>
          <t>PRJ040</t>
        </is>
      </c>
      <c r="B475" s="7" t="inlineStr">
        <is>
          <t>Aug</t>
        </is>
      </c>
      <c r="C475" s="7" t="n">
        <v>2025</v>
      </c>
      <c r="D475" s="7" t="inlineStr">
        <is>
          <t>Deploy</t>
        </is>
      </c>
      <c r="E475" s="7" t="inlineStr">
        <is>
          <t>Active</t>
        </is>
      </c>
    </row>
    <row r="476" ht="15" customHeight="1" s="5">
      <c r="A476" s="7" t="inlineStr">
        <is>
          <t>PRJ040</t>
        </is>
      </c>
      <c r="B476" s="7" t="inlineStr">
        <is>
          <t>Sep</t>
        </is>
      </c>
      <c r="C476" s="7" t="n">
        <v>2025</v>
      </c>
      <c r="D476" s="7" t="inlineStr">
        <is>
          <t>Discovery</t>
        </is>
      </c>
      <c r="E476" s="7" t="inlineStr">
        <is>
          <t>Active</t>
        </is>
      </c>
    </row>
    <row r="477" ht="15" customHeight="1" s="5">
      <c r="A477" s="7" t="inlineStr">
        <is>
          <t>PRJ040</t>
        </is>
      </c>
      <c r="B477" s="7" t="inlineStr">
        <is>
          <t>Oct</t>
        </is>
      </c>
      <c r="C477" s="7" t="n">
        <v>2025</v>
      </c>
      <c r="D477" s="7" t="inlineStr">
        <is>
          <t>Deploy</t>
        </is>
      </c>
      <c r="E477" s="7" t="inlineStr">
        <is>
          <t>Active</t>
        </is>
      </c>
    </row>
    <row r="478" ht="15" customHeight="1" s="5">
      <c r="A478" s="7" t="inlineStr">
        <is>
          <t>PRJ040</t>
        </is>
      </c>
      <c r="B478" s="7" t="inlineStr">
        <is>
          <t>Nov</t>
        </is>
      </c>
      <c r="C478" s="7" t="n">
        <v>2025</v>
      </c>
      <c r="D478" s="7" t="inlineStr">
        <is>
          <t>Deploy</t>
        </is>
      </c>
      <c r="E478" s="7" t="inlineStr">
        <is>
          <t>Active</t>
        </is>
      </c>
    </row>
    <row r="479" ht="15" customHeight="1" s="5">
      <c r="A479" s="7" t="inlineStr">
        <is>
          <t>PRJ040</t>
        </is>
      </c>
      <c r="B479" s="7" t="inlineStr">
        <is>
          <t>Dec</t>
        </is>
      </c>
      <c r="C479" s="7" t="n">
        <v>2025</v>
      </c>
      <c r="D479" s="7" t="inlineStr">
        <is>
          <t>Deploy</t>
        </is>
      </c>
      <c r="E479" s="7" t="inlineStr">
        <is>
          <t>Active</t>
        </is>
      </c>
    </row>
    <row r="480" ht="15" customHeight="1" s="5">
      <c r="A480" s="7" t="inlineStr">
        <is>
          <t>PRJ040</t>
        </is>
      </c>
      <c r="B480" s="7" t="inlineStr">
        <is>
          <t>Jan</t>
        </is>
      </c>
      <c r="C480" s="7" t="n">
        <v>2026</v>
      </c>
      <c r="D480" s="7" t="inlineStr">
        <is>
          <t>Build</t>
        </is>
      </c>
      <c r="E480" s="7" t="inlineStr">
        <is>
          <t>Active</t>
        </is>
      </c>
    </row>
    <row r="481" ht="15" customHeight="1" s="5">
      <c r="A481" s="7" t="inlineStr">
        <is>
          <t>PRJ040</t>
        </is>
      </c>
      <c r="B481" s="7" t="inlineStr">
        <is>
          <t>Feb</t>
        </is>
      </c>
      <c r="C481" s="7" t="n">
        <v>2026</v>
      </c>
      <c r="D481" s="7" t="inlineStr">
        <is>
          <t>Discovery</t>
        </is>
      </c>
      <c r="E481" s="7" t="inlineStr">
        <is>
          <t>Active</t>
        </is>
      </c>
    </row>
    <row r="482" ht="15" customHeight="1" s="5">
      <c r="A482" s="7" t="inlineStr">
        <is>
          <t>PRJ040</t>
        </is>
      </c>
      <c r="B482" s="7" t="inlineStr">
        <is>
          <t>Mar</t>
        </is>
      </c>
      <c r="C482" s="7" t="n">
        <v>2026</v>
      </c>
      <c r="D482" s="7" t="inlineStr">
        <is>
          <t>Test</t>
        </is>
      </c>
      <c r="E482" s="7" t="inlineStr">
        <is>
          <t>Active</t>
        </is>
      </c>
    </row>
    <row r="483" ht="15" customHeight="1" s="5">
      <c r="A483" s="7" t="inlineStr">
        <is>
          <t>PRJ040</t>
        </is>
      </c>
      <c r="B483" s="7" t="inlineStr">
        <is>
          <t>Apr</t>
        </is>
      </c>
      <c r="C483" s="7" t="n">
        <v>2026</v>
      </c>
      <c r="D483" s="7" t="inlineStr">
        <is>
          <t>Build</t>
        </is>
      </c>
      <c r="E483" s="7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5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Risk ID</t>
        </is>
      </c>
      <c r="B1" s="6" t="inlineStr">
        <is>
          <t>Project ID</t>
        </is>
      </c>
      <c r="C1" s="6" t="inlineStr">
        <is>
          <t>Description</t>
        </is>
      </c>
      <c r="D1" s="6" t="inlineStr">
        <is>
          <t>Probability</t>
        </is>
      </c>
      <c r="E1" s="6" t="inlineStr">
        <is>
          <t>Impact</t>
        </is>
      </c>
      <c r="F1" s="6" t="inlineStr">
        <is>
          <t>Velocity</t>
        </is>
      </c>
      <c r="G1" s="6" t="inlineStr">
        <is>
          <t>Owner</t>
        </is>
      </c>
      <c r="H1" s="6" t="inlineStr">
        <is>
          <t>Mitigation Plan</t>
        </is>
      </c>
      <c r="I1" s="6" t="inlineStr">
        <is>
          <t>Status</t>
        </is>
      </c>
    </row>
    <row r="2" ht="15" customHeight="1" s="5">
      <c r="A2" s="7" t="inlineStr">
        <is>
          <t>R001</t>
        </is>
      </c>
      <c r="B2" s="7" t="inlineStr">
        <is>
          <t>PRJ028</t>
        </is>
      </c>
      <c r="C2" s="7" t="inlineStr">
        <is>
          <t>Vendor delay impacting milestone</t>
        </is>
      </c>
      <c r="D2" s="7" t="inlineStr">
        <is>
          <t>Medium</t>
        </is>
      </c>
      <c r="E2" s="7" t="inlineStr">
        <is>
          <t>High</t>
        </is>
      </c>
      <c r="F2" s="7" t="inlineStr">
        <is>
          <t>Medium</t>
        </is>
      </c>
      <c r="G2" s="7" t="inlineStr">
        <is>
          <t>John Smith</t>
        </is>
      </c>
      <c r="H2" s="7" t="inlineStr">
        <is>
          <t>Increase staffing</t>
        </is>
      </c>
      <c r="I2" s="7" t="inlineStr">
        <is>
          <t>Open</t>
        </is>
      </c>
    </row>
    <row r="3" ht="15" customHeight="1" s="5">
      <c r="A3" s="7" t="inlineStr">
        <is>
          <t>R002</t>
        </is>
      </c>
      <c r="B3" s="7" t="inlineStr">
        <is>
          <t>PRJ010</t>
        </is>
      </c>
      <c r="C3" s="7" t="inlineStr">
        <is>
          <t>Stakeholder alignment risk</t>
        </is>
      </c>
      <c r="D3" s="7" t="inlineStr">
        <is>
          <t>Low</t>
        </is>
      </c>
      <c r="E3" s="7" t="inlineStr">
        <is>
          <t>Low</t>
        </is>
      </c>
      <c r="F3" s="7" t="inlineStr">
        <is>
          <t>Medium</t>
        </is>
      </c>
      <c r="G3" s="7" t="inlineStr">
        <is>
          <t>Carlos Diaz</t>
        </is>
      </c>
      <c r="H3" s="7" t="inlineStr">
        <is>
          <t>Increase staffing</t>
        </is>
      </c>
      <c r="I3" s="7" t="inlineStr">
        <is>
          <t>Mitigated</t>
        </is>
      </c>
    </row>
    <row r="4" ht="15" customHeight="1" s="5">
      <c r="A4" s="7" t="inlineStr">
        <is>
          <t>R003</t>
        </is>
      </c>
      <c r="B4" s="7" t="inlineStr">
        <is>
          <t>PRJ008</t>
        </is>
      </c>
      <c r="C4" s="7" t="inlineStr">
        <is>
          <t>Scope creep</t>
        </is>
      </c>
      <c r="D4" s="7" t="inlineStr">
        <is>
          <t>High</t>
        </is>
      </c>
      <c r="E4" s="7" t="inlineStr">
        <is>
          <t>Medium</t>
        </is>
      </c>
      <c r="F4" s="7" t="inlineStr">
        <is>
          <t>Medium</t>
        </is>
      </c>
      <c r="G4" s="7" t="inlineStr">
        <is>
          <t>Carlos Diaz</t>
        </is>
      </c>
      <c r="H4" s="7" t="inlineStr">
        <is>
          <t>Increase staffing</t>
        </is>
      </c>
      <c r="I4" s="7" t="inlineStr">
        <is>
          <t>Open</t>
        </is>
      </c>
    </row>
    <row r="5" ht="15" customHeight="1" s="5">
      <c r="A5" s="7" t="inlineStr">
        <is>
          <t>R004</t>
        </is>
      </c>
      <c r="B5" s="7" t="inlineStr">
        <is>
          <t>PRJ039</t>
        </is>
      </c>
      <c r="C5" s="7" t="inlineStr">
        <is>
          <t>Scope creep</t>
        </is>
      </c>
      <c r="D5" s="7" t="inlineStr">
        <is>
          <t>Low</t>
        </is>
      </c>
      <c r="E5" s="7" t="inlineStr">
        <is>
          <t>Medium</t>
        </is>
      </c>
      <c r="F5" s="7" t="inlineStr">
        <is>
          <t>Medium</t>
        </is>
      </c>
      <c r="G5" s="7" t="inlineStr">
        <is>
          <t>Priya Patel</t>
        </is>
      </c>
      <c r="H5" s="7" t="inlineStr">
        <is>
          <t>Rebaseline budget</t>
        </is>
      </c>
      <c r="I5" s="7" t="inlineStr">
        <is>
          <t>Mitigated</t>
        </is>
      </c>
    </row>
    <row r="6" ht="15" customHeight="1" s="5">
      <c r="A6" s="7" t="inlineStr">
        <is>
          <t>R005</t>
        </is>
      </c>
      <c r="B6" s="7" t="inlineStr">
        <is>
          <t>PRJ023</t>
        </is>
      </c>
      <c r="C6" s="7" t="inlineStr">
        <is>
          <t>Vendor delay impacting milestone</t>
        </is>
      </c>
      <c r="D6" s="7" t="inlineStr">
        <is>
          <t>Low</t>
        </is>
      </c>
      <c r="E6" s="7" t="inlineStr">
        <is>
          <t>Medium</t>
        </is>
      </c>
      <c r="F6" s="7" t="inlineStr">
        <is>
          <t>Fast</t>
        </is>
      </c>
      <c r="G6" s="7" t="inlineStr">
        <is>
          <t>Priya Patel</t>
        </is>
      </c>
      <c r="H6" s="7" t="inlineStr">
        <is>
          <t>Patch &amp; monitoring</t>
        </is>
      </c>
      <c r="I6" s="7" t="inlineStr">
        <is>
          <t>Open</t>
        </is>
      </c>
    </row>
    <row r="7" ht="15" customHeight="1" s="5">
      <c r="A7" s="7" t="inlineStr">
        <is>
          <t>R006</t>
        </is>
      </c>
      <c r="B7" s="7" t="inlineStr">
        <is>
          <t>PRJ010</t>
        </is>
      </c>
      <c r="C7" s="7" t="inlineStr">
        <is>
          <t>Vendor delay impacting milestone</t>
        </is>
      </c>
      <c r="D7" s="7" t="inlineStr">
        <is>
          <t>Low</t>
        </is>
      </c>
      <c r="E7" s="7" t="inlineStr">
        <is>
          <t>Medium</t>
        </is>
      </c>
      <c r="F7" s="7" t="inlineStr">
        <is>
          <t>Medium</t>
        </is>
      </c>
      <c r="G7" s="7" t="inlineStr">
        <is>
          <t>Sarah Lee</t>
        </is>
      </c>
      <c r="H7" s="7" t="inlineStr">
        <is>
          <t>Patch &amp; monitoring</t>
        </is>
      </c>
      <c r="I7" s="7" t="inlineStr">
        <is>
          <t>Mitigated</t>
        </is>
      </c>
    </row>
    <row r="8" ht="15" customHeight="1" s="5">
      <c r="A8" s="7" t="inlineStr">
        <is>
          <t>R007</t>
        </is>
      </c>
      <c r="B8" s="7" t="inlineStr">
        <is>
          <t>PRJ011</t>
        </is>
      </c>
      <c r="C8" s="7" t="inlineStr">
        <is>
          <t>Integration risk</t>
        </is>
      </c>
      <c r="D8" s="7" t="inlineStr">
        <is>
          <t>Medium</t>
        </is>
      </c>
      <c r="E8" s="7" t="inlineStr">
        <is>
          <t>High</t>
        </is>
      </c>
      <c r="F8" s="7" t="inlineStr">
        <is>
          <t>Fast</t>
        </is>
      </c>
      <c r="G8" s="7" t="inlineStr">
        <is>
          <t>Alex Brown</t>
        </is>
      </c>
      <c r="H8" s="7" t="inlineStr">
        <is>
          <t>Add buffer</t>
        </is>
      </c>
      <c r="I8" s="7" t="inlineStr">
        <is>
          <t>Open</t>
        </is>
      </c>
    </row>
    <row r="9" ht="15" customHeight="1" s="5">
      <c r="A9" s="7" t="inlineStr">
        <is>
          <t>R008</t>
        </is>
      </c>
      <c r="B9" s="7" t="inlineStr">
        <is>
          <t>PRJ010</t>
        </is>
      </c>
      <c r="C9" s="7" t="inlineStr">
        <is>
          <t>Resource shortage</t>
        </is>
      </c>
      <c r="D9" s="7" t="inlineStr">
        <is>
          <t>High</t>
        </is>
      </c>
      <c r="E9" s="7" t="inlineStr">
        <is>
          <t>Low</t>
        </is>
      </c>
      <c r="F9" s="7" t="inlineStr">
        <is>
          <t>Fast</t>
        </is>
      </c>
      <c r="G9" s="7" t="inlineStr">
        <is>
          <t>John Smith</t>
        </is>
      </c>
      <c r="H9" s="7" t="inlineStr">
        <is>
          <t>Rebaseline budget</t>
        </is>
      </c>
      <c r="I9" s="7" t="inlineStr">
        <is>
          <t>Closed</t>
        </is>
      </c>
    </row>
    <row r="10" ht="15" customHeight="1" s="5">
      <c r="A10" s="7" t="inlineStr">
        <is>
          <t>R009</t>
        </is>
      </c>
      <c r="B10" s="7" t="inlineStr">
        <is>
          <t>PRJ028</t>
        </is>
      </c>
      <c r="C10" s="7" t="inlineStr">
        <is>
          <t>Stakeholder alignment risk</t>
        </is>
      </c>
      <c r="D10" s="7" t="inlineStr">
        <is>
          <t>High</t>
        </is>
      </c>
      <c r="E10" s="7" t="inlineStr">
        <is>
          <t>Critical</t>
        </is>
      </c>
      <c r="F10" s="7" t="inlineStr">
        <is>
          <t>Medium</t>
        </is>
      </c>
      <c r="G10" s="7" t="inlineStr">
        <is>
          <t>Mike Johnson</t>
        </is>
      </c>
      <c r="H10" s="7" t="inlineStr">
        <is>
          <t>Engage vendor</t>
        </is>
      </c>
      <c r="I10" s="7" t="inlineStr">
        <is>
          <t>Open</t>
        </is>
      </c>
    </row>
    <row r="11" ht="15" customHeight="1" s="5">
      <c r="A11" s="7" t="inlineStr">
        <is>
          <t>R010</t>
        </is>
      </c>
      <c r="B11" s="7" t="inlineStr">
        <is>
          <t>PRJ023</t>
        </is>
      </c>
      <c r="C11" s="7" t="inlineStr">
        <is>
          <t>Regulatory change</t>
        </is>
      </c>
      <c r="D11" s="7" t="inlineStr">
        <is>
          <t>Low</t>
        </is>
      </c>
      <c r="E11" s="7" t="inlineStr">
        <is>
          <t>High</t>
        </is>
      </c>
      <c r="F11" s="7" t="inlineStr">
        <is>
          <t>Fast</t>
        </is>
      </c>
      <c r="G11" s="7" t="inlineStr">
        <is>
          <t>Priya Patel</t>
        </is>
      </c>
      <c r="H11" s="7" t="inlineStr">
        <is>
          <t>Increase staffing</t>
        </is>
      </c>
      <c r="I11" s="7" t="inlineStr">
        <is>
          <t>Closed</t>
        </is>
      </c>
    </row>
    <row r="12" ht="15" customHeight="1" s="5">
      <c r="A12" s="7" t="inlineStr">
        <is>
          <t>R011</t>
        </is>
      </c>
      <c r="B12" s="7" t="inlineStr">
        <is>
          <t>PRJ034</t>
        </is>
      </c>
      <c r="C12" s="7" t="inlineStr">
        <is>
          <t>Scope creep</t>
        </is>
      </c>
      <c r="D12" s="7" t="inlineStr">
        <is>
          <t>Low</t>
        </is>
      </c>
      <c r="E12" s="7" t="inlineStr">
        <is>
          <t>Medium</t>
        </is>
      </c>
      <c r="F12" s="7" t="inlineStr">
        <is>
          <t>Medium</t>
        </is>
      </c>
      <c r="G12" s="7" t="inlineStr">
        <is>
          <t>Alex Brown</t>
        </is>
      </c>
      <c r="H12" s="7" t="inlineStr">
        <is>
          <t>Add buffer</t>
        </is>
      </c>
      <c r="I12" s="7" t="inlineStr">
        <is>
          <t>Open</t>
        </is>
      </c>
    </row>
    <row r="13" ht="15" customHeight="1" s="5">
      <c r="A13" s="7" t="inlineStr">
        <is>
          <t>R012</t>
        </is>
      </c>
      <c r="B13" s="7" t="inlineStr">
        <is>
          <t>PRJ014</t>
        </is>
      </c>
      <c r="C13" s="7" t="inlineStr">
        <is>
          <t>Scope creep</t>
        </is>
      </c>
      <c r="D13" s="7" t="inlineStr">
        <is>
          <t>Low</t>
        </is>
      </c>
      <c r="E13" s="7" t="inlineStr">
        <is>
          <t>Medium</t>
        </is>
      </c>
      <c r="F13" s="7" t="inlineStr">
        <is>
          <t>Medium</t>
        </is>
      </c>
      <c r="G13" s="7" t="inlineStr">
        <is>
          <t>Mike Johnson</t>
        </is>
      </c>
      <c r="H13" s="7" t="inlineStr">
        <is>
          <t>Rebaseline budget</t>
        </is>
      </c>
      <c r="I13" s="7" t="inlineStr">
        <is>
          <t>Open</t>
        </is>
      </c>
    </row>
    <row r="14" ht="15" customHeight="1" s="5">
      <c r="A14" s="7" t="inlineStr">
        <is>
          <t>R013</t>
        </is>
      </c>
      <c r="B14" s="7" t="inlineStr">
        <is>
          <t>PRJ001</t>
        </is>
      </c>
      <c r="C14" s="7" t="inlineStr">
        <is>
          <t>Stakeholder alignment risk</t>
        </is>
      </c>
      <c r="D14" s="7" t="inlineStr">
        <is>
          <t>High</t>
        </is>
      </c>
      <c r="E14" s="7" t="inlineStr">
        <is>
          <t>Critical</t>
        </is>
      </c>
      <c r="F14" s="7" t="inlineStr">
        <is>
          <t>Slow</t>
        </is>
      </c>
      <c r="G14" s="7" t="inlineStr">
        <is>
          <t>Jane Doe</t>
        </is>
      </c>
      <c r="H14" s="7" t="inlineStr">
        <is>
          <t>Patch &amp; monitoring</t>
        </is>
      </c>
      <c r="I14" s="7" t="inlineStr">
        <is>
          <t>Open</t>
        </is>
      </c>
    </row>
    <row r="15" ht="15" customHeight="1" s="5">
      <c r="A15" s="7" t="inlineStr">
        <is>
          <t>R014</t>
        </is>
      </c>
      <c r="B15" s="7" t="inlineStr">
        <is>
          <t>PRJ033</t>
        </is>
      </c>
      <c r="C15" s="7" t="inlineStr">
        <is>
          <t>Technology obsolescence</t>
        </is>
      </c>
      <c r="D15" s="7" t="inlineStr">
        <is>
          <t>High</t>
        </is>
      </c>
      <c r="E15" s="7" t="inlineStr">
        <is>
          <t>High</t>
        </is>
      </c>
      <c r="F15" s="7" t="inlineStr">
        <is>
          <t>Slow</t>
        </is>
      </c>
      <c r="G15" s="7" t="inlineStr">
        <is>
          <t>Sarah Lee</t>
        </is>
      </c>
      <c r="H15" s="7" t="inlineStr">
        <is>
          <t>Stakeholder workshop</t>
        </is>
      </c>
      <c r="I15" s="7" t="inlineStr">
        <is>
          <t>Open</t>
        </is>
      </c>
    </row>
    <row r="16" ht="15" customHeight="1" s="5">
      <c r="A16" s="7" t="inlineStr">
        <is>
          <t>R015</t>
        </is>
      </c>
      <c r="B16" s="7" t="inlineStr">
        <is>
          <t>PRJ028</t>
        </is>
      </c>
      <c r="C16" s="7" t="inlineStr">
        <is>
          <t>Vendor delay impacting milestone</t>
        </is>
      </c>
      <c r="D16" s="7" t="inlineStr">
        <is>
          <t>Medium</t>
        </is>
      </c>
      <c r="E16" s="7" t="inlineStr">
        <is>
          <t>Low</t>
        </is>
      </c>
      <c r="F16" s="7" t="inlineStr">
        <is>
          <t>Medium</t>
        </is>
      </c>
      <c r="G16" s="7" t="inlineStr">
        <is>
          <t>Alex Brown</t>
        </is>
      </c>
      <c r="H16" s="7" t="inlineStr">
        <is>
          <t>Patch &amp; monitoring</t>
        </is>
      </c>
      <c r="I16" s="7" t="inlineStr">
        <is>
          <t>Closed</t>
        </is>
      </c>
    </row>
    <row r="17" ht="15" customHeight="1" s="5">
      <c r="A17" s="7" t="inlineStr">
        <is>
          <t>R016</t>
        </is>
      </c>
      <c r="B17" s="7" t="inlineStr">
        <is>
          <t>PRJ027</t>
        </is>
      </c>
      <c r="C17" s="7" t="inlineStr">
        <is>
          <t>Scope creep</t>
        </is>
      </c>
      <c r="D17" s="7" t="inlineStr">
        <is>
          <t>Low</t>
        </is>
      </c>
      <c r="E17" s="7" t="inlineStr">
        <is>
          <t>Critical</t>
        </is>
      </c>
      <c r="F17" s="7" t="inlineStr">
        <is>
          <t>Slow</t>
        </is>
      </c>
      <c r="G17" s="7" t="inlineStr">
        <is>
          <t>Mike Johnson</t>
        </is>
      </c>
      <c r="H17" s="7" t="inlineStr">
        <is>
          <t>Engage vendor</t>
        </is>
      </c>
      <c r="I17" s="7" t="inlineStr">
        <is>
          <t>Closed</t>
        </is>
      </c>
    </row>
    <row r="18" ht="15" customHeight="1" s="5">
      <c r="A18" s="7" t="inlineStr">
        <is>
          <t>R017</t>
        </is>
      </c>
      <c r="B18" s="7" t="inlineStr">
        <is>
          <t>PRJ024</t>
        </is>
      </c>
      <c r="C18" s="7" t="inlineStr">
        <is>
          <t>Budget overrun forecast</t>
        </is>
      </c>
      <c r="D18" s="7" t="inlineStr">
        <is>
          <t>Medium</t>
        </is>
      </c>
      <c r="E18" s="7" t="inlineStr">
        <is>
          <t>Low</t>
        </is>
      </c>
      <c r="F18" s="7" t="inlineStr">
        <is>
          <t>Slow</t>
        </is>
      </c>
      <c r="G18" s="7" t="inlineStr">
        <is>
          <t>Sarah Lee</t>
        </is>
      </c>
      <c r="H18" s="7" t="inlineStr">
        <is>
          <t>Increase staffing</t>
        </is>
      </c>
      <c r="I18" s="7" t="inlineStr">
        <is>
          <t>Closed</t>
        </is>
      </c>
    </row>
    <row r="19" ht="15" customHeight="1" s="5">
      <c r="A19" s="7" t="inlineStr">
        <is>
          <t>R018</t>
        </is>
      </c>
      <c r="B19" s="7" t="inlineStr">
        <is>
          <t>PRJ034</t>
        </is>
      </c>
      <c r="C19" s="7" t="inlineStr">
        <is>
          <t>Budget overrun forecast</t>
        </is>
      </c>
      <c r="D19" s="7" t="inlineStr">
        <is>
          <t>Medium</t>
        </is>
      </c>
      <c r="E19" s="7" t="inlineStr">
        <is>
          <t>High</t>
        </is>
      </c>
      <c r="F19" s="7" t="inlineStr">
        <is>
          <t>Fast</t>
        </is>
      </c>
      <c r="G19" s="7" t="inlineStr">
        <is>
          <t>Mike Johnson</t>
        </is>
      </c>
      <c r="H19" s="7" t="inlineStr">
        <is>
          <t>Engage vendor</t>
        </is>
      </c>
      <c r="I19" s="7" t="inlineStr">
        <is>
          <t>Mitigated</t>
        </is>
      </c>
    </row>
    <row r="20" ht="15" customHeight="1" s="5">
      <c r="A20" s="7" t="inlineStr">
        <is>
          <t>R019</t>
        </is>
      </c>
      <c r="B20" s="7" t="inlineStr">
        <is>
          <t>PRJ011</t>
        </is>
      </c>
      <c r="C20" s="7" t="inlineStr">
        <is>
          <t>Budget overrun forecast</t>
        </is>
      </c>
      <c r="D20" s="7" t="inlineStr">
        <is>
          <t>High</t>
        </is>
      </c>
      <c r="E20" s="7" t="inlineStr">
        <is>
          <t>Low</t>
        </is>
      </c>
      <c r="F20" s="7" t="inlineStr">
        <is>
          <t>Fast</t>
        </is>
      </c>
      <c r="G20" s="7" t="inlineStr">
        <is>
          <t>Alex Brown</t>
        </is>
      </c>
      <c r="H20" s="7" t="inlineStr">
        <is>
          <t>Engage vendor</t>
        </is>
      </c>
      <c r="I20" s="7" t="inlineStr">
        <is>
          <t>Mitigated</t>
        </is>
      </c>
    </row>
    <row r="21" ht="15" customHeight="1" s="5">
      <c r="A21" s="7" t="inlineStr">
        <is>
          <t>R020</t>
        </is>
      </c>
      <c r="B21" s="7" t="inlineStr">
        <is>
          <t>PRJ023</t>
        </is>
      </c>
      <c r="C21" s="7" t="inlineStr">
        <is>
          <t>Resource shortage</t>
        </is>
      </c>
      <c r="D21" s="7" t="inlineStr">
        <is>
          <t>Low</t>
        </is>
      </c>
      <c r="E21" s="7" t="inlineStr">
        <is>
          <t>Low</t>
        </is>
      </c>
      <c r="F21" s="7" t="inlineStr">
        <is>
          <t>Slow</t>
        </is>
      </c>
      <c r="G21" s="7" t="inlineStr">
        <is>
          <t>Mike Johnson</t>
        </is>
      </c>
      <c r="H21" s="7" t="inlineStr">
        <is>
          <t>Engage vendor</t>
        </is>
      </c>
      <c r="I21" s="7" t="inlineStr">
        <is>
          <t>Open</t>
        </is>
      </c>
    </row>
    <row r="22" ht="15" customHeight="1" s="5">
      <c r="A22" s="7" t="inlineStr">
        <is>
          <t>R021</t>
        </is>
      </c>
      <c r="B22" s="7" t="inlineStr">
        <is>
          <t>PRJ039</t>
        </is>
      </c>
      <c r="C22" s="7" t="inlineStr">
        <is>
          <t>Resource shortage</t>
        </is>
      </c>
      <c r="D22" s="7" t="inlineStr">
        <is>
          <t>High</t>
        </is>
      </c>
      <c r="E22" s="7" t="inlineStr">
        <is>
          <t>Low</t>
        </is>
      </c>
      <c r="F22" s="7" t="inlineStr">
        <is>
          <t>Slow</t>
        </is>
      </c>
      <c r="G22" s="7" t="inlineStr">
        <is>
          <t>Carlos Diaz</t>
        </is>
      </c>
      <c r="H22" s="7" t="inlineStr">
        <is>
          <t>Stakeholder workshop</t>
        </is>
      </c>
      <c r="I22" s="7" t="inlineStr">
        <is>
          <t>Closed</t>
        </is>
      </c>
    </row>
    <row r="23" ht="15" customHeight="1" s="5">
      <c r="A23" s="7" t="inlineStr">
        <is>
          <t>R022</t>
        </is>
      </c>
      <c r="B23" s="7" t="inlineStr">
        <is>
          <t>PRJ030</t>
        </is>
      </c>
      <c r="C23" s="7" t="inlineStr">
        <is>
          <t>Stakeholder alignment risk</t>
        </is>
      </c>
      <c r="D23" s="7" t="inlineStr">
        <is>
          <t>High</t>
        </is>
      </c>
      <c r="E23" s="7" t="inlineStr">
        <is>
          <t>High</t>
        </is>
      </c>
      <c r="F23" s="7" t="inlineStr">
        <is>
          <t>Fast</t>
        </is>
      </c>
      <c r="G23" s="7" t="inlineStr">
        <is>
          <t>Mike Johnson</t>
        </is>
      </c>
      <c r="H23" s="7" t="inlineStr">
        <is>
          <t>Engage vendor</t>
        </is>
      </c>
      <c r="I23" s="7" t="inlineStr">
        <is>
          <t>Closed</t>
        </is>
      </c>
    </row>
    <row r="24" ht="15" customHeight="1" s="5">
      <c r="A24" s="7" t="inlineStr">
        <is>
          <t>R023</t>
        </is>
      </c>
      <c r="B24" s="7" t="inlineStr">
        <is>
          <t>PRJ005</t>
        </is>
      </c>
      <c r="C24" s="7" t="inlineStr">
        <is>
          <t>Stakeholder alignment risk</t>
        </is>
      </c>
      <c r="D24" s="7" t="inlineStr">
        <is>
          <t>Medium</t>
        </is>
      </c>
      <c r="E24" s="7" t="inlineStr">
        <is>
          <t>High</t>
        </is>
      </c>
      <c r="F24" s="7" t="inlineStr">
        <is>
          <t>Medium</t>
        </is>
      </c>
      <c r="G24" s="7" t="inlineStr">
        <is>
          <t>Alex Brown</t>
        </is>
      </c>
      <c r="H24" s="7" t="inlineStr">
        <is>
          <t>Add buffer</t>
        </is>
      </c>
      <c r="I24" s="7" t="inlineStr">
        <is>
          <t>Mitigated</t>
        </is>
      </c>
    </row>
    <row r="25" ht="15" customHeight="1" s="5">
      <c r="A25" s="7" t="inlineStr">
        <is>
          <t>R024</t>
        </is>
      </c>
      <c r="B25" s="7" t="inlineStr">
        <is>
          <t>PRJ033</t>
        </is>
      </c>
      <c r="C25" s="7" t="inlineStr">
        <is>
          <t>Budget overrun forecast</t>
        </is>
      </c>
      <c r="D25" s="7" t="inlineStr">
        <is>
          <t>Medium</t>
        </is>
      </c>
      <c r="E25" s="7" t="inlineStr">
        <is>
          <t>Critical</t>
        </is>
      </c>
      <c r="F25" s="7" t="inlineStr">
        <is>
          <t>Medium</t>
        </is>
      </c>
      <c r="G25" s="7" t="inlineStr">
        <is>
          <t>John Smith</t>
        </is>
      </c>
      <c r="H25" s="7" t="inlineStr">
        <is>
          <t>Add buffer</t>
        </is>
      </c>
      <c r="I25" s="7" t="inlineStr">
        <is>
          <t>Mitigated</t>
        </is>
      </c>
    </row>
    <row r="26" ht="15" customHeight="1" s="5">
      <c r="A26" s="7" t="inlineStr">
        <is>
          <t>R025</t>
        </is>
      </c>
      <c r="B26" s="7" t="inlineStr">
        <is>
          <t>PRJ019</t>
        </is>
      </c>
      <c r="C26" s="7" t="inlineStr">
        <is>
          <t>Budget overrun forecast</t>
        </is>
      </c>
      <c r="D26" s="7" t="inlineStr">
        <is>
          <t>High</t>
        </is>
      </c>
      <c r="E26" s="7" t="inlineStr">
        <is>
          <t>Low</t>
        </is>
      </c>
      <c r="F26" s="7" t="inlineStr">
        <is>
          <t>Fast</t>
        </is>
      </c>
      <c r="G26" s="7" t="inlineStr">
        <is>
          <t>Alex Brown</t>
        </is>
      </c>
      <c r="H26" s="7" t="inlineStr">
        <is>
          <t>Increase staffing</t>
        </is>
      </c>
      <c r="I26" s="7" t="inlineStr">
        <is>
          <t>Closed</t>
        </is>
      </c>
    </row>
    <row r="27" ht="15" customHeight="1" s="5">
      <c r="A27" s="7" t="inlineStr">
        <is>
          <t>R026</t>
        </is>
      </c>
      <c r="B27" s="7" t="inlineStr">
        <is>
          <t>PRJ030</t>
        </is>
      </c>
      <c r="C27" s="7" t="inlineStr">
        <is>
          <t>Technology obsolescence</t>
        </is>
      </c>
      <c r="D27" s="7" t="inlineStr">
        <is>
          <t>High</t>
        </is>
      </c>
      <c r="E27" s="7" t="inlineStr">
        <is>
          <t>Low</t>
        </is>
      </c>
      <c r="F27" s="7" t="inlineStr">
        <is>
          <t>Medium</t>
        </is>
      </c>
      <c r="G27" s="7" t="inlineStr">
        <is>
          <t>Carlos Diaz</t>
        </is>
      </c>
      <c r="H27" s="7" t="inlineStr">
        <is>
          <t>Increase staffing</t>
        </is>
      </c>
      <c r="I27" s="7" t="inlineStr">
        <is>
          <t>Open</t>
        </is>
      </c>
    </row>
    <row r="28" ht="15" customHeight="1" s="5">
      <c r="A28" s="7" t="inlineStr">
        <is>
          <t>R027</t>
        </is>
      </c>
      <c r="B28" s="7" t="inlineStr">
        <is>
          <t>PRJ021</t>
        </is>
      </c>
      <c r="C28" s="7" t="inlineStr">
        <is>
          <t>Stakeholder alignment risk</t>
        </is>
      </c>
      <c r="D28" s="7" t="inlineStr">
        <is>
          <t>High</t>
        </is>
      </c>
      <c r="E28" s="7" t="inlineStr">
        <is>
          <t>Medium</t>
        </is>
      </c>
      <c r="F28" s="7" t="inlineStr">
        <is>
          <t>Slow</t>
        </is>
      </c>
      <c r="G28" s="7" t="inlineStr">
        <is>
          <t>Sarah Lee</t>
        </is>
      </c>
      <c r="H28" s="7" t="inlineStr">
        <is>
          <t>Add buffer</t>
        </is>
      </c>
      <c r="I28" s="7" t="inlineStr">
        <is>
          <t>Mitigated</t>
        </is>
      </c>
    </row>
    <row r="29" ht="15" customHeight="1" s="5">
      <c r="A29" s="7" t="inlineStr">
        <is>
          <t>R028</t>
        </is>
      </c>
      <c r="B29" s="7" t="inlineStr">
        <is>
          <t>PRJ006</t>
        </is>
      </c>
      <c r="C29" s="7" t="inlineStr">
        <is>
          <t>Technology obsolescence</t>
        </is>
      </c>
      <c r="D29" s="7" t="inlineStr">
        <is>
          <t>High</t>
        </is>
      </c>
      <c r="E29" s="7" t="inlineStr">
        <is>
          <t>Medium</t>
        </is>
      </c>
      <c r="F29" s="7" t="inlineStr">
        <is>
          <t>Slow</t>
        </is>
      </c>
      <c r="G29" s="7" t="inlineStr">
        <is>
          <t>Jane Doe</t>
        </is>
      </c>
      <c r="H29" s="7" t="inlineStr">
        <is>
          <t>Stakeholder workshop</t>
        </is>
      </c>
      <c r="I29" s="7" t="inlineStr">
        <is>
          <t>Closed</t>
        </is>
      </c>
    </row>
    <row r="30" ht="15" customHeight="1" s="5">
      <c r="A30" s="7" t="inlineStr">
        <is>
          <t>R029</t>
        </is>
      </c>
      <c r="B30" s="7" t="inlineStr">
        <is>
          <t>PRJ029</t>
        </is>
      </c>
      <c r="C30" s="7" t="inlineStr">
        <is>
          <t>Technology obsolescence</t>
        </is>
      </c>
      <c r="D30" s="7" t="inlineStr">
        <is>
          <t>High</t>
        </is>
      </c>
      <c r="E30" s="7" t="inlineStr">
        <is>
          <t>Medium</t>
        </is>
      </c>
      <c r="F30" s="7" t="inlineStr">
        <is>
          <t>Medium</t>
        </is>
      </c>
      <c r="G30" s="7" t="inlineStr">
        <is>
          <t>Mike Johnson</t>
        </is>
      </c>
      <c r="H30" s="7" t="inlineStr">
        <is>
          <t>Rebaseline budget</t>
        </is>
      </c>
      <c r="I30" s="7" t="inlineStr">
        <is>
          <t>Closed</t>
        </is>
      </c>
    </row>
    <row r="31" ht="15" customHeight="1" s="5">
      <c r="A31" s="7" t="inlineStr">
        <is>
          <t>R030</t>
        </is>
      </c>
      <c r="B31" s="7" t="inlineStr">
        <is>
          <t>PRJ027</t>
        </is>
      </c>
      <c r="C31" s="7" t="inlineStr">
        <is>
          <t>Integration risk</t>
        </is>
      </c>
      <c r="D31" s="7" t="inlineStr">
        <is>
          <t>High</t>
        </is>
      </c>
      <c r="E31" s="7" t="inlineStr">
        <is>
          <t>Low</t>
        </is>
      </c>
      <c r="F31" s="7" t="inlineStr">
        <is>
          <t>Fast</t>
        </is>
      </c>
      <c r="G31" s="7" t="inlineStr">
        <is>
          <t>Priya Patel</t>
        </is>
      </c>
      <c r="H31" s="7" t="inlineStr">
        <is>
          <t>Rebaseline budget</t>
        </is>
      </c>
      <c r="I31" s="7" t="inlineStr">
        <is>
          <t>Open</t>
        </is>
      </c>
    </row>
    <row r="32" ht="15" customHeight="1" s="5">
      <c r="A32" s="7" t="inlineStr">
        <is>
          <t>R031</t>
        </is>
      </c>
      <c r="B32" s="7" t="inlineStr">
        <is>
          <t>PRJ022</t>
        </is>
      </c>
      <c r="C32" s="7" t="inlineStr">
        <is>
          <t>Budget overrun forecast</t>
        </is>
      </c>
      <c r="D32" s="7" t="inlineStr">
        <is>
          <t>High</t>
        </is>
      </c>
      <c r="E32" s="7" t="inlineStr">
        <is>
          <t>Critical</t>
        </is>
      </c>
      <c r="F32" s="7" t="inlineStr">
        <is>
          <t>Medium</t>
        </is>
      </c>
      <c r="G32" s="7" t="inlineStr">
        <is>
          <t>Mike Johnson</t>
        </is>
      </c>
      <c r="H32" s="7" t="inlineStr">
        <is>
          <t>Stakeholder workshop</t>
        </is>
      </c>
      <c r="I32" s="7" t="inlineStr">
        <is>
          <t>Open</t>
        </is>
      </c>
    </row>
    <row r="33" ht="15" customHeight="1" s="5">
      <c r="A33" s="7" t="inlineStr">
        <is>
          <t>R032</t>
        </is>
      </c>
      <c r="B33" s="7" t="inlineStr">
        <is>
          <t>PRJ022</t>
        </is>
      </c>
      <c r="C33" s="7" t="inlineStr">
        <is>
          <t>Budget overrun forecast</t>
        </is>
      </c>
      <c r="D33" s="7" t="inlineStr">
        <is>
          <t>High</t>
        </is>
      </c>
      <c r="E33" s="7" t="inlineStr">
        <is>
          <t>Medium</t>
        </is>
      </c>
      <c r="F33" s="7" t="inlineStr">
        <is>
          <t>Medium</t>
        </is>
      </c>
      <c r="G33" s="7" t="inlineStr">
        <is>
          <t>Mike Johnson</t>
        </is>
      </c>
      <c r="H33" s="7" t="inlineStr">
        <is>
          <t>Stakeholder workshop</t>
        </is>
      </c>
      <c r="I33" s="7" t="inlineStr">
        <is>
          <t>Closed</t>
        </is>
      </c>
    </row>
    <row r="34" ht="15" customHeight="1" s="5">
      <c r="A34" s="7" t="inlineStr">
        <is>
          <t>R033</t>
        </is>
      </c>
      <c r="B34" s="7" t="inlineStr">
        <is>
          <t>PRJ009</t>
        </is>
      </c>
      <c r="C34" s="7" t="inlineStr">
        <is>
          <t>Budget overrun forecast</t>
        </is>
      </c>
      <c r="D34" s="7" t="inlineStr">
        <is>
          <t>Medium</t>
        </is>
      </c>
      <c r="E34" s="7" t="inlineStr">
        <is>
          <t>Critical</t>
        </is>
      </c>
      <c r="F34" s="7" t="inlineStr">
        <is>
          <t>Fast</t>
        </is>
      </c>
      <c r="G34" s="7" t="inlineStr">
        <is>
          <t>Carlos Diaz</t>
        </is>
      </c>
      <c r="H34" s="7" t="inlineStr">
        <is>
          <t>Rebaseline budget</t>
        </is>
      </c>
      <c r="I34" s="7" t="inlineStr">
        <is>
          <t>Open</t>
        </is>
      </c>
    </row>
    <row r="35" ht="15" customHeight="1" s="5">
      <c r="A35" s="7" t="inlineStr">
        <is>
          <t>R034</t>
        </is>
      </c>
      <c r="B35" s="7" t="inlineStr">
        <is>
          <t>PRJ034</t>
        </is>
      </c>
      <c r="C35" s="7" t="inlineStr">
        <is>
          <t>Budget overrun forecast</t>
        </is>
      </c>
      <c r="D35" s="7" t="inlineStr">
        <is>
          <t>High</t>
        </is>
      </c>
      <c r="E35" s="7" t="inlineStr">
        <is>
          <t>Critical</t>
        </is>
      </c>
      <c r="F35" s="7" t="inlineStr">
        <is>
          <t>Fast</t>
        </is>
      </c>
      <c r="G35" s="7" t="inlineStr">
        <is>
          <t>Mike Johnson</t>
        </is>
      </c>
      <c r="H35" s="7" t="inlineStr">
        <is>
          <t>Add buffer</t>
        </is>
      </c>
      <c r="I35" s="7" t="inlineStr">
        <is>
          <t>Mitigated</t>
        </is>
      </c>
    </row>
    <row r="36" ht="15" customHeight="1" s="5">
      <c r="A36" s="7" t="inlineStr">
        <is>
          <t>R035</t>
        </is>
      </c>
      <c r="B36" s="7" t="inlineStr">
        <is>
          <t>PRJ020</t>
        </is>
      </c>
      <c r="C36" s="7" t="inlineStr">
        <is>
          <t>Resource shortage</t>
        </is>
      </c>
      <c r="D36" s="7" t="inlineStr">
        <is>
          <t>Low</t>
        </is>
      </c>
      <c r="E36" s="7" t="inlineStr">
        <is>
          <t>High</t>
        </is>
      </c>
      <c r="F36" s="7" t="inlineStr">
        <is>
          <t>Medium</t>
        </is>
      </c>
      <c r="G36" s="7" t="inlineStr">
        <is>
          <t>Jane Doe</t>
        </is>
      </c>
      <c r="H36" s="7" t="inlineStr">
        <is>
          <t>Engage vendor</t>
        </is>
      </c>
      <c r="I36" s="7" t="inlineStr">
        <is>
          <t>Open</t>
        </is>
      </c>
    </row>
    <row r="37" ht="15" customHeight="1" s="5">
      <c r="A37" s="7" t="inlineStr">
        <is>
          <t>R036</t>
        </is>
      </c>
      <c r="B37" s="7" t="inlineStr">
        <is>
          <t>PRJ010</t>
        </is>
      </c>
      <c r="C37" s="7" t="inlineStr">
        <is>
          <t>Budget overrun forecast</t>
        </is>
      </c>
      <c r="D37" s="7" t="inlineStr">
        <is>
          <t>Medium</t>
        </is>
      </c>
      <c r="E37" s="7" t="inlineStr">
        <is>
          <t>Low</t>
        </is>
      </c>
      <c r="F37" s="7" t="inlineStr">
        <is>
          <t>Fast</t>
        </is>
      </c>
      <c r="G37" s="7" t="inlineStr">
        <is>
          <t>Carlos Diaz</t>
        </is>
      </c>
      <c r="H37" s="7" t="inlineStr">
        <is>
          <t>Increase staffing</t>
        </is>
      </c>
      <c r="I37" s="7" t="inlineStr">
        <is>
          <t>Open</t>
        </is>
      </c>
    </row>
    <row r="38" ht="15" customHeight="1" s="5">
      <c r="A38" s="7" t="inlineStr">
        <is>
          <t>R037</t>
        </is>
      </c>
      <c r="B38" s="7" t="inlineStr">
        <is>
          <t>PRJ022</t>
        </is>
      </c>
      <c r="C38" s="7" t="inlineStr">
        <is>
          <t>Resource shortage</t>
        </is>
      </c>
      <c r="D38" s="7" t="inlineStr">
        <is>
          <t>High</t>
        </is>
      </c>
      <c r="E38" s="7" t="inlineStr">
        <is>
          <t>Critical</t>
        </is>
      </c>
      <c r="F38" s="7" t="inlineStr">
        <is>
          <t>Slow</t>
        </is>
      </c>
      <c r="G38" s="7" t="inlineStr">
        <is>
          <t>Jane Doe</t>
        </is>
      </c>
      <c r="H38" s="7" t="inlineStr">
        <is>
          <t>Engage vendor</t>
        </is>
      </c>
      <c r="I38" s="7" t="inlineStr">
        <is>
          <t>Open</t>
        </is>
      </c>
    </row>
    <row r="39" ht="15" customHeight="1" s="5">
      <c r="A39" s="7" t="inlineStr">
        <is>
          <t>R038</t>
        </is>
      </c>
      <c r="B39" s="7" t="inlineStr">
        <is>
          <t>PRJ029</t>
        </is>
      </c>
      <c r="C39" s="7" t="inlineStr">
        <is>
          <t>Vendor delay impacting milestone</t>
        </is>
      </c>
      <c r="D39" s="7" t="inlineStr">
        <is>
          <t>Medium</t>
        </is>
      </c>
      <c r="E39" s="7" t="inlineStr">
        <is>
          <t>High</t>
        </is>
      </c>
      <c r="F39" s="7" t="inlineStr">
        <is>
          <t>Fast</t>
        </is>
      </c>
      <c r="G39" s="7" t="inlineStr">
        <is>
          <t>Priya Patel</t>
        </is>
      </c>
      <c r="H39" s="7" t="inlineStr">
        <is>
          <t>Engage vendor</t>
        </is>
      </c>
      <c r="I39" s="7" t="inlineStr">
        <is>
          <t>Closed</t>
        </is>
      </c>
    </row>
    <row r="40" ht="15" customHeight="1" s="5">
      <c r="A40" s="7" t="inlineStr">
        <is>
          <t>R039</t>
        </is>
      </c>
      <c r="B40" s="7" t="inlineStr">
        <is>
          <t>PRJ040</t>
        </is>
      </c>
      <c r="C40" s="7" t="inlineStr">
        <is>
          <t>Scope creep</t>
        </is>
      </c>
      <c r="D40" s="7" t="inlineStr">
        <is>
          <t>High</t>
        </is>
      </c>
      <c r="E40" s="7" t="inlineStr">
        <is>
          <t>Critical</t>
        </is>
      </c>
      <c r="F40" s="7" t="inlineStr">
        <is>
          <t>Slow</t>
        </is>
      </c>
      <c r="G40" s="7" t="inlineStr">
        <is>
          <t>Alex Brown</t>
        </is>
      </c>
      <c r="H40" s="7" t="inlineStr">
        <is>
          <t>Engage vendor</t>
        </is>
      </c>
      <c r="I40" s="7" t="inlineStr">
        <is>
          <t>Mitigated</t>
        </is>
      </c>
    </row>
    <row r="41" ht="15" customHeight="1" s="5">
      <c r="A41" s="7" t="inlineStr">
        <is>
          <t>R040</t>
        </is>
      </c>
      <c r="B41" s="7" t="inlineStr">
        <is>
          <t>PRJ031</t>
        </is>
      </c>
      <c r="C41" s="7" t="inlineStr">
        <is>
          <t>Cyber security vulnerability detected</t>
        </is>
      </c>
      <c r="D41" s="7" t="inlineStr">
        <is>
          <t>Medium</t>
        </is>
      </c>
      <c r="E41" s="7" t="inlineStr">
        <is>
          <t>Critical</t>
        </is>
      </c>
      <c r="F41" s="7" t="inlineStr">
        <is>
          <t>Medium</t>
        </is>
      </c>
      <c r="G41" s="7" t="inlineStr">
        <is>
          <t>Carlos Diaz</t>
        </is>
      </c>
      <c r="H41" s="7" t="inlineStr">
        <is>
          <t>Rebaseline budget</t>
        </is>
      </c>
      <c r="I41" s="7" t="inlineStr">
        <is>
          <t>Closed</t>
        </is>
      </c>
    </row>
    <row r="42" ht="15" customHeight="1" s="5">
      <c r="A42" s="7" t="inlineStr">
        <is>
          <t>R041</t>
        </is>
      </c>
      <c r="B42" s="7" t="inlineStr">
        <is>
          <t>PRJ033</t>
        </is>
      </c>
      <c r="C42" s="7" t="inlineStr">
        <is>
          <t>Technology obsolescence</t>
        </is>
      </c>
      <c r="D42" s="7" t="inlineStr">
        <is>
          <t>Medium</t>
        </is>
      </c>
      <c r="E42" s="7" t="inlineStr">
        <is>
          <t>Medium</t>
        </is>
      </c>
      <c r="F42" s="7" t="inlineStr">
        <is>
          <t>Slow</t>
        </is>
      </c>
      <c r="G42" s="7" t="inlineStr">
        <is>
          <t>Carlos Diaz</t>
        </is>
      </c>
      <c r="H42" s="7" t="inlineStr">
        <is>
          <t>Increase staffing</t>
        </is>
      </c>
      <c r="I42" s="7" t="inlineStr">
        <is>
          <t>Open</t>
        </is>
      </c>
    </row>
    <row r="43" ht="15" customHeight="1" s="5">
      <c r="A43" s="7" t="inlineStr">
        <is>
          <t>R042</t>
        </is>
      </c>
      <c r="B43" s="7" t="inlineStr">
        <is>
          <t>PRJ017</t>
        </is>
      </c>
      <c r="C43" s="7" t="inlineStr">
        <is>
          <t>Vendor delay impacting milestone</t>
        </is>
      </c>
      <c r="D43" s="7" t="inlineStr">
        <is>
          <t>High</t>
        </is>
      </c>
      <c r="E43" s="7" t="inlineStr">
        <is>
          <t>Critical</t>
        </is>
      </c>
      <c r="F43" s="7" t="inlineStr">
        <is>
          <t>Medium</t>
        </is>
      </c>
      <c r="G43" s="7" t="inlineStr">
        <is>
          <t>Alex Brown</t>
        </is>
      </c>
      <c r="H43" s="7" t="inlineStr">
        <is>
          <t>Add buffer</t>
        </is>
      </c>
      <c r="I43" s="7" t="inlineStr">
        <is>
          <t>Open</t>
        </is>
      </c>
    </row>
    <row r="44" ht="15" customHeight="1" s="5">
      <c r="A44" s="7" t="inlineStr">
        <is>
          <t>R043</t>
        </is>
      </c>
      <c r="B44" s="7" t="inlineStr">
        <is>
          <t>PRJ019</t>
        </is>
      </c>
      <c r="C44" s="7" t="inlineStr">
        <is>
          <t>Budget overrun forecast</t>
        </is>
      </c>
      <c r="D44" s="7" t="inlineStr">
        <is>
          <t>Low</t>
        </is>
      </c>
      <c r="E44" s="7" t="inlineStr">
        <is>
          <t>High</t>
        </is>
      </c>
      <c r="F44" s="7" t="inlineStr">
        <is>
          <t>Medium</t>
        </is>
      </c>
      <c r="G44" s="7" t="inlineStr">
        <is>
          <t>Alex Brown</t>
        </is>
      </c>
      <c r="H44" s="7" t="inlineStr">
        <is>
          <t>Engage vendor</t>
        </is>
      </c>
      <c r="I44" s="7" t="inlineStr">
        <is>
          <t>Closed</t>
        </is>
      </c>
    </row>
    <row r="45" ht="15" customHeight="1" s="5">
      <c r="A45" s="7" t="inlineStr">
        <is>
          <t>R044</t>
        </is>
      </c>
      <c r="B45" s="7" t="inlineStr">
        <is>
          <t>PRJ006</t>
        </is>
      </c>
      <c r="C45" s="7" t="inlineStr">
        <is>
          <t>Cyber security vulnerability detected</t>
        </is>
      </c>
      <c r="D45" s="7" t="inlineStr">
        <is>
          <t>Medium</t>
        </is>
      </c>
      <c r="E45" s="7" t="inlineStr">
        <is>
          <t>High</t>
        </is>
      </c>
      <c r="F45" s="7" t="inlineStr">
        <is>
          <t>Slow</t>
        </is>
      </c>
      <c r="G45" s="7" t="inlineStr">
        <is>
          <t>Sarah Lee</t>
        </is>
      </c>
      <c r="H45" s="7" t="inlineStr">
        <is>
          <t>Add buffer</t>
        </is>
      </c>
      <c r="I45" s="7" t="inlineStr">
        <is>
          <t>Closed</t>
        </is>
      </c>
    </row>
    <row r="46" ht="15" customHeight="1" s="5">
      <c r="A46" s="7" t="inlineStr">
        <is>
          <t>R045</t>
        </is>
      </c>
      <c r="B46" s="7" t="inlineStr">
        <is>
          <t>PRJ033</t>
        </is>
      </c>
      <c r="C46" s="7" t="inlineStr">
        <is>
          <t>Integration risk</t>
        </is>
      </c>
      <c r="D46" s="7" t="inlineStr">
        <is>
          <t>Low</t>
        </is>
      </c>
      <c r="E46" s="7" t="inlineStr">
        <is>
          <t>Critical</t>
        </is>
      </c>
      <c r="F46" s="7" t="inlineStr">
        <is>
          <t>Slow</t>
        </is>
      </c>
      <c r="G46" s="7" t="inlineStr">
        <is>
          <t>Mike Johnson</t>
        </is>
      </c>
      <c r="H46" s="7" t="inlineStr">
        <is>
          <t>Engage vendor</t>
        </is>
      </c>
      <c r="I46" s="7" t="inlineStr">
        <is>
          <t>Open</t>
        </is>
      </c>
    </row>
    <row r="47" ht="15" customHeight="1" s="5">
      <c r="A47" s="7" t="inlineStr">
        <is>
          <t>R046</t>
        </is>
      </c>
      <c r="B47" s="7" t="inlineStr">
        <is>
          <t>PRJ021</t>
        </is>
      </c>
      <c r="C47" s="7" t="inlineStr">
        <is>
          <t>Budget overrun forecast</t>
        </is>
      </c>
      <c r="D47" s="7" t="inlineStr">
        <is>
          <t>High</t>
        </is>
      </c>
      <c r="E47" s="7" t="inlineStr">
        <is>
          <t>High</t>
        </is>
      </c>
      <c r="F47" s="7" t="inlineStr">
        <is>
          <t>Slow</t>
        </is>
      </c>
      <c r="G47" s="7" t="inlineStr">
        <is>
          <t>Jane Doe</t>
        </is>
      </c>
      <c r="H47" s="7" t="inlineStr">
        <is>
          <t>Add buffer</t>
        </is>
      </c>
      <c r="I47" s="7" t="inlineStr">
        <is>
          <t>Mitigated</t>
        </is>
      </c>
    </row>
    <row r="48" ht="15" customHeight="1" s="5">
      <c r="A48" s="7" t="inlineStr">
        <is>
          <t>R047</t>
        </is>
      </c>
      <c r="B48" s="7" t="inlineStr">
        <is>
          <t>PRJ031</t>
        </is>
      </c>
      <c r="C48" s="7" t="inlineStr">
        <is>
          <t>Resource shortage</t>
        </is>
      </c>
      <c r="D48" s="7" t="inlineStr">
        <is>
          <t>High</t>
        </is>
      </c>
      <c r="E48" s="7" t="inlineStr">
        <is>
          <t>Critical</t>
        </is>
      </c>
      <c r="F48" s="7" t="inlineStr">
        <is>
          <t>Medium</t>
        </is>
      </c>
      <c r="G48" s="7" t="inlineStr">
        <is>
          <t>Alex Brown</t>
        </is>
      </c>
      <c r="H48" s="7" t="inlineStr">
        <is>
          <t>Add buffer</t>
        </is>
      </c>
      <c r="I48" s="7" t="inlineStr">
        <is>
          <t>Open</t>
        </is>
      </c>
    </row>
    <row r="49" ht="15" customHeight="1" s="5">
      <c r="A49" s="7" t="inlineStr">
        <is>
          <t>R048</t>
        </is>
      </c>
      <c r="B49" s="7" t="inlineStr">
        <is>
          <t>PRJ002</t>
        </is>
      </c>
      <c r="C49" s="7" t="inlineStr">
        <is>
          <t>Scope creep</t>
        </is>
      </c>
      <c r="D49" s="7" t="inlineStr">
        <is>
          <t>Low</t>
        </is>
      </c>
      <c r="E49" s="7" t="inlineStr">
        <is>
          <t>Medium</t>
        </is>
      </c>
      <c r="F49" s="7" t="inlineStr">
        <is>
          <t>Fast</t>
        </is>
      </c>
      <c r="G49" s="7" t="inlineStr">
        <is>
          <t>Priya Patel</t>
        </is>
      </c>
      <c r="H49" s="7" t="inlineStr">
        <is>
          <t>Increase staffing</t>
        </is>
      </c>
      <c r="I49" s="7" t="inlineStr">
        <is>
          <t>Closed</t>
        </is>
      </c>
    </row>
    <row r="50" ht="15" customHeight="1" s="5">
      <c r="A50" s="7" t="inlineStr">
        <is>
          <t>R049</t>
        </is>
      </c>
      <c r="B50" s="7" t="inlineStr">
        <is>
          <t>PRJ008</t>
        </is>
      </c>
      <c r="C50" s="7" t="inlineStr">
        <is>
          <t>Scope creep</t>
        </is>
      </c>
      <c r="D50" s="7" t="inlineStr">
        <is>
          <t>Low</t>
        </is>
      </c>
      <c r="E50" s="7" t="inlineStr">
        <is>
          <t>High</t>
        </is>
      </c>
      <c r="F50" s="7" t="inlineStr">
        <is>
          <t>Slow</t>
        </is>
      </c>
      <c r="G50" s="7" t="inlineStr">
        <is>
          <t>John Smith</t>
        </is>
      </c>
      <c r="H50" s="7" t="inlineStr">
        <is>
          <t>Engage vendor</t>
        </is>
      </c>
      <c r="I50" s="7" t="inlineStr">
        <is>
          <t>Closed</t>
        </is>
      </c>
    </row>
    <row r="51" ht="15" customHeight="1" s="5">
      <c r="A51" s="7" t="inlineStr">
        <is>
          <t>R050</t>
        </is>
      </c>
      <c r="B51" s="7" t="inlineStr">
        <is>
          <t>PRJ040</t>
        </is>
      </c>
      <c r="C51" s="7" t="inlineStr">
        <is>
          <t>Stakeholder alignment risk</t>
        </is>
      </c>
      <c r="D51" s="7" t="inlineStr">
        <is>
          <t>Low</t>
        </is>
      </c>
      <c r="E51" s="7" t="inlineStr">
        <is>
          <t>Low</t>
        </is>
      </c>
      <c r="F51" s="7" t="inlineStr">
        <is>
          <t>Medium</t>
        </is>
      </c>
      <c r="G51" s="7" t="inlineStr">
        <is>
          <t>Alex Brown</t>
        </is>
      </c>
      <c r="H51" s="7" t="inlineStr">
        <is>
          <t>Increase staffing</t>
        </is>
      </c>
      <c r="I51" s="7" t="inlineStr">
        <is>
          <t>Open</t>
        </is>
      </c>
    </row>
    <row r="52" ht="15" customHeight="1" s="5">
      <c r="A52" s="7" t="inlineStr">
        <is>
          <t>R051</t>
        </is>
      </c>
      <c r="B52" s="7" t="inlineStr">
        <is>
          <t>PRJ033</t>
        </is>
      </c>
      <c r="C52" s="7" t="inlineStr">
        <is>
          <t>Cyber security vulnerability detected</t>
        </is>
      </c>
      <c r="D52" s="7" t="inlineStr">
        <is>
          <t>High</t>
        </is>
      </c>
      <c r="E52" s="7" t="inlineStr">
        <is>
          <t>Medium</t>
        </is>
      </c>
      <c r="F52" s="7" t="inlineStr">
        <is>
          <t>Medium</t>
        </is>
      </c>
      <c r="G52" s="7" t="inlineStr">
        <is>
          <t>Sarah Lee</t>
        </is>
      </c>
      <c r="H52" s="7" t="inlineStr">
        <is>
          <t>Add buffer</t>
        </is>
      </c>
      <c r="I52" s="7" t="inlineStr">
        <is>
          <t>Mitigated</t>
        </is>
      </c>
    </row>
    <row r="53" ht="15" customHeight="1" s="5">
      <c r="A53" s="7" t="inlineStr">
        <is>
          <t>R052</t>
        </is>
      </c>
      <c r="B53" s="7" t="inlineStr">
        <is>
          <t>PRJ016</t>
        </is>
      </c>
      <c r="C53" s="7" t="inlineStr">
        <is>
          <t>Regulatory change</t>
        </is>
      </c>
      <c r="D53" s="7" t="inlineStr">
        <is>
          <t>Low</t>
        </is>
      </c>
      <c r="E53" s="7" t="inlineStr">
        <is>
          <t>Low</t>
        </is>
      </c>
      <c r="F53" s="7" t="inlineStr">
        <is>
          <t>Fast</t>
        </is>
      </c>
      <c r="G53" s="7" t="inlineStr">
        <is>
          <t>Mike Johnson</t>
        </is>
      </c>
      <c r="H53" s="7" t="inlineStr">
        <is>
          <t>Add buffer</t>
        </is>
      </c>
      <c r="I53" s="7" t="inlineStr">
        <is>
          <t>Open</t>
        </is>
      </c>
    </row>
    <row r="54" ht="15" customHeight="1" s="5">
      <c r="A54" s="7" t="inlineStr">
        <is>
          <t>R053</t>
        </is>
      </c>
      <c r="B54" s="7" t="inlineStr">
        <is>
          <t>PRJ025</t>
        </is>
      </c>
      <c r="C54" s="7" t="inlineStr">
        <is>
          <t>Stakeholder alignment risk</t>
        </is>
      </c>
      <c r="D54" s="7" t="inlineStr">
        <is>
          <t>Low</t>
        </is>
      </c>
      <c r="E54" s="7" t="inlineStr">
        <is>
          <t>Critical</t>
        </is>
      </c>
      <c r="F54" s="7" t="inlineStr">
        <is>
          <t>Medium</t>
        </is>
      </c>
      <c r="G54" s="7" t="inlineStr">
        <is>
          <t>Mike Johnson</t>
        </is>
      </c>
      <c r="H54" s="7" t="inlineStr">
        <is>
          <t>Stakeholder workshop</t>
        </is>
      </c>
      <c r="I54" s="7" t="inlineStr">
        <is>
          <t>Open</t>
        </is>
      </c>
    </row>
    <row r="55" ht="15" customHeight="1" s="5">
      <c r="A55" s="7" t="inlineStr">
        <is>
          <t>R054</t>
        </is>
      </c>
      <c r="B55" s="7" t="inlineStr">
        <is>
          <t>PRJ023</t>
        </is>
      </c>
      <c r="C55" s="7" t="inlineStr">
        <is>
          <t>Budget overrun forecast</t>
        </is>
      </c>
      <c r="D55" s="7" t="inlineStr">
        <is>
          <t>Medium</t>
        </is>
      </c>
      <c r="E55" s="7" t="inlineStr">
        <is>
          <t>Medium</t>
        </is>
      </c>
      <c r="F55" s="7" t="inlineStr">
        <is>
          <t>Fast</t>
        </is>
      </c>
      <c r="G55" s="7" t="inlineStr">
        <is>
          <t>Priya Patel</t>
        </is>
      </c>
      <c r="H55" s="7" t="inlineStr">
        <is>
          <t>Stakeholder workshop</t>
        </is>
      </c>
      <c r="I55" s="7" t="inlineStr">
        <is>
          <t>Open</t>
        </is>
      </c>
    </row>
    <row r="56" ht="15" customHeight="1" s="5">
      <c r="A56" s="7" t="inlineStr">
        <is>
          <t>R055</t>
        </is>
      </c>
      <c r="B56" s="7" t="inlineStr">
        <is>
          <t>PRJ038</t>
        </is>
      </c>
      <c r="C56" s="7" t="inlineStr">
        <is>
          <t>Integration risk</t>
        </is>
      </c>
      <c r="D56" s="7" t="inlineStr">
        <is>
          <t>Low</t>
        </is>
      </c>
      <c r="E56" s="7" t="inlineStr">
        <is>
          <t>Low</t>
        </is>
      </c>
      <c r="F56" s="7" t="inlineStr">
        <is>
          <t>Medium</t>
        </is>
      </c>
      <c r="G56" s="7" t="inlineStr">
        <is>
          <t>Alex Brown</t>
        </is>
      </c>
      <c r="H56" s="7" t="inlineStr">
        <is>
          <t>Rebaseline budget</t>
        </is>
      </c>
      <c r="I56" s="7" t="inlineStr">
        <is>
          <t>Open</t>
        </is>
      </c>
    </row>
    <row r="57" ht="15" customHeight="1" s="5">
      <c r="A57" s="7" t="inlineStr">
        <is>
          <t>R056</t>
        </is>
      </c>
      <c r="B57" s="7" t="inlineStr">
        <is>
          <t>PRJ030</t>
        </is>
      </c>
      <c r="C57" s="7" t="inlineStr">
        <is>
          <t>Stakeholder alignment risk</t>
        </is>
      </c>
      <c r="D57" s="7" t="inlineStr">
        <is>
          <t>High</t>
        </is>
      </c>
      <c r="E57" s="7" t="inlineStr">
        <is>
          <t>Medium</t>
        </is>
      </c>
      <c r="F57" s="7" t="inlineStr">
        <is>
          <t>Slow</t>
        </is>
      </c>
      <c r="G57" s="7" t="inlineStr">
        <is>
          <t>John Smith</t>
        </is>
      </c>
      <c r="H57" s="7" t="inlineStr">
        <is>
          <t>Stakeholder workshop</t>
        </is>
      </c>
      <c r="I57" s="7" t="inlineStr">
        <is>
          <t>Closed</t>
        </is>
      </c>
    </row>
    <row r="58" ht="15" customHeight="1" s="5">
      <c r="A58" s="7" t="inlineStr">
        <is>
          <t>R057</t>
        </is>
      </c>
      <c r="B58" s="7" t="inlineStr">
        <is>
          <t>PRJ003</t>
        </is>
      </c>
      <c r="C58" s="7" t="inlineStr">
        <is>
          <t>Scope creep</t>
        </is>
      </c>
      <c r="D58" s="7" t="inlineStr">
        <is>
          <t>Low</t>
        </is>
      </c>
      <c r="E58" s="7" t="inlineStr">
        <is>
          <t>Low</t>
        </is>
      </c>
      <c r="F58" s="7" t="inlineStr">
        <is>
          <t>Slow</t>
        </is>
      </c>
      <c r="G58" s="7" t="inlineStr">
        <is>
          <t>John Smith</t>
        </is>
      </c>
      <c r="H58" s="7" t="inlineStr">
        <is>
          <t>Rebaseline budget</t>
        </is>
      </c>
      <c r="I58" s="7" t="inlineStr">
        <is>
          <t>Mitigated</t>
        </is>
      </c>
    </row>
    <row r="59" ht="15" customHeight="1" s="5">
      <c r="A59" s="7" t="inlineStr">
        <is>
          <t>R058</t>
        </is>
      </c>
      <c r="B59" s="7" t="inlineStr">
        <is>
          <t>PRJ033</t>
        </is>
      </c>
      <c r="C59" s="7" t="inlineStr">
        <is>
          <t>Regulatory change</t>
        </is>
      </c>
      <c r="D59" s="7" t="inlineStr">
        <is>
          <t>High</t>
        </is>
      </c>
      <c r="E59" s="7" t="inlineStr">
        <is>
          <t>Critical</t>
        </is>
      </c>
      <c r="F59" s="7" t="inlineStr">
        <is>
          <t>Medium</t>
        </is>
      </c>
      <c r="G59" s="7" t="inlineStr">
        <is>
          <t>John Smith</t>
        </is>
      </c>
      <c r="H59" s="7" t="inlineStr">
        <is>
          <t>Stakeholder workshop</t>
        </is>
      </c>
      <c r="I59" s="7" t="inlineStr">
        <is>
          <t>Open</t>
        </is>
      </c>
    </row>
    <row r="60" ht="15" customHeight="1" s="5">
      <c r="A60" s="7" t="inlineStr">
        <is>
          <t>R059</t>
        </is>
      </c>
      <c r="B60" s="7" t="inlineStr">
        <is>
          <t>PRJ019</t>
        </is>
      </c>
      <c r="C60" s="7" t="inlineStr">
        <is>
          <t>Integration risk</t>
        </is>
      </c>
      <c r="D60" s="7" t="inlineStr">
        <is>
          <t>Low</t>
        </is>
      </c>
      <c r="E60" s="7" t="inlineStr">
        <is>
          <t>High</t>
        </is>
      </c>
      <c r="F60" s="7" t="inlineStr">
        <is>
          <t>Medium</t>
        </is>
      </c>
      <c r="G60" s="7" t="inlineStr">
        <is>
          <t>John Smith</t>
        </is>
      </c>
      <c r="H60" s="7" t="inlineStr">
        <is>
          <t>Rebaseline budget</t>
        </is>
      </c>
      <c r="I60" s="7" t="inlineStr">
        <is>
          <t>Closed</t>
        </is>
      </c>
    </row>
    <row r="61" ht="15" customHeight="1" s="5">
      <c r="A61" s="7" t="inlineStr">
        <is>
          <t>R060</t>
        </is>
      </c>
      <c r="B61" s="7" t="inlineStr">
        <is>
          <t>PRJ026</t>
        </is>
      </c>
      <c r="C61" s="7" t="inlineStr">
        <is>
          <t>Stakeholder alignment risk</t>
        </is>
      </c>
      <c r="D61" s="7" t="inlineStr">
        <is>
          <t>Medium</t>
        </is>
      </c>
      <c r="E61" s="7" t="inlineStr">
        <is>
          <t>High</t>
        </is>
      </c>
      <c r="F61" s="7" t="inlineStr">
        <is>
          <t>Slow</t>
        </is>
      </c>
      <c r="G61" s="7" t="inlineStr">
        <is>
          <t>Sarah Lee</t>
        </is>
      </c>
      <c r="H61" s="7" t="inlineStr">
        <is>
          <t>Stakeholder workshop</t>
        </is>
      </c>
      <c r="I61" s="7" t="inlineStr">
        <is>
          <t>Closed</t>
        </is>
      </c>
    </row>
    <row r="62" ht="15" customHeight="1" s="5">
      <c r="D62" s="7" t="n"/>
      <c r="E62" s="7" t="n"/>
      <c r="I62" s="7" t="n"/>
    </row>
    <row r="63" ht="15" customHeight="1" s="5">
      <c r="D63" s="7" t="n"/>
      <c r="E63" s="7" t="n"/>
      <c r="I63" s="7" t="n"/>
    </row>
    <row r="64" ht="15" customHeight="1" s="5">
      <c r="D64" s="7" t="n"/>
      <c r="E64" s="7" t="n"/>
      <c r="I64" s="7" t="n"/>
    </row>
    <row r="65" ht="15" customHeight="1" s="5">
      <c r="D65" s="7" t="n"/>
      <c r="E65" s="7" t="n"/>
      <c r="I65" s="7" t="n"/>
    </row>
    <row r="66" ht="15" customHeight="1" s="5">
      <c r="D66" s="7" t="n"/>
      <c r="E66" s="7" t="n"/>
      <c r="I66" s="7" t="n"/>
    </row>
    <row r="67" ht="15" customHeight="1" s="5">
      <c r="D67" s="7" t="n"/>
      <c r="E67" s="7" t="n"/>
      <c r="I67" s="7" t="n"/>
    </row>
    <row r="68" ht="15" customHeight="1" s="5">
      <c r="D68" s="7" t="n"/>
      <c r="E68" s="7" t="n"/>
      <c r="I68" s="7" t="n"/>
    </row>
    <row r="69" ht="15" customHeight="1" s="5">
      <c r="D69" s="7" t="n"/>
      <c r="E69" s="7" t="n"/>
      <c r="I69" s="7" t="n"/>
    </row>
    <row r="70" ht="15" customHeight="1" s="5">
      <c r="D70" s="7" t="n"/>
      <c r="E70" s="7" t="n"/>
      <c r="I70" s="7" t="n"/>
    </row>
    <row r="71" ht="15" customHeight="1" s="5">
      <c r="D71" s="7" t="n"/>
      <c r="E71" s="7" t="n"/>
      <c r="I71" s="7" t="n"/>
    </row>
    <row r="72" ht="15" customHeight="1" s="5">
      <c r="D72" s="7" t="n"/>
      <c r="E72" s="7" t="n"/>
      <c r="I72" s="7" t="n"/>
    </row>
    <row r="73" ht="15" customHeight="1" s="5">
      <c r="D73" s="7" t="n"/>
      <c r="E73" s="7" t="n"/>
      <c r="I73" s="7" t="n"/>
    </row>
    <row r="74" ht="15" customHeight="1" s="5">
      <c r="D74" s="7" t="n"/>
      <c r="E74" s="7" t="n"/>
      <c r="I74" s="7" t="n"/>
    </row>
    <row r="75" ht="15" customHeight="1" s="5">
      <c r="D75" s="7" t="n"/>
      <c r="E75" s="7" t="n"/>
      <c r="I75" s="7" t="n"/>
    </row>
    <row r="76" ht="15" customHeight="1" s="5">
      <c r="D76" s="7" t="n"/>
      <c r="E76" s="7" t="n"/>
      <c r="I76" s="7" t="n"/>
    </row>
    <row r="77" ht="15" customHeight="1" s="5">
      <c r="D77" s="7" t="n"/>
      <c r="E77" s="7" t="n"/>
      <c r="I77" s="7" t="n"/>
    </row>
    <row r="78" ht="15" customHeight="1" s="5">
      <c r="D78" s="7" t="n"/>
      <c r="E78" s="7" t="n"/>
      <c r="I78" s="7" t="n"/>
    </row>
    <row r="79" ht="15" customHeight="1" s="5">
      <c r="D79" s="7" t="n"/>
      <c r="E79" s="7" t="n"/>
      <c r="I79" s="7" t="n"/>
    </row>
    <row r="80" ht="15" customHeight="1" s="5">
      <c r="D80" s="7" t="n"/>
      <c r="E80" s="7" t="n"/>
      <c r="I80" s="7" t="n"/>
    </row>
    <row r="81" ht="15" customHeight="1" s="5">
      <c r="D81" s="7" t="n"/>
      <c r="E81" s="7" t="n"/>
      <c r="I81" s="7" t="n"/>
    </row>
    <row r="82" ht="15" customHeight="1" s="5">
      <c r="D82" s="7" t="n"/>
      <c r="E82" s="7" t="n"/>
      <c r="I82" s="7" t="n"/>
    </row>
    <row r="83" ht="15" customHeight="1" s="5">
      <c r="D83" s="7" t="n"/>
      <c r="E83" s="7" t="n"/>
      <c r="I83" s="7" t="n"/>
    </row>
    <row r="84" ht="15" customHeight="1" s="5">
      <c r="D84" s="7" t="n"/>
      <c r="E84" s="7" t="n"/>
      <c r="I84" s="7" t="n"/>
    </row>
    <row r="85" ht="15" customHeight="1" s="5">
      <c r="D85" s="7" t="n"/>
      <c r="E85" s="7" t="n"/>
      <c r="I85" s="7" t="n"/>
    </row>
    <row r="86" ht="15" customHeight="1" s="5">
      <c r="D86" s="7" t="n"/>
      <c r="E86" s="7" t="n"/>
      <c r="I86" s="7" t="n"/>
    </row>
    <row r="87" ht="15" customHeight="1" s="5">
      <c r="D87" s="7" t="n"/>
      <c r="E87" s="7" t="n"/>
      <c r="I87" s="7" t="n"/>
    </row>
    <row r="88" ht="15" customHeight="1" s="5">
      <c r="D88" s="7" t="n"/>
      <c r="E88" s="7" t="n"/>
      <c r="I88" s="7" t="n"/>
    </row>
    <row r="89" ht="15" customHeight="1" s="5">
      <c r="D89" s="7" t="n"/>
      <c r="E89" s="7" t="n"/>
      <c r="I89" s="7" t="n"/>
    </row>
    <row r="90" ht="15" customHeight="1" s="5">
      <c r="D90" s="7" t="n"/>
      <c r="E90" s="7" t="n"/>
      <c r="I90" s="7" t="n"/>
    </row>
    <row r="91" ht="15" customHeight="1" s="5">
      <c r="D91" s="7" t="n"/>
      <c r="E91" s="7" t="n"/>
      <c r="I91" s="7" t="n"/>
    </row>
    <row r="92" ht="15" customHeight="1" s="5">
      <c r="D92" s="7" t="n"/>
      <c r="E92" s="7" t="n"/>
      <c r="I92" s="7" t="n"/>
    </row>
    <row r="93" ht="15" customHeight="1" s="5">
      <c r="D93" s="7" t="n"/>
      <c r="E93" s="7" t="n"/>
      <c r="I93" s="7" t="n"/>
    </row>
    <row r="94" ht="15" customHeight="1" s="5">
      <c r="D94" s="7" t="n"/>
      <c r="E94" s="7" t="n"/>
      <c r="I94" s="7" t="n"/>
    </row>
    <row r="95" ht="15" customHeight="1" s="5">
      <c r="D95" s="7" t="n"/>
      <c r="E95" s="7" t="n"/>
      <c r="I95" s="7" t="n"/>
    </row>
    <row r="96" ht="15" customHeight="1" s="5">
      <c r="D96" s="7" t="n"/>
      <c r="E96" s="7" t="n"/>
      <c r="I96" s="7" t="n"/>
    </row>
    <row r="97" ht="15" customHeight="1" s="5">
      <c r="D97" s="7" t="n"/>
      <c r="E97" s="7" t="n"/>
      <c r="I97" s="7" t="n"/>
    </row>
    <row r="98" ht="15" customHeight="1" s="5">
      <c r="D98" s="7" t="n"/>
      <c r="E98" s="7" t="n"/>
      <c r="I98" s="7" t="n"/>
    </row>
    <row r="99" ht="15" customHeight="1" s="5">
      <c r="D99" s="7" t="n"/>
      <c r="E99" s="7" t="n"/>
      <c r="I99" s="7" t="n"/>
    </row>
    <row r="100" ht="15" customHeight="1" s="5">
      <c r="D100" s="7" t="n"/>
      <c r="E100" s="7" t="n"/>
      <c r="I100" s="7" t="n"/>
    </row>
    <row r="101" ht="15" customHeight="1" s="5">
      <c r="D101" s="7" t="n"/>
      <c r="E101" s="7" t="n"/>
      <c r="I101" s="7" t="n"/>
    </row>
    <row r="102" ht="15" customHeight="1" s="5">
      <c r="D102" s="7" t="n"/>
      <c r="E102" s="7" t="n"/>
      <c r="I102" s="7" t="n"/>
    </row>
    <row r="103" ht="15" customHeight="1" s="5">
      <c r="D103" s="7" t="n"/>
      <c r="E103" s="7" t="n"/>
      <c r="I103" s="7" t="n"/>
    </row>
    <row r="104" ht="15" customHeight="1" s="5">
      <c r="D104" s="7" t="n"/>
      <c r="E104" s="7" t="n"/>
      <c r="I104" s="7" t="n"/>
    </row>
    <row r="105" ht="15" customHeight="1" s="5">
      <c r="D105" s="7" t="n"/>
      <c r="E105" s="7" t="n"/>
      <c r="I105" s="7" t="n"/>
    </row>
    <row r="106" ht="15" customHeight="1" s="5">
      <c r="D106" s="7" t="n"/>
      <c r="E106" s="7" t="n"/>
      <c r="I106" s="7" t="n"/>
    </row>
    <row r="107" ht="15" customHeight="1" s="5">
      <c r="D107" s="7" t="n"/>
      <c r="E107" s="7" t="n"/>
      <c r="I107" s="7" t="n"/>
    </row>
    <row r="108" ht="15" customHeight="1" s="5">
      <c r="D108" s="7" t="n"/>
      <c r="E108" s="7" t="n"/>
      <c r="I108" s="7" t="n"/>
    </row>
    <row r="109" ht="15" customHeight="1" s="5">
      <c r="D109" s="7" t="n"/>
      <c r="E109" s="7" t="n"/>
      <c r="I109" s="7" t="n"/>
    </row>
    <row r="110" ht="15" customHeight="1" s="5">
      <c r="D110" s="7" t="n"/>
      <c r="E110" s="7" t="n"/>
      <c r="I110" s="7" t="n"/>
    </row>
    <row r="111" ht="15" customHeight="1" s="5">
      <c r="D111" s="7" t="n"/>
      <c r="E111" s="7" t="n"/>
      <c r="I111" s="7" t="n"/>
    </row>
    <row r="112" ht="15" customHeight="1" s="5">
      <c r="D112" s="7" t="n"/>
      <c r="E112" s="7" t="n"/>
      <c r="I112" s="7" t="n"/>
    </row>
    <row r="113" ht="15" customHeight="1" s="5">
      <c r="D113" s="7" t="n"/>
      <c r="E113" s="7" t="n"/>
      <c r="I113" s="7" t="n"/>
    </row>
    <row r="114" ht="15" customHeight="1" s="5">
      <c r="D114" s="7" t="n"/>
      <c r="E114" s="7" t="n"/>
      <c r="I114" s="7" t="n"/>
    </row>
    <row r="115" ht="15" customHeight="1" s="5">
      <c r="D115" s="7" t="n"/>
      <c r="E115" s="7" t="n"/>
      <c r="I115" s="7" t="n"/>
    </row>
    <row r="116" ht="15" customHeight="1" s="5">
      <c r="D116" s="7" t="n"/>
      <c r="E116" s="7" t="n"/>
      <c r="I116" s="7" t="n"/>
    </row>
    <row r="117" ht="15" customHeight="1" s="5">
      <c r="D117" s="7" t="n"/>
      <c r="E117" s="7" t="n"/>
      <c r="I117" s="7" t="n"/>
    </row>
    <row r="118" ht="15" customHeight="1" s="5">
      <c r="D118" s="7" t="n"/>
      <c r="E118" s="7" t="n"/>
      <c r="I118" s="7" t="n"/>
    </row>
    <row r="119" ht="15" customHeight="1" s="5">
      <c r="D119" s="7" t="n"/>
      <c r="E119" s="7" t="n"/>
      <c r="I119" s="7" t="n"/>
    </row>
    <row r="120" ht="15" customHeight="1" s="5">
      <c r="D120" s="7" t="n"/>
      <c r="E120" s="7" t="n"/>
      <c r="I120" s="7" t="n"/>
    </row>
    <row r="121" ht="15" customHeight="1" s="5">
      <c r="D121" s="7" t="n"/>
      <c r="E121" s="7" t="n"/>
      <c r="I121" s="7" t="n"/>
    </row>
    <row r="122" ht="15" customHeight="1" s="5">
      <c r="D122" s="7" t="n"/>
      <c r="E122" s="7" t="n"/>
      <c r="I122" s="7" t="n"/>
    </row>
    <row r="123" ht="15" customHeight="1" s="5">
      <c r="D123" s="7" t="n"/>
      <c r="E123" s="7" t="n"/>
      <c r="I123" s="7" t="n"/>
    </row>
    <row r="124" ht="15" customHeight="1" s="5">
      <c r="D124" s="7" t="n"/>
      <c r="E124" s="7" t="n"/>
      <c r="I124" s="7" t="n"/>
    </row>
    <row r="125" ht="15" customHeight="1" s="5">
      <c r="D125" s="7" t="n"/>
      <c r="E125" s="7" t="n"/>
      <c r="I125" s="7" t="n"/>
    </row>
    <row r="126" ht="15" customHeight="1" s="5">
      <c r="D126" s="7" t="n"/>
      <c r="E126" s="7" t="n"/>
      <c r="I126" s="7" t="n"/>
    </row>
    <row r="127" ht="15" customHeight="1" s="5">
      <c r="D127" s="7" t="n"/>
      <c r="E127" s="7" t="n"/>
      <c r="I127" s="7" t="n"/>
    </row>
    <row r="128" ht="15" customHeight="1" s="5">
      <c r="D128" s="7" t="n"/>
      <c r="E128" s="7" t="n"/>
      <c r="I128" s="7" t="n"/>
    </row>
    <row r="129" ht="15" customHeight="1" s="5">
      <c r="D129" s="7" t="n"/>
      <c r="E129" s="7" t="n"/>
      <c r="I129" s="7" t="n"/>
    </row>
    <row r="130" ht="15" customHeight="1" s="5">
      <c r="D130" s="7" t="n"/>
      <c r="E130" s="7" t="n"/>
      <c r="I130" s="7" t="n"/>
    </row>
    <row r="131" ht="15" customHeight="1" s="5">
      <c r="D131" s="7" t="n"/>
      <c r="E131" s="7" t="n"/>
      <c r="I131" s="7" t="n"/>
    </row>
    <row r="132" ht="15" customHeight="1" s="5">
      <c r="D132" s="7" t="n"/>
      <c r="E132" s="7" t="n"/>
      <c r="I132" s="7" t="n"/>
    </row>
    <row r="133" ht="15" customHeight="1" s="5">
      <c r="D133" s="7" t="n"/>
      <c r="E133" s="7" t="n"/>
      <c r="I133" s="7" t="n"/>
    </row>
    <row r="134" ht="15" customHeight="1" s="5">
      <c r="D134" s="7" t="n"/>
      <c r="E134" s="7" t="n"/>
      <c r="I134" s="7" t="n"/>
    </row>
    <row r="135" ht="15" customHeight="1" s="5">
      <c r="D135" s="7" t="n"/>
      <c r="E135" s="7" t="n"/>
      <c r="I135" s="7" t="n"/>
    </row>
    <row r="136" ht="15" customHeight="1" s="5">
      <c r="D136" s="7" t="n"/>
      <c r="E136" s="7" t="n"/>
      <c r="I136" s="7" t="n"/>
    </row>
    <row r="137" ht="15" customHeight="1" s="5">
      <c r="D137" s="7" t="n"/>
      <c r="E137" s="7" t="n"/>
      <c r="I137" s="7" t="n"/>
    </row>
    <row r="138" ht="15" customHeight="1" s="5">
      <c r="D138" s="7" t="n"/>
      <c r="E138" s="7" t="n"/>
      <c r="I138" s="7" t="n"/>
    </row>
    <row r="139" ht="15" customHeight="1" s="5">
      <c r="D139" s="7" t="n"/>
      <c r="E139" s="7" t="n"/>
      <c r="I139" s="7" t="n"/>
    </row>
    <row r="140" ht="15" customHeight="1" s="5">
      <c r="D140" s="7" t="n"/>
      <c r="E140" s="7" t="n"/>
      <c r="I140" s="7" t="n"/>
    </row>
    <row r="141" ht="15" customHeight="1" s="5">
      <c r="D141" s="7" t="n"/>
      <c r="E141" s="7" t="n"/>
      <c r="I141" s="7" t="n"/>
    </row>
    <row r="142" ht="15" customHeight="1" s="5">
      <c r="D142" s="7" t="n"/>
      <c r="E142" s="7" t="n"/>
      <c r="I142" s="7" t="n"/>
    </row>
    <row r="143" ht="15" customHeight="1" s="5">
      <c r="D143" s="7" t="n"/>
      <c r="E143" s="7" t="n"/>
      <c r="I143" s="7" t="n"/>
    </row>
    <row r="144" ht="15" customHeight="1" s="5">
      <c r="D144" s="7" t="n"/>
      <c r="E144" s="7" t="n"/>
      <c r="I144" s="7" t="n"/>
    </row>
    <row r="145" ht="15" customHeight="1" s="5">
      <c r="D145" s="7" t="n"/>
      <c r="E145" s="7" t="n"/>
      <c r="I145" s="7" t="n"/>
    </row>
    <row r="146" ht="15" customHeight="1" s="5">
      <c r="D146" s="7" t="n"/>
      <c r="E146" s="7" t="n"/>
      <c r="I146" s="7" t="n"/>
    </row>
    <row r="147" ht="15" customHeight="1" s="5">
      <c r="D147" s="7" t="n"/>
      <c r="E147" s="7" t="n"/>
      <c r="I147" s="7" t="n"/>
    </row>
    <row r="148" ht="15" customHeight="1" s="5">
      <c r="D148" s="7" t="n"/>
      <c r="E148" s="7" t="n"/>
      <c r="I148" s="7" t="n"/>
    </row>
    <row r="149" ht="15" customHeight="1" s="5">
      <c r="D149" s="7" t="n"/>
      <c r="E149" s="7" t="n"/>
      <c r="I149" s="7" t="n"/>
    </row>
    <row r="150" ht="15" customHeight="1" s="5">
      <c r="D150" s="7" t="n"/>
      <c r="E150" s="7" t="n"/>
      <c r="I150" s="7" t="n"/>
    </row>
    <row r="151" ht="15" customHeight="1" s="5">
      <c r="D151" s="7" t="n"/>
      <c r="E151" s="7" t="n"/>
      <c r="I151" s="7" t="n"/>
    </row>
    <row r="152" ht="15" customHeight="1" s="5">
      <c r="D152" s="7" t="n"/>
      <c r="E152" s="7" t="n"/>
      <c r="I152" s="7" t="n"/>
    </row>
    <row r="153" ht="15" customHeight="1" s="5">
      <c r="D153" s="7" t="n"/>
      <c r="E153" s="7" t="n"/>
      <c r="I153" s="7" t="n"/>
    </row>
    <row r="154" ht="15" customHeight="1" s="5">
      <c r="D154" s="7" t="n"/>
      <c r="E154" s="7" t="n"/>
      <c r="I154" s="7" t="n"/>
    </row>
    <row r="155" ht="15" customHeight="1" s="5">
      <c r="D155" s="7" t="n"/>
      <c r="E155" s="7" t="n"/>
      <c r="I155" s="7" t="n"/>
    </row>
    <row r="156" ht="15" customHeight="1" s="5">
      <c r="D156" s="7" t="n"/>
      <c r="E156" s="7" t="n"/>
      <c r="I156" s="7" t="n"/>
    </row>
    <row r="157" ht="15" customHeight="1" s="5">
      <c r="D157" s="7" t="n"/>
      <c r="E157" s="7" t="n"/>
      <c r="I157" s="7" t="n"/>
    </row>
    <row r="158" ht="15" customHeight="1" s="5">
      <c r="D158" s="7" t="n"/>
      <c r="E158" s="7" t="n"/>
      <c r="I158" s="7" t="n"/>
    </row>
    <row r="159" ht="15" customHeight="1" s="5">
      <c r="D159" s="7" t="n"/>
      <c r="E159" s="7" t="n"/>
      <c r="I159" s="7" t="n"/>
    </row>
    <row r="160" ht="15" customHeight="1" s="5">
      <c r="D160" s="7" t="n"/>
      <c r="E160" s="7" t="n"/>
      <c r="I160" s="7" t="n"/>
    </row>
    <row r="161" ht="15" customHeight="1" s="5">
      <c r="D161" s="7" t="n"/>
      <c r="E161" s="7" t="n"/>
      <c r="I161" s="7" t="n"/>
    </row>
    <row r="162" ht="15" customHeight="1" s="5">
      <c r="D162" s="7" t="n"/>
      <c r="E162" s="7" t="n"/>
      <c r="I162" s="7" t="n"/>
    </row>
    <row r="163" ht="15" customHeight="1" s="5">
      <c r="D163" s="7" t="n"/>
      <c r="E163" s="7" t="n"/>
      <c r="I163" s="7" t="n"/>
    </row>
    <row r="164" ht="15" customHeight="1" s="5">
      <c r="D164" s="7" t="n"/>
      <c r="E164" s="7" t="n"/>
      <c r="I164" s="7" t="n"/>
    </row>
    <row r="165" ht="15" customHeight="1" s="5">
      <c r="D165" s="7" t="n"/>
      <c r="E165" s="7" t="n"/>
      <c r="I165" s="7" t="n"/>
    </row>
    <row r="166" ht="15" customHeight="1" s="5">
      <c r="D166" s="7" t="n"/>
      <c r="E166" s="7" t="n"/>
      <c r="I166" s="7" t="n"/>
    </row>
    <row r="167" ht="15" customHeight="1" s="5">
      <c r="D167" s="7" t="n"/>
      <c r="E167" s="7" t="n"/>
      <c r="I167" s="7" t="n"/>
    </row>
    <row r="168" ht="15" customHeight="1" s="5">
      <c r="D168" s="7" t="n"/>
      <c r="E168" s="7" t="n"/>
      <c r="I168" s="7" t="n"/>
    </row>
    <row r="169" ht="15" customHeight="1" s="5">
      <c r="D169" s="7" t="n"/>
      <c r="E169" s="7" t="n"/>
      <c r="I169" s="7" t="n"/>
    </row>
    <row r="170" ht="15" customHeight="1" s="5">
      <c r="D170" s="7" t="n"/>
      <c r="E170" s="7" t="n"/>
      <c r="I170" s="7" t="n"/>
    </row>
    <row r="171" ht="15" customHeight="1" s="5">
      <c r="D171" s="7" t="n"/>
      <c r="E171" s="7" t="n"/>
      <c r="I171" s="7" t="n"/>
    </row>
    <row r="172" ht="15" customHeight="1" s="5">
      <c r="D172" s="7" t="n"/>
      <c r="E172" s="7" t="n"/>
      <c r="I172" s="7" t="n"/>
    </row>
    <row r="173" ht="15" customHeight="1" s="5">
      <c r="D173" s="7" t="n"/>
      <c r="E173" s="7" t="n"/>
      <c r="I173" s="7" t="n"/>
    </row>
    <row r="174" ht="15" customHeight="1" s="5">
      <c r="D174" s="7" t="n"/>
      <c r="E174" s="7" t="n"/>
      <c r="I174" s="7" t="n"/>
    </row>
    <row r="175" ht="15" customHeight="1" s="5">
      <c r="D175" s="7" t="n"/>
      <c r="E175" s="7" t="n"/>
      <c r="I175" s="7" t="n"/>
    </row>
    <row r="176" ht="15" customHeight="1" s="5">
      <c r="D176" s="7" t="n"/>
      <c r="E176" s="7" t="n"/>
      <c r="I176" s="7" t="n"/>
    </row>
    <row r="177" ht="15" customHeight="1" s="5">
      <c r="D177" s="7" t="n"/>
      <c r="E177" s="7" t="n"/>
      <c r="I177" s="7" t="n"/>
    </row>
    <row r="178" ht="15" customHeight="1" s="5">
      <c r="D178" s="7" t="n"/>
      <c r="E178" s="7" t="n"/>
      <c r="I178" s="7" t="n"/>
    </row>
    <row r="179" ht="15" customHeight="1" s="5">
      <c r="D179" s="7" t="n"/>
      <c r="E179" s="7" t="n"/>
      <c r="I179" s="7" t="n"/>
    </row>
    <row r="180" ht="15" customHeight="1" s="5">
      <c r="D180" s="7" t="n"/>
      <c r="E180" s="7" t="n"/>
      <c r="I180" s="7" t="n"/>
    </row>
    <row r="181" ht="15" customHeight="1" s="5">
      <c r="D181" s="7" t="n"/>
      <c r="E181" s="7" t="n"/>
      <c r="I181" s="7" t="n"/>
    </row>
    <row r="182" ht="15" customHeight="1" s="5">
      <c r="D182" s="7" t="n"/>
      <c r="E182" s="7" t="n"/>
      <c r="I182" s="7" t="n"/>
    </row>
    <row r="183" ht="15" customHeight="1" s="5">
      <c r="D183" s="7" t="n"/>
      <c r="E183" s="7" t="n"/>
      <c r="I183" s="7" t="n"/>
    </row>
    <row r="184" ht="15" customHeight="1" s="5">
      <c r="D184" s="7" t="n"/>
      <c r="E184" s="7" t="n"/>
      <c r="I184" s="7" t="n"/>
    </row>
    <row r="185" ht="15" customHeight="1" s="5">
      <c r="D185" s="7" t="n"/>
      <c r="E185" s="7" t="n"/>
      <c r="I185" s="7" t="n"/>
    </row>
    <row r="186" ht="15" customHeight="1" s="5">
      <c r="D186" s="7" t="n"/>
      <c r="E186" s="7" t="n"/>
      <c r="I186" s="7" t="n"/>
    </row>
    <row r="187" ht="15" customHeight="1" s="5">
      <c r="D187" s="7" t="n"/>
      <c r="E187" s="7" t="n"/>
      <c r="I187" s="7" t="n"/>
    </row>
    <row r="188" ht="15" customHeight="1" s="5">
      <c r="D188" s="7" t="n"/>
      <c r="E188" s="7" t="n"/>
      <c r="I188" s="7" t="n"/>
    </row>
    <row r="189" ht="15" customHeight="1" s="5">
      <c r="D189" s="7" t="n"/>
      <c r="E189" s="7" t="n"/>
      <c r="I189" s="7" t="n"/>
    </row>
    <row r="190" ht="15" customHeight="1" s="5">
      <c r="D190" s="7" t="n"/>
      <c r="E190" s="7" t="n"/>
      <c r="I190" s="7" t="n"/>
    </row>
    <row r="191" ht="15" customHeight="1" s="5">
      <c r="D191" s="7" t="n"/>
      <c r="E191" s="7" t="n"/>
      <c r="I191" s="7" t="n"/>
    </row>
    <row r="192" ht="15" customHeight="1" s="5">
      <c r="D192" s="7" t="n"/>
      <c r="E192" s="7" t="n"/>
      <c r="I192" s="7" t="n"/>
    </row>
    <row r="193" ht="15" customHeight="1" s="5">
      <c r="D193" s="7" t="n"/>
      <c r="E193" s="7" t="n"/>
      <c r="I193" s="7" t="n"/>
    </row>
    <row r="194" ht="15" customHeight="1" s="5">
      <c r="D194" s="7" t="n"/>
      <c r="E194" s="7" t="n"/>
      <c r="I194" s="7" t="n"/>
    </row>
    <row r="195" ht="15" customHeight="1" s="5">
      <c r="D195" s="7" t="n"/>
      <c r="E195" s="7" t="n"/>
      <c r="I195" s="7" t="n"/>
    </row>
    <row r="196" ht="15" customHeight="1" s="5">
      <c r="D196" s="7" t="n"/>
      <c r="E196" s="7" t="n"/>
      <c r="I196" s="7" t="n"/>
    </row>
    <row r="197" ht="15" customHeight="1" s="5">
      <c r="D197" s="7" t="n"/>
      <c r="E197" s="7" t="n"/>
      <c r="I197" s="7" t="n"/>
    </row>
    <row r="198" ht="15" customHeight="1" s="5">
      <c r="D198" s="7" t="n"/>
      <c r="E198" s="7" t="n"/>
      <c r="I198" s="7" t="n"/>
    </row>
    <row r="199" ht="15" customHeight="1" s="5">
      <c r="D199" s="7" t="n"/>
      <c r="E199" s="7" t="n"/>
      <c r="I199" s="7" t="n"/>
    </row>
    <row r="200" ht="15" customHeight="1" s="5">
      <c r="D200" s="7" t="n"/>
      <c r="E200" s="7" t="n"/>
      <c r="I200" s="7" t="n"/>
    </row>
    <row r="201" ht="15" customHeight="1" s="5">
      <c r="D201" s="7" t="n"/>
      <c r="E201" s="7" t="n"/>
      <c r="I201" s="7" t="n"/>
    </row>
    <row r="202" ht="15" customHeight="1" s="5">
      <c r="D202" s="7" t="n"/>
      <c r="E202" s="7" t="n"/>
      <c r="I202" s="7" t="n"/>
    </row>
    <row r="203" ht="15" customHeight="1" s="5">
      <c r="D203" s="7" t="n"/>
      <c r="E203" s="7" t="n"/>
      <c r="I203" s="7" t="n"/>
    </row>
    <row r="204" ht="15" customHeight="1" s="5">
      <c r="D204" s="7" t="n"/>
      <c r="E204" s="7" t="n"/>
      <c r="I204" s="7" t="n"/>
    </row>
    <row r="205" ht="15" customHeight="1" s="5">
      <c r="D205" s="7" t="n"/>
      <c r="E205" s="7" t="n"/>
      <c r="I205" s="7" t="n"/>
    </row>
    <row r="206" ht="15" customHeight="1" s="5">
      <c r="D206" s="7" t="n"/>
      <c r="E206" s="7" t="n"/>
      <c r="I206" s="7" t="n"/>
    </row>
    <row r="207" ht="15" customHeight="1" s="5">
      <c r="D207" s="7" t="n"/>
      <c r="E207" s="7" t="n"/>
      <c r="I207" s="7" t="n"/>
    </row>
    <row r="208" ht="15" customHeight="1" s="5">
      <c r="D208" s="7" t="n"/>
      <c r="E208" s="7" t="n"/>
      <c r="I208" s="7" t="n"/>
    </row>
    <row r="209" ht="15" customHeight="1" s="5">
      <c r="D209" s="7" t="n"/>
      <c r="E209" s="7" t="n"/>
      <c r="I209" s="7" t="n"/>
    </row>
    <row r="210" ht="15" customHeight="1" s="5">
      <c r="D210" s="7" t="n"/>
      <c r="E210" s="7" t="n"/>
      <c r="I210" s="7" t="n"/>
    </row>
    <row r="211" ht="15" customHeight="1" s="5">
      <c r="D211" s="7" t="n"/>
      <c r="E211" s="7" t="n"/>
      <c r="I211" s="7" t="n"/>
    </row>
    <row r="212" ht="15" customHeight="1" s="5">
      <c r="D212" s="7" t="n"/>
      <c r="E212" s="7" t="n"/>
      <c r="I212" s="7" t="n"/>
    </row>
    <row r="213" ht="15" customHeight="1" s="5">
      <c r="D213" s="7" t="n"/>
      <c r="E213" s="7" t="n"/>
      <c r="I213" s="7" t="n"/>
    </row>
    <row r="214" ht="15" customHeight="1" s="5">
      <c r="D214" s="7" t="n"/>
      <c r="E214" s="7" t="n"/>
      <c r="I214" s="7" t="n"/>
    </row>
    <row r="215" ht="15" customHeight="1" s="5">
      <c r="D215" s="7" t="n"/>
      <c r="E215" s="7" t="n"/>
      <c r="I215" s="7" t="n"/>
    </row>
    <row r="216" ht="15" customHeight="1" s="5">
      <c r="D216" s="7" t="n"/>
      <c r="E216" s="7" t="n"/>
      <c r="I216" s="7" t="n"/>
    </row>
    <row r="217" ht="15" customHeight="1" s="5">
      <c r="D217" s="7" t="n"/>
      <c r="E217" s="7" t="n"/>
      <c r="I217" s="7" t="n"/>
    </row>
    <row r="218" ht="15" customHeight="1" s="5">
      <c r="D218" s="7" t="n"/>
      <c r="E218" s="7" t="n"/>
      <c r="I218" s="7" t="n"/>
    </row>
    <row r="219" ht="15" customHeight="1" s="5">
      <c r="D219" s="7" t="n"/>
      <c r="E219" s="7" t="n"/>
      <c r="I219" s="7" t="n"/>
    </row>
    <row r="220" ht="15" customHeight="1" s="5">
      <c r="D220" s="7" t="n"/>
      <c r="E220" s="7" t="n"/>
      <c r="I220" s="7" t="n"/>
    </row>
    <row r="221" ht="15" customHeight="1" s="5">
      <c r="D221" s="7" t="n"/>
      <c r="E221" s="7" t="n"/>
      <c r="I221" s="7" t="n"/>
    </row>
    <row r="222" ht="15" customHeight="1" s="5">
      <c r="D222" s="7" t="n"/>
      <c r="E222" s="7" t="n"/>
      <c r="I222" s="7" t="n"/>
    </row>
    <row r="223" ht="15" customHeight="1" s="5">
      <c r="D223" s="7" t="n"/>
      <c r="E223" s="7" t="n"/>
      <c r="I223" s="7" t="n"/>
    </row>
    <row r="224" ht="15" customHeight="1" s="5">
      <c r="D224" s="7" t="n"/>
      <c r="E224" s="7" t="n"/>
      <c r="I224" s="7" t="n"/>
    </row>
    <row r="225" ht="15" customHeight="1" s="5">
      <c r="D225" s="7" t="n"/>
      <c r="E225" s="7" t="n"/>
      <c r="I225" s="7" t="n"/>
    </row>
    <row r="226" ht="15" customHeight="1" s="5">
      <c r="D226" s="7" t="n"/>
      <c r="E226" s="7" t="n"/>
      <c r="I226" s="7" t="n"/>
    </row>
    <row r="227" ht="15" customHeight="1" s="5">
      <c r="D227" s="7" t="n"/>
      <c r="E227" s="7" t="n"/>
      <c r="I227" s="7" t="n"/>
    </row>
    <row r="228" ht="15" customHeight="1" s="5">
      <c r="D228" s="7" t="n"/>
      <c r="E228" s="7" t="n"/>
      <c r="I228" s="7" t="n"/>
    </row>
    <row r="229" ht="15" customHeight="1" s="5">
      <c r="D229" s="7" t="n"/>
      <c r="E229" s="7" t="n"/>
      <c r="I229" s="7" t="n"/>
    </row>
    <row r="230" ht="15" customHeight="1" s="5">
      <c r="D230" s="7" t="n"/>
      <c r="E230" s="7" t="n"/>
      <c r="I230" s="7" t="n"/>
    </row>
    <row r="231" ht="15" customHeight="1" s="5">
      <c r="D231" s="7" t="n"/>
      <c r="E231" s="7" t="n"/>
      <c r="I231" s="7" t="n"/>
    </row>
    <row r="232" ht="15" customHeight="1" s="5">
      <c r="D232" s="7" t="n"/>
      <c r="E232" s="7" t="n"/>
      <c r="I232" s="7" t="n"/>
    </row>
    <row r="233" ht="15" customHeight="1" s="5">
      <c r="D233" s="7" t="n"/>
      <c r="E233" s="7" t="n"/>
      <c r="I233" s="7" t="n"/>
    </row>
    <row r="234" ht="15" customHeight="1" s="5">
      <c r="D234" s="7" t="n"/>
      <c r="E234" s="7" t="n"/>
      <c r="I234" s="7" t="n"/>
    </row>
    <row r="235" ht="15" customHeight="1" s="5">
      <c r="D235" s="7" t="n"/>
      <c r="E235" s="7" t="n"/>
      <c r="I235" s="7" t="n"/>
    </row>
    <row r="236" ht="15" customHeight="1" s="5">
      <c r="D236" s="7" t="n"/>
      <c r="E236" s="7" t="n"/>
      <c r="I236" s="7" t="n"/>
    </row>
    <row r="237" ht="15" customHeight="1" s="5">
      <c r="D237" s="7" t="n"/>
      <c r="E237" s="7" t="n"/>
      <c r="I237" s="7" t="n"/>
    </row>
    <row r="238" ht="15" customHeight="1" s="5">
      <c r="D238" s="7" t="n"/>
      <c r="E238" s="7" t="n"/>
      <c r="I238" s="7" t="n"/>
    </row>
    <row r="239" ht="15" customHeight="1" s="5">
      <c r="D239" s="7" t="n"/>
      <c r="E239" s="7" t="n"/>
      <c r="I239" s="7" t="n"/>
    </row>
    <row r="240" ht="15" customHeight="1" s="5">
      <c r="D240" s="7" t="n"/>
      <c r="E240" s="7" t="n"/>
      <c r="I240" s="7" t="n"/>
    </row>
    <row r="241" ht="15" customHeight="1" s="5">
      <c r="D241" s="7" t="n"/>
      <c r="E241" s="7" t="n"/>
      <c r="I241" s="7" t="n"/>
    </row>
    <row r="242" ht="15" customHeight="1" s="5">
      <c r="D242" s="7" t="n"/>
      <c r="E242" s="7" t="n"/>
      <c r="I242" s="7" t="n"/>
    </row>
    <row r="243" ht="15" customHeight="1" s="5">
      <c r="D243" s="7" t="n"/>
      <c r="E243" s="7" t="n"/>
      <c r="I243" s="7" t="n"/>
    </row>
    <row r="244" ht="15" customHeight="1" s="5">
      <c r="D244" s="7" t="n"/>
      <c r="E244" s="7" t="n"/>
      <c r="I244" s="7" t="n"/>
    </row>
    <row r="245" ht="15" customHeight="1" s="5">
      <c r="D245" s="7" t="n"/>
      <c r="E245" s="7" t="n"/>
      <c r="I245" s="7" t="n"/>
    </row>
    <row r="246" ht="15" customHeight="1" s="5">
      <c r="D246" s="7" t="n"/>
      <c r="E246" s="7" t="n"/>
      <c r="I246" s="7" t="n"/>
    </row>
    <row r="247" ht="15" customHeight="1" s="5">
      <c r="D247" s="7" t="n"/>
      <c r="E247" s="7" t="n"/>
      <c r="I247" s="7" t="n"/>
    </row>
    <row r="248" ht="15" customHeight="1" s="5">
      <c r="D248" s="7" t="n"/>
      <c r="E248" s="7" t="n"/>
      <c r="I248" s="7" t="n"/>
    </row>
    <row r="249" ht="15" customHeight="1" s="5">
      <c r="D249" s="7" t="n"/>
      <c r="E249" s="7" t="n"/>
      <c r="I249" s="7" t="n"/>
    </row>
    <row r="250" ht="15" customHeight="1" s="5">
      <c r="D250" s="7" t="n"/>
      <c r="E250" s="7" t="n"/>
      <c r="I250" s="7" t="n"/>
    </row>
    <row r="251" ht="15" customHeight="1" s="5">
      <c r="D251" s="7" t="n"/>
      <c r="E251" s="7" t="n"/>
      <c r="I251" s="7" t="n"/>
    </row>
    <row r="252" ht="15" customHeight="1" s="5">
      <c r="D252" s="7" t="n"/>
      <c r="E252" s="7" t="n"/>
      <c r="I252" s="7" t="n"/>
    </row>
    <row r="253" ht="15" customHeight="1" s="5">
      <c r="D253" s="7" t="n"/>
      <c r="E253" s="7" t="n"/>
      <c r="I253" s="7" t="n"/>
    </row>
    <row r="254" ht="15" customHeight="1" s="5">
      <c r="D254" s="7" t="n"/>
      <c r="E254" s="7" t="n"/>
      <c r="I254" s="7" t="n"/>
    </row>
    <row r="255" ht="15" customHeight="1" s="5">
      <c r="D255" s="7" t="n"/>
      <c r="E255" s="7" t="n"/>
      <c r="I255" s="7" t="n"/>
    </row>
    <row r="256" ht="15" customHeight="1" s="5">
      <c r="D256" s="7" t="n"/>
      <c r="E256" s="7" t="n"/>
      <c r="I256" s="7" t="n"/>
    </row>
    <row r="257" ht="15" customHeight="1" s="5">
      <c r="D257" s="7" t="n"/>
      <c r="E257" s="7" t="n"/>
      <c r="I257" s="7" t="n"/>
    </row>
    <row r="258" ht="15" customHeight="1" s="5">
      <c r="D258" s="7" t="n"/>
      <c r="E258" s="7" t="n"/>
      <c r="I258" s="7" t="n"/>
    </row>
    <row r="259" ht="15" customHeight="1" s="5">
      <c r="D259" s="7" t="n"/>
      <c r="E259" s="7" t="n"/>
      <c r="I259" s="7" t="n"/>
    </row>
    <row r="260" ht="15" customHeight="1" s="5">
      <c r="D260" s="7" t="n"/>
      <c r="E260" s="7" t="n"/>
      <c r="I260" s="7" t="n"/>
    </row>
    <row r="261" ht="15" customHeight="1" s="5">
      <c r="D261" s="7" t="n"/>
      <c r="E261" s="7" t="n"/>
      <c r="I261" s="7" t="n"/>
    </row>
    <row r="262" ht="15" customHeight="1" s="5">
      <c r="D262" s="7" t="n"/>
      <c r="E262" s="7" t="n"/>
      <c r="I262" s="7" t="n"/>
    </row>
    <row r="263" ht="15" customHeight="1" s="5">
      <c r="D263" s="7" t="n"/>
      <c r="E263" s="7" t="n"/>
      <c r="I263" s="7" t="n"/>
    </row>
    <row r="264" ht="15" customHeight="1" s="5">
      <c r="D264" s="7" t="n"/>
      <c r="E264" s="7" t="n"/>
      <c r="I264" s="7" t="n"/>
    </row>
    <row r="265" ht="15" customHeight="1" s="5">
      <c r="D265" s="7" t="n"/>
      <c r="E265" s="7" t="n"/>
      <c r="I265" s="7" t="n"/>
    </row>
    <row r="266" ht="15" customHeight="1" s="5">
      <c r="D266" s="7" t="n"/>
      <c r="E266" s="7" t="n"/>
      <c r="I266" s="7" t="n"/>
    </row>
    <row r="267" ht="15" customHeight="1" s="5">
      <c r="D267" s="7" t="n"/>
      <c r="E267" s="7" t="n"/>
      <c r="I267" s="7" t="n"/>
    </row>
    <row r="268" ht="15" customHeight="1" s="5">
      <c r="D268" s="7" t="n"/>
      <c r="E268" s="7" t="n"/>
      <c r="I268" s="7" t="n"/>
    </row>
    <row r="269" ht="15" customHeight="1" s="5">
      <c r="D269" s="7" t="n"/>
      <c r="E269" s="7" t="n"/>
      <c r="I269" s="7" t="n"/>
    </row>
    <row r="270" ht="15" customHeight="1" s="5">
      <c r="D270" s="7" t="n"/>
      <c r="E270" s="7" t="n"/>
      <c r="I270" s="7" t="n"/>
    </row>
    <row r="271" ht="15" customHeight="1" s="5">
      <c r="D271" s="7" t="n"/>
      <c r="E271" s="7" t="n"/>
      <c r="I271" s="7" t="n"/>
    </row>
    <row r="272" ht="15" customHeight="1" s="5">
      <c r="D272" s="7" t="n"/>
      <c r="E272" s="7" t="n"/>
      <c r="I272" s="7" t="n"/>
    </row>
    <row r="273" ht="15" customHeight="1" s="5">
      <c r="D273" s="7" t="n"/>
      <c r="E273" s="7" t="n"/>
      <c r="I273" s="7" t="n"/>
    </row>
    <row r="274" ht="15" customHeight="1" s="5">
      <c r="D274" s="7" t="n"/>
      <c r="E274" s="7" t="n"/>
      <c r="I274" s="7" t="n"/>
    </row>
    <row r="275" ht="15" customHeight="1" s="5">
      <c r="D275" s="7" t="n"/>
      <c r="E275" s="7" t="n"/>
      <c r="I275" s="7" t="n"/>
    </row>
    <row r="276" ht="15" customHeight="1" s="5">
      <c r="D276" s="7" t="n"/>
      <c r="E276" s="7" t="n"/>
      <c r="I276" s="7" t="n"/>
    </row>
    <row r="277" ht="15" customHeight="1" s="5">
      <c r="D277" s="7" t="n"/>
      <c r="E277" s="7" t="n"/>
      <c r="I277" s="7" t="n"/>
    </row>
    <row r="278" ht="15" customHeight="1" s="5">
      <c r="D278" s="7" t="n"/>
      <c r="E278" s="7" t="n"/>
      <c r="I278" s="7" t="n"/>
    </row>
    <row r="279" ht="15" customHeight="1" s="5">
      <c r="D279" s="7" t="n"/>
      <c r="E279" s="7" t="n"/>
      <c r="I279" s="7" t="n"/>
    </row>
    <row r="280" ht="15" customHeight="1" s="5">
      <c r="D280" s="7" t="n"/>
      <c r="E280" s="7" t="n"/>
      <c r="I280" s="7" t="n"/>
    </row>
    <row r="281" ht="15" customHeight="1" s="5">
      <c r="D281" s="7" t="n"/>
      <c r="E281" s="7" t="n"/>
      <c r="I281" s="7" t="n"/>
    </row>
    <row r="282" ht="15" customHeight="1" s="5">
      <c r="D282" s="7" t="n"/>
      <c r="E282" s="7" t="n"/>
      <c r="I282" s="7" t="n"/>
    </row>
    <row r="283" ht="15" customHeight="1" s="5">
      <c r="D283" s="7" t="n"/>
      <c r="E283" s="7" t="n"/>
      <c r="I283" s="7" t="n"/>
    </row>
    <row r="284" ht="15" customHeight="1" s="5">
      <c r="D284" s="7" t="n"/>
      <c r="E284" s="7" t="n"/>
      <c r="I284" s="7" t="n"/>
    </row>
    <row r="285" ht="15" customHeight="1" s="5">
      <c r="D285" s="7" t="n"/>
      <c r="E285" s="7" t="n"/>
      <c r="I285" s="7" t="n"/>
    </row>
    <row r="286" ht="15" customHeight="1" s="5">
      <c r="D286" s="7" t="n"/>
      <c r="E286" s="7" t="n"/>
      <c r="I286" s="7" t="n"/>
    </row>
    <row r="287" ht="15" customHeight="1" s="5">
      <c r="D287" s="7" t="n"/>
      <c r="E287" s="7" t="n"/>
      <c r="I287" s="7" t="n"/>
    </row>
    <row r="288" ht="15" customHeight="1" s="5">
      <c r="D288" s="7" t="n"/>
      <c r="E288" s="7" t="n"/>
      <c r="I288" s="7" t="n"/>
    </row>
    <row r="289" ht="15" customHeight="1" s="5">
      <c r="D289" s="7" t="n"/>
      <c r="E289" s="7" t="n"/>
      <c r="I289" s="7" t="n"/>
    </row>
    <row r="290" ht="15" customHeight="1" s="5">
      <c r="D290" s="7" t="n"/>
      <c r="E290" s="7" t="n"/>
      <c r="I290" s="7" t="n"/>
    </row>
    <row r="291" ht="15" customHeight="1" s="5">
      <c r="D291" s="7" t="n"/>
      <c r="E291" s="7" t="n"/>
      <c r="I291" s="7" t="n"/>
    </row>
    <row r="292" ht="15" customHeight="1" s="5">
      <c r="D292" s="7" t="n"/>
      <c r="E292" s="7" t="n"/>
      <c r="I292" s="7" t="n"/>
    </row>
    <row r="293" ht="15" customHeight="1" s="5">
      <c r="D293" s="7" t="n"/>
      <c r="E293" s="7" t="n"/>
      <c r="I293" s="7" t="n"/>
    </row>
    <row r="294" ht="15" customHeight="1" s="5">
      <c r="D294" s="7" t="n"/>
      <c r="E294" s="7" t="n"/>
      <c r="I294" s="7" t="n"/>
    </row>
    <row r="295" ht="15" customHeight="1" s="5">
      <c r="D295" s="7" t="n"/>
      <c r="E295" s="7" t="n"/>
      <c r="I295" s="7" t="n"/>
    </row>
    <row r="296" ht="15" customHeight="1" s="5">
      <c r="D296" s="7" t="n"/>
      <c r="E296" s="7" t="n"/>
      <c r="I296" s="7" t="n"/>
    </row>
    <row r="297" ht="15" customHeight="1" s="5">
      <c r="D297" s="7" t="n"/>
      <c r="E297" s="7" t="n"/>
      <c r="I297" s="7" t="n"/>
    </row>
    <row r="298" ht="15" customHeight="1" s="5">
      <c r="D298" s="7" t="n"/>
      <c r="E298" s="7" t="n"/>
      <c r="I298" s="7" t="n"/>
    </row>
    <row r="299" ht="15" customHeight="1" s="5">
      <c r="D299" s="7" t="n"/>
      <c r="E299" s="7" t="n"/>
      <c r="I299" s="7" t="n"/>
    </row>
    <row r="300" ht="15" customHeight="1" s="5">
      <c r="D300" s="7" t="n"/>
      <c r="E300" s="7" t="n"/>
      <c r="I300" s="7" t="n"/>
    </row>
    <row r="301" ht="15" customHeight="1" s="5">
      <c r="D301" s="7" t="n"/>
      <c r="E301" s="7" t="n"/>
      <c r="I301" s="7" t="n"/>
    </row>
    <row r="302" ht="15" customHeight="1" s="5">
      <c r="D302" s="7" t="n"/>
      <c r="E302" s="7" t="n"/>
      <c r="I302" s="7" t="n"/>
    </row>
    <row r="303" ht="15" customHeight="1" s="5">
      <c r="D303" s="7" t="n"/>
      <c r="E303" s="7" t="n"/>
      <c r="I303" s="7" t="n"/>
    </row>
    <row r="304" ht="15" customHeight="1" s="5">
      <c r="D304" s="7" t="n"/>
      <c r="E304" s="7" t="n"/>
      <c r="I304" s="7" t="n"/>
    </row>
    <row r="305" ht="15" customHeight="1" s="5">
      <c r="D305" s="7" t="n"/>
      <c r="E305" s="7" t="n"/>
      <c r="I305" s="7" t="n"/>
    </row>
    <row r="306" ht="15" customHeight="1" s="5">
      <c r="D306" s="7" t="n"/>
      <c r="E306" s="7" t="n"/>
      <c r="I306" s="7" t="n"/>
    </row>
    <row r="307" ht="15" customHeight="1" s="5">
      <c r="D307" s="7" t="n"/>
      <c r="E307" s="7" t="n"/>
      <c r="I307" s="7" t="n"/>
    </row>
    <row r="308" ht="15" customHeight="1" s="5">
      <c r="D308" s="7" t="n"/>
      <c r="E308" s="7" t="n"/>
      <c r="I308" s="7" t="n"/>
    </row>
    <row r="309" ht="15" customHeight="1" s="5">
      <c r="D309" s="7" t="n"/>
      <c r="E309" s="7" t="n"/>
      <c r="I309" s="7" t="n"/>
    </row>
    <row r="310" ht="15" customHeight="1" s="5">
      <c r="D310" s="7" t="n"/>
      <c r="E310" s="7" t="n"/>
      <c r="I310" s="7" t="n"/>
    </row>
    <row r="311" ht="15" customHeight="1" s="5">
      <c r="D311" s="7" t="n"/>
      <c r="E311" s="7" t="n"/>
      <c r="I311" s="7" t="n"/>
    </row>
    <row r="312" ht="15" customHeight="1" s="5">
      <c r="D312" s="7" t="n"/>
      <c r="E312" s="7" t="n"/>
      <c r="I312" s="7" t="n"/>
    </row>
    <row r="313" ht="15" customHeight="1" s="5">
      <c r="D313" s="7" t="n"/>
      <c r="E313" s="7" t="n"/>
      <c r="I313" s="7" t="n"/>
    </row>
    <row r="314" ht="15" customHeight="1" s="5">
      <c r="D314" s="7" t="n"/>
      <c r="E314" s="7" t="n"/>
      <c r="I314" s="7" t="n"/>
    </row>
    <row r="315" ht="15" customHeight="1" s="5">
      <c r="D315" s="7" t="n"/>
      <c r="E315" s="7" t="n"/>
      <c r="I315" s="7" t="n"/>
    </row>
    <row r="316" ht="15" customHeight="1" s="5">
      <c r="D316" s="7" t="n"/>
      <c r="E316" s="7" t="n"/>
      <c r="I316" s="7" t="n"/>
    </row>
    <row r="317" ht="15" customHeight="1" s="5">
      <c r="D317" s="7" t="n"/>
      <c r="E317" s="7" t="n"/>
      <c r="I317" s="7" t="n"/>
    </row>
    <row r="318" ht="15" customHeight="1" s="5">
      <c r="D318" s="7" t="n"/>
      <c r="E318" s="7" t="n"/>
      <c r="I318" s="7" t="n"/>
    </row>
    <row r="319" ht="15" customHeight="1" s="5">
      <c r="D319" s="7" t="n"/>
      <c r="E319" s="7" t="n"/>
      <c r="I319" s="7" t="n"/>
    </row>
    <row r="320" ht="15" customHeight="1" s="5">
      <c r="D320" s="7" t="n"/>
      <c r="E320" s="7" t="n"/>
      <c r="I320" s="7" t="n"/>
    </row>
    <row r="321" ht="15" customHeight="1" s="5">
      <c r="D321" s="7" t="n"/>
      <c r="E321" s="7" t="n"/>
      <c r="I321" s="7" t="n"/>
    </row>
    <row r="322" ht="15" customHeight="1" s="5">
      <c r="D322" s="7" t="n"/>
      <c r="E322" s="7" t="n"/>
      <c r="I322" s="7" t="n"/>
    </row>
    <row r="323" ht="15" customHeight="1" s="5">
      <c r="D323" s="7" t="n"/>
      <c r="E323" s="7" t="n"/>
      <c r="I323" s="7" t="n"/>
    </row>
    <row r="324" ht="15" customHeight="1" s="5">
      <c r="D324" s="7" t="n"/>
      <c r="E324" s="7" t="n"/>
      <c r="I324" s="7" t="n"/>
    </row>
    <row r="325" ht="15" customHeight="1" s="5">
      <c r="D325" s="7" t="n"/>
      <c r="E325" s="7" t="n"/>
      <c r="I325" s="7" t="n"/>
    </row>
    <row r="326" ht="15" customHeight="1" s="5">
      <c r="D326" s="7" t="n"/>
      <c r="E326" s="7" t="n"/>
      <c r="I326" s="7" t="n"/>
    </row>
    <row r="327" ht="15" customHeight="1" s="5">
      <c r="D327" s="7" t="n"/>
      <c r="E327" s="7" t="n"/>
      <c r="I327" s="7" t="n"/>
    </row>
    <row r="328" ht="15" customHeight="1" s="5">
      <c r="D328" s="7" t="n"/>
      <c r="E328" s="7" t="n"/>
      <c r="I328" s="7" t="n"/>
    </row>
    <row r="329" ht="15" customHeight="1" s="5">
      <c r="D329" s="7" t="n"/>
      <c r="E329" s="7" t="n"/>
      <c r="I329" s="7" t="n"/>
    </row>
    <row r="330" ht="15" customHeight="1" s="5">
      <c r="D330" s="7" t="n"/>
      <c r="E330" s="7" t="n"/>
      <c r="I330" s="7" t="n"/>
    </row>
    <row r="331" ht="15" customHeight="1" s="5">
      <c r="D331" s="7" t="n"/>
      <c r="E331" s="7" t="n"/>
      <c r="I331" s="7" t="n"/>
    </row>
    <row r="332" ht="15" customHeight="1" s="5">
      <c r="D332" s="7" t="n"/>
      <c r="E332" s="7" t="n"/>
      <c r="I332" s="7" t="n"/>
    </row>
    <row r="333" ht="15" customHeight="1" s="5">
      <c r="D333" s="7" t="n"/>
      <c r="E333" s="7" t="n"/>
      <c r="I333" s="7" t="n"/>
    </row>
    <row r="334" ht="15" customHeight="1" s="5">
      <c r="D334" s="7" t="n"/>
      <c r="E334" s="7" t="n"/>
      <c r="I334" s="7" t="n"/>
    </row>
    <row r="335" ht="15" customHeight="1" s="5">
      <c r="D335" s="7" t="n"/>
      <c r="E335" s="7" t="n"/>
      <c r="I335" s="7" t="n"/>
    </row>
    <row r="336" ht="15" customHeight="1" s="5">
      <c r="D336" s="7" t="n"/>
      <c r="E336" s="7" t="n"/>
      <c r="I336" s="7" t="n"/>
    </row>
    <row r="337" ht="15" customHeight="1" s="5">
      <c r="D337" s="7" t="n"/>
      <c r="E337" s="7" t="n"/>
      <c r="I337" s="7" t="n"/>
    </row>
    <row r="338" ht="15" customHeight="1" s="5">
      <c r="D338" s="7" t="n"/>
      <c r="E338" s="7" t="n"/>
      <c r="I338" s="7" t="n"/>
    </row>
    <row r="339" ht="15" customHeight="1" s="5">
      <c r="D339" s="7" t="n"/>
      <c r="E339" s="7" t="n"/>
      <c r="I339" s="7" t="n"/>
    </row>
    <row r="340" ht="15" customHeight="1" s="5">
      <c r="D340" s="7" t="n"/>
      <c r="E340" s="7" t="n"/>
      <c r="I340" s="7" t="n"/>
    </row>
    <row r="341" ht="15" customHeight="1" s="5">
      <c r="D341" s="7" t="n"/>
      <c r="E341" s="7" t="n"/>
      <c r="I341" s="7" t="n"/>
    </row>
    <row r="342" ht="15" customHeight="1" s="5">
      <c r="D342" s="7" t="n"/>
      <c r="E342" s="7" t="n"/>
      <c r="I342" s="7" t="n"/>
    </row>
    <row r="343" ht="15" customHeight="1" s="5">
      <c r="D343" s="7" t="n"/>
      <c r="E343" s="7" t="n"/>
      <c r="I343" s="7" t="n"/>
    </row>
    <row r="344" ht="15" customHeight="1" s="5">
      <c r="D344" s="7" t="n"/>
      <c r="E344" s="7" t="n"/>
      <c r="I344" s="7" t="n"/>
    </row>
    <row r="345" ht="15" customHeight="1" s="5">
      <c r="D345" s="7" t="n"/>
      <c r="E345" s="7" t="n"/>
      <c r="I345" s="7" t="n"/>
    </row>
    <row r="346" ht="15" customHeight="1" s="5">
      <c r="D346" s="7" t="n"/>
      <c r="E346" s="7" t="n"/>
      <c r="I346" s="7" t="n"/>
    </row>
    <row r="347" ht="15" customHeight="1" s="5">
      <c r="D347" s="7" t="n"/>
      <c r="E347" s="7" t="n"/>
      <c r="I347" s="7" t="n"/>
    </row>
    <row r="348" ht="15" customHeight="1" s="5">
      <c r="D348" s="7" t="n"/>
      <c r="E348" s="7" t="n"/>
      <c r="I348" s="7" t="n"/>
    </row>
    <row r="349" ht="15" customHeight="1" s="5">
      <c r="D349" s="7" t="n"/>
      <c r="E349" s="7" t="n"/>
      <c r="I349" s="7" t="n"/>
    </row>
    <row r="350" ht="15" customHeight="1" s="5">
      <c r="D350" s="7" t="n"/>
      <c r="E350" s="7" t="n"/>
      <c r="I350" s="7" t="n"/>
    </row>
    <row r="351" ht="15" customHeight="1" s="5">
      <c r="D351" s="7" t="n"/>
      <c r="E351" s="7" t="n"/>
      <c r="I351" s="7" t="n"/>
    </row>
    <row r="352" ht="15" customHeight="1" s="5">
      <c r="D352" s="7" t="n"/>
      <c r="E352" s="7" t="n"/>
      <c r="I352" s="7" t="n"/>
    </row>
    <row r="353" ht="15" customHeight="1" s="5">
      <c r="D353" s="7" t="n"/>
      <c r="E353" s="7" t="n"/>
      <c r="I353" s="7" t="n"/>
    </row>
    <row r="354" ht="15" customHeight="1" s="5">
      <c r="D354" s="7" t="n"/>
      <c r="E354" s="7" t="n"/>
      <c r="I354" s="7" t="n"/>
    </row>
    <row r="355" ht="15" customHeight="1" s="5">
      <c r="D355" s="7" t="n"/>
      <c r="E355" s="7" t="n"/>
      <c r="I355" s="7" t="n"/>
    </row>
    <row r="356" ht="15" customHeight="1" s="5">
      <c r="D356" s="7" t="n"/>
      <c r="E356" s="7" t="n"/>
      <c r="I356" s="7" t="n"/>
    </row>
    <row r="357" ht="15" customHeight="1" s="5">
      <c r="D357" s="7" t="n"/>
      <c r="E357" s="7" t="n"/>
      <c r="I357" s="7" t="n"/>
    </row>
    <row r="358" ht="15" customHeight="1" s="5">
      <c r="D358" s="7" t="n"/>
      <c r="E358" s="7" t="n"/>
      <c r="I358" s="7" t="n"/>
    </row>
    <row r="359" ht="15" customHeight="1" s="5">
      <c r="D359" s="7" t="n"/>
      <c r="E359" s="7" t="n"/>
      <c r="I359" s="7" t="n"/>
    </row>
    <row r="360" ht="15" customHeight="1" s="5">
      <c r="D360" s="7" t="n"/>
      <c r="E360" s="7" t="n"/>
      <c r="I360" s="7" t="n"/>
    </row>
    <row r="361" ht="15" customHeight="1" s="5">
      <c r="D361" s="7" t="n"/>
      <c r="E361" s="7" t="n"/>
      <c r="I361" s="7" t="n"/>
    </row>
    <row r="362" ht="15" customHeight="1" s="5">
      <c r="D362" s="7" t="n"/>
      <c r="E362" s="7" t="n"/>
      <c r="I362" s="7" t="n"/>
    </row>
    <row r="363" ht="15" customHeight="1" s="5">
      <c r="D363" s="7" t="n"/>
      <c r="E363" s="7" t="n"/>
      <c r="I363" s="7" t="n"/>
    </row>
    <row r="364" ht="15" customHeight="1" s="5">
      <c r="D364" s="7" t="n"/>
      <c r="E364" s="7" t="n"/>
      <c r="I364" s="7" t="n"/>
    </row>
    <row r="365" ht="15" customHeight="1" s="5">
      <c r="D365" s="7" t="n"/>
      <c r="E365" s="7" t="n"/>
      <c r="I365" s="7" t="n"/>
    </row>
    <row r="366" ht="15" customHeight="1" s="5">
      <c r="D366" s="7" t="n"/>
      <c r="E366" s="7" t="n"/>
      <c r="I366" s="7" t="n"/>
    </row>
    <row r="367" ht="15" customHeight="1" s="5">
      <c r="D367" s="7" t="n"/>
      <c r="E367" s="7" t="n"/>
      <c r="I367" s="7" t="n"/>
    </row>
    <row r="368" ht="15" customHeight="1" s="5">
      <c r="D368" s="7" t="n"/>
      <c r="E368" s="7" t="n"/>
      <c r="I368" s="7" t="n"/>
    </row>
    <row r="369" ht="15" customHeight="1" s="5">
      <c r="D369" s="7" t="n"/>
      <c r="E369" s="7" t="n"/>
      <c r="I369" s="7" t="n"/>
    </row>
    <row r="370" ht="15" customHeight="1" s="5">
      <c r="D370" s="7" t="n"/>
      <c r="E370" s="7" t="n"/>
      <c r="I370" s="7" t="n"/>
    </row>
    <row r="371" ht="15" customHeight="1" s="5">
      <c r="D371" s="7" t="n"/>
      <c r="E371" s="7" t="n"/>
      <c r="I371" s="7" t="n"/>
    </row>
    <row r="372" ht="15" customHeight="1" s="5">
      <c r="D372" s="7" t="n"/>
      <c r="E372" s="7" t="n"/>
      <c r="I372" s="7" t="n"/>
    </row>
    <row r="373" ht="15" customHeight="1" s="5">
      <c r="D373" s="7" t="n"/>
      <c r="E373" s="7" t="n"/>
      <c r="I373" s="7" t="n"/>
    </row>
    <row r="374" ht="15" customHeight="1" s="5">
      <c r="D374" s="7" t="n"/>
      <c r="E374" s="7" t="n"/>
      <c r="I374" s="7" t="n"/>
    </row>
    <row r="375" ht="15" customHeight="1" s="5">
      <c r="D375" s="7" t="n"/>
      <c r="E375" s="7" t="n"/>
      <c r="I375" s="7" t="n"/>
    </row>
    <row r="376" ht="15" customHeight="1" s="5">
      <c r="D376" s="7" t="n"/>
      <c r="E376" s="7" t="n"/>
      <c r="I376" s="7" t="n"/>
    </row>
    <row r="377" ht="15" customHeight="1" s="5">
      <c r="D377" s="7" t="n"/>
      <c r="E377" s="7" t="n"/>
      <c r="I377" s="7" t="n"/>
    </row>
    <row r="378" ht="15" customHeight="1" s="5">
      <c r="D378" s="7" t="n"/>
      <c r="E378" s="7" t="n"/>
      <c r="I378" s="7" t="n"/>
    </row>
    <row r="379" ht="15" customHeight="1" s="5">
      <c r="D379" s="7" t="n"/>
      <c r="E379" s="7" t="n"/>
      <c r="I379" s="7" t="n"/>
    </row>
    <row r="380" ht="15" customHeight="1" s="5">
      <c r="D380" s="7" t="n"/>
      <c r="E380" s="7" t="n"/>
      <c r="I380" s="7" t="n"/>
    </row>
    <row r="381" ht="15" customHeight="1" s="5">
      <c r="D381" s="7" t="n"/>
      <c r="E381" s="7" t="n"/>
      <c r="I381" s="7" t="n"/>
    </row>
    <row r="382" ht="15" customHeight="1" s="5">
      <c r="D382" s="7" t="n"/>
      <c r="E382" s="7" t="n"/>
      <c r="I382" s="7" t="n"/>
    </row>
    <row r="383" ht="15" customHeight="1" s="5">
      <c r="D383" s="7" t="n"/>
      <c r="E383" s="7" t="n"/>
      <c r="I383" s="7" t="n"/>
    </row>
    <row r="384" ht="15" customHeight="1" s="5">
      <c r="D384" s="7" t="n"/>
      <c r="E384" s="7" t="n"/>
      <c r="I384" s="7" t="n"/>
    </row>
    <row r="385" ht="15" customHeight="1" s="5">
      <c r="D385" s="7" t="n"/>
      <c r="E385" s="7" t="n"/>
      <c r="I385" s="7" t="n"/>
    </row>
    <row r="386" ht="15" customHeight="1" s="5">
      <c r="D386" s="7" t="n"/>
      <c r="E386" s="7" t="n"/>
      <c r="I386" s="7" t="n"/>
    </row>
    <row r="387" ht="15" customHeight="1" s="5">
      <c r="D387" s="7" t="n"/>
      <c r="E387" s="7" t="n"/>
      <c r="I387" s="7" t="n"/>
    </row>
    <row r="388" ht="15" customHeight="1" s="5">
      <c r="D388" s="7" t="n"/>
      <c r="E388" s="7" t="n"/>
      <c r="I388" s="7" t="n"/>
    </row>
    <row r="389" ht="15" customHeight="1" s="5">
      <c r="D389" s="7" t="n"/>
      <c r="E389" s="7" t="n"/>
      <c r="I389" s="7" t="n"/>
    </row>
    <row r="390" ht="15" customHeight="1" s="5">
      <c r="D390" s="7" t="n"/>
      <c r="E390" s="7" t="n"/>
      <c r="I390" s="7" t="n"/>
    </row>
    <row r="391" ht="15" customHeight="1" s="5">
      <c r="D391" s="7" t="n"/>
      <c r="E391" s="7" t="n"/>
      <c r="I391" s="7" t="n"/>
    </row>
    <row r="392" ht="15" customHeight="1" s="5">
      <c r="D392" s="7" t="n"/>
      <c r="E392" s="7" t="n"/>
      <c r="I392" s="7" t="n"/>
    </row>
    <row r="393" ht="15" customHeight="1" s="5">
      <c r="D393" s="7" t="n"/>
      <c r="E393" s="7" t="n"/>
      <c r="I393" s="7" t="n"/>
    </row>
    <row r="394" ht="15" customHeight="1" s="5">
      <c r="D394" s="7" t="n"/>
      <c r="E394" s="7" t="n"/>
      <c r="I394" s="7" t="n"/>
    </row>
    <row r="395" ht="15" customHeight="1" s="5">
      <c r="D395" s="7" t="n"/>
      <c r="E395" s="7" t="n"/>
      <c r="I395" s="7" t="n"/>
    </row>
    <row r="396" ht="15" customHeight="1" s="5">
      <c r="D396" s="7" t="n"/>
      <c r="E396" s="7" t="n"/>
      <c r="I396" s="7" t="n"/>
    </row>
    <row r="397" ht="15" customHeight="1" s="5">
      <c r="D397" s="7" t="n"/>
      <c r="E397" s="7" t="n"/>
      <c r="I397" s="7" t="n"/>
    </row>
    <row r="398" ht="15" customHeight="1" s="5">
      <c r="D398" s="7" t="n"/>
      <c r="E398" s="7" t="n"/>
      <c r="I398" s="7" t="n"/>
    </row>
    <row r="399" ht="15" customHeight="1" s="5">
      <c r="D399" s="7" t="n"/>
      <c r="E399" s="7" t="n"/>
      <c r="I399" s="7" t="n"/>
    </row>
    <row r="400" ht="15" customHeight="1" s="5">
      <c r="D400" s="7" t="n"/>
      <c r="E400" s="7" t="n"/>
      <c r="I400" s="7" t="n"/>
    </row>
    <row r="401" ht="15" customHeight="1" s="5">
      <c r="D401" s="7" t="n"/>
      <c r="E401" s="7" t="n"/>
      <c r="I401" s="7" t="n"/>
    </row>
    <row r="402" ht="15" customHeight="1" s="5">
      <c r="D402" s="7" t="n"/>
      <c r="E402" s="7" t="n"/>
      <c r="I402" s="7" t="n"/>
    </row>
    <row r="403" ht="15" customHeight="1" s="5">
      <c r="D403" s="7" t="n"/>
      <c r="E403" s="7" t="n"/>
      <c r="I403" s="7" t="n"/>
    </row>
    <row r="404" ht="15" customHeight="1" s="5">
      <c r="D404" s="7" t="n"/>
      <c r="E404" s="7" t="n"/>
      <c r="I404" s="7" t="n"/>
    </row>
    <row r="405" ht="15" customHeight="1" s="5">
      <c r="D405" s="7" t="n"/>
      <c r="E405" s="7" t="n"/>
      <c r="I405" s="7" t="n"/>
    </row>
    <row r="406" ht="15" customHeight="1" s="5">
      <c r="D406" s="7" t="n"/>
      <c r="E406" s="7" t="n"/>
      <c r="I406" s="7" t="n"/>
    </row>
    <row r="407" ht="15" customHeight="1" s="5">
      <c r="D407" s="7" t="n"/>
      <c r="E407" s="7" t="n"/>
      <c r="I407" s="7" t="n"/>
    </row>
    <row r="408" ht="15" customHeight="1" s="5">
      <c r="D408" s="7" t="n"/>
      <c r="E408" s="7" t="n"/>
      <c r="I408" s="7" t="n"/>
    </row>
    <row r="409" ht="15" customHeight="1" s="5">
      <c r="D409" s="7" t="n"/>
      <c r="E409" s="7" t="n"/>
      <c r="I409" s="7" t="n"/>
    </row>
    <row r="410" ht="15" customHeight="1" s="5">
      <c r="D410" s="7" t="n"/>
      <c r="E410" s="7" t="n"/>
      <c r="I410" s="7" t="n"/>
    </row>
    <row r="411" ht="15" customHeight="1" s="5">
      <c r="D411" s="7" t="n"/>
      <c r="E411" s="7" t="n"/>
      <c r="I411" s="7" t="n"/>
    </row>
    <row r="412" ht="15" customHeight="1" s="5">
      <c r="D412" s="7" t="n"/>
      <c r="E412" s="7" t="n"/>
      <c r="I412" s="7" t="n"/>
    </row>
    <row r="413" ht="15" customHeight="1" s="5">
      <c r="D413" s="7" t="n"/>
      <c r="E413" s="7" t="n"/>
      <c r="I413" s="7" t="n"/>
    </row>
    <row r="414" ht="15" customHeight="1" s="5">
      <c r="D414" s="7" t="n"/>
      <c r="E414" s="7" t="n"/>
      <c r="I414" s="7" t="n"/>
    </row>
    <row r="415" ht="15" customHeight="1" s="5">
      <c r="D415" s="7" t="n"/>
      <c r="E415" s="7" t="n"/>
      <c r="I415" s="7" t="n"/>
    </row>
    <row r="416" ht="15" customHeight="1" s="5">
      <c r="D416" s="7" t="n"/>
      <c r="E416" s="7" t="n"/>
      <c r="I416" s="7" t="n"/>
    </row>
    <row r="417" ht="15" customHeight="1" s="5">
      <c r="D417" s="7" t="n"/>
      <c r="E417" s="7" t="n"/>
      <c r="I417" s="7" t="n"/>
    </row>
    <row r="418" ht="15" customHeight="1" s="5">
      <c r="D418" s="7" t="n"/>
      <c r="E418" s="7" t="n"/>
      <c r="I418" s="7" t="n"/>
    </row>
    <row r="419" ht="15" customHeight="1" s="5">
      <c r="D419" s="7" t="n"/>
      <c r="E419" s="7" t="n"/>
      <c r="I419" s="7" t="n"/>
    </row>
    <row r="420" ht="15" customHeight="1" s="5">
      <c r="D420" s="7" t="n"/>
      <c r="E420" s="7" t="n"/>
      <c r="I420" s="7" t="n"/>
    </row>
    <row r="421" ht="15" customHeight="1" s="5">
      <c r="D421" s="7" t="n"/>
      <c r="E421" s="7" t="n"/>
      <c r="I421" s="7" t="n"/>
    </row>
    <row r="422" ht="15" customHeight="1" s="5">
      <c r="D422" s="7" t="n"/>
      <c r="E422" s="7" t="n"/>
      <c r="I422" s="7" t="n"/>
    </row>
    <row r="423" ht="15" customHeight="1" s="5">
      <c r="D423" s="7" t="n"/>
      <c r="E423" s="7" t="n"/>
      <c r="I423" s="7" t="n"/>
    </row>
    <row r="424" ht="15" customHeight="1" s="5">
      <c r="D424" s="7" t="n"/>
      <c r="E424" s="7" t="n"/>
      <c r="I424" s="7" t="n"/>
    </row>
    <row r="425" ht="15" customHeight="1" s="5">
      <c r="D425" s="7" t="n"/>
      <c r="E425" s="7" t="n"/>
      <c r="I425" s="7" t="n"/>
    </row>
    <row r="426" ht="15" customHeight="1" s="5">
      <c r="D426" s="7" t="n"/>
      <c r="E426" s="7" t="n"/>
      <c r="I426" s="7" t="n"/>
    </row>
    <row r="427" ht="15" customHeight="1" s="5">
      <c r="D427" s="7" t="n"/>
      <c r="E427" s="7" t="n"/>
      <c r="I427" s="7" t="n"/>
    </row>
    <row r="428" ht="15" customHeight="1" s="5">
      <c r="D428" s="7" t="n"/>
      <c r="E428" s="7" t="n"/>
      <c r="I428" s="7" t="n"/>
    </row>
    <row r="429" ht="15" customHeight="1" s="5">
      <c r="D429" s="7" t="n"/>
      <c r="E429" s="7" t="n"/>
      <c r="I429" s="7" t="n"/>
    </row>
    <row r="430" ht="15" customHeight="1" s="5">
      <c r="D430" s="7" t="n"/>
      <c r="E430" s="7" t="n"/>
      <c r="I430" s="7" t="n"/>
    </row>
    <row r="431" ht="15" customHeight="1" s="5">
      <c r="D431" s="7" t="n"/>
      <c r="E431" s="7" t="n"/>
      <c r="I431" s="7" t="n"/>
    </row>
    <row r="432" ht="15" customHeight="1" s="5">
      <c r="D432" s="7" t="n"/>
      <c r="E432" s="7" t="n"/>
      <c r="I432" s="7" t="n"/>
    </row>
    <row r="433" ht="15" customHeight="1" s="5">
      <c r="D433" s="7" t="n"/>
      <c r="E433" s="7" t="n"/>
      <c r="I433" s="7" t="n"/>
    </row>
    <row r="434" ht="15" customHeight="1" s="5">
      <c r="D434" s="7" t="n"/>
      <c r="E434" s="7" t="n"/>
      <c r="I434" s="7" t="n"/>
    </row>
    <row r="435" ht="15" customHeight="1" s="5">
      <c r="D435" s="7" t="n"/>
      <c r="E435" s="7" t="n"/>
      <c r="I435" s="7" t="n"/>
    </row>
    <row r="436" ht="15" customHeight="1" s="5">
      <c r="D436" s="7" t="n"/>
      <c r="E436" s="7" t="n"/>
      <c r="I436" s="7" t="n"/>
    </row>
    <row r="437" ht="15" customHeight="1" s="5">
      <c r="D437" s="7" t="n"/>
      <c r="E437" s="7" t="n"/>
      <c r="I437" s="7" t="n"/>
    </row>
    <row r="438" ht="15" customHeight="1" s="5">
      <c r="D438" s="7" t="n"/>
      <c r="E438" s="7" t="n"/>
      <c r="I438" s="7" t="n"/>
    </row>
    <row r="439" ht="15" customHeight="1" s="5">
      <c r="D439" s="7" t="n"/>
      <c r="E439" s="7" t="n"/>
      <c r="I439" s="7" t="n"/>
    </row>
    <row r="440" ht="15" customHeight="1" s="5">
      <c r="D440" s="7" t="n"/>
      <c r="E440" s="7" t="n"/>
      <c r="I440" s="7" t="n"/>
    </row>
    <row r="441" ht="15" customHeight="1" s="5">
      <c r="D441" s="7" t="n"/>
      <c r="E441" s="7" t="n"/>
      <c r="I441" s="7" t="n"/>
    </row>
    <row r="442" ht="15" customHeight="1" s="5">
      <c r="D442" s="7" t="n"/>
      <c r="E442" s="7" t="n"/>
      <c r="I442" s="7" t="n"/>
    </row>
    <row r="443" ht="15" customHeight="1" s="5">
      <c r="D443" s="7" t="n"/>
      <c r="E443" s="7" t="n"/>
      <c r="I443" s="7" t="n"/>
    </row>
    <row r="444" ht="15" customHeight="1" s="5">
      <c r="D444" s="7" t="n"/>
      <c r="E444" s="7" t="n"/>
      <c r="I444" s="7" t="n"/>
    </row>
    <row r="445" ht="15" customHeight="1" s="5">
      <c r="D445" s="7" t="n"/>
      <c r="E445" s="7" t="n"/>
      <c r="I445" s="7" t="n"/>
    </row>
    <row r="446" ht="15" customHeight="1" s="5">
      <c r="D446" s="7" t="n"/>
      <c r="E446" s="7" t="n"/>
      <c r="I446" s="7" t="n"/>
    </row>
    <row r="447" ht="15" customHeight="1" s="5">
      <c r="D447" s="7" t="n"/>
      <c r="E447" s="7" t="n"/>
      <c r="I447" s="7" t="n"/>
    </row>
    <row r="448" ht="15" customHeight="1" s="5">
      <c r="D448" s="7" t="n"/>
      <c r="E448" s="7" t="n"/>
      <c r="I448" s="7" t="n"/>
    </row>
    <row r="449" ht="15" customHeight="1" s="5">
      <c r="D449" s="7" t="n"/>
      <c r="E449" s="7" t="n"/>
      <c r="I449" s="7" t="n"/>
    </row>
    <row r="450" ht="15" customHeight="1" s="5">
      <c r="D450" s="7" t="n"/>
      <c r="E450" s="7" t="n"/>
      <c r="I450" s="7" t="n"/>
    </row>
    <row r="451" ht="15" customHeight="1" s="5">
      <c r="D451" s="7" t="n"/>
      <c r="E451" s="7" t="n"/>
      <c r="I451" s="7" t="n"/>
    </row>
    <row r="452" ht="15" customHeight="1" s="5">
      <c r="D452" s="7" t="n"/>
      <c r="E452" s="7" t="n"/>
      <c r="I452" s="7" t="n"/>
    </row>
    <row r="453" ht="15" customHeight="1" s="5">
      <c r="D453" s="7" t="n"/>
      <c r="E453" s="7" t="n"/>
      <c r="I453" s="7" t="n"/>
    </row>
    <row r="454" ht="15" customHeight="1" s="5">
      <c r="D454" s="7" t="n"/>
      <c r="E454" s="7" t="n"/>
      <c r="I454" s="7" t="n"/>
    </row>
    <row r="455" ht="15" customHeight="1" s="5">
      <c r="D455" s="7" t="n"/>
      <c r="E455" s="7" t="n"/>
      <c r="I455" s="7" t="n"/>
    </row>
    <row r="456" ht="15" customHeight="1" s="5">
      <c r="D456" s="7" t="n"/>
      <c r="E456" s="7" t="n"/>
      <c r="I456" s="7" t="n"/>
    </row>
    <row r="457" ht="15" customHeight="1" s="5">
      <c r="D457" s="7" t="n"/>
      <c r="E457" s="7" t="n"/>
      <c r="I457" s="7" t="n"/>
    </row>
    <row r="458" ht="15" customHeight="1" s="5">
      <c r="D458" s="7" t="n"/>
      <c r="E458" s="7" t="n"/>
      <c r="I458" s="7" t="n"/>
    </row>
    <row r="459" ht="15" customHeight="1" s="5">
      <c r="D459" s="7" t="n"/>
      <c r="E459" s="7" t="n"/>
      <c r="I459" s="7" t="n"/>
    </row>
    <row r="460" ht="15" customHeight="1" s="5">
      <c r="D460" s="7" t="n"/>
      <c r="E460" s="7" t="n"/>
      <c r="I460" s="7" t="n"/>
    </row>
    <row r="461" ht="15" customHeight="1" s="5">
      <c r="D461" s="7" t="n"/>
      <c r="E461" s="7" t="n"/>
      <c r="I461" s="7" t="n"/>
    </row>
    <row r="462" ht="15" customHeight="1" s="5">
      <c r="D462" s="7" t="n"/>
      <c r="E462" s="7" t="n"/>
      <c r="I462" s="7" t="n"/>
    </row>
    <row r="463" ht="15" customHeight="1" s="5">
      <c r="D463" s="7" t="n"/>
      <c r="E463" s="7" t="n"/>
      <c r="I463" s="7" t="n"/>
    </row>
    <row r="464" ht="15" customHeight="1" s="5">
      <c r="D464" s="7" t="n"/>
      <c r="E464" s="7" t="n"/>
      <c r="I464" s="7" t="n"/>
    </row>
    <row r="465" ht="15" customHeight="1" s="5">
      <c r="D465" s="7" t="n"/>
      <c r="E465" s="7" t="n"/>
      <c r="I465" s="7" t="n"/>
    </row>
    <row r="466" ht="15" customHeight="1" s="5">
      <c r="D466" s="7" t="n"/>
      <c r="E466" s="7" t="n"/>
      <c r="I466" s="7" t="n"/>
    </row>
    <row r="467" ht="15" customHeight="1" s="5">
      <c r="D467" s="7" t="n"/>
      <c r="E467" s="7" t="n"/>
      <c r="I467" s="7" t="n"/>
    </row>
    <row r="468" ht="15" customHeight="1" s="5">
      <c r="D468" s="7" t="n"/>
      <c r="E468" s="7" t="n"/>
      <c r="I468" s="7" t="n"/>
    </row>
    <row r="469" ht="15" customHeight="1" s="5">
      <c r="D469" s="7" t="n"/>
      <c r="E469" s="7" t="n"/>
      <c r="I469" s="7" t="n"/>
    </row>
    <row r="470" ht="15" customHeight="1" s="5">
      <c r="D470" s="7" t="n"/>
      <c r="E470" s="7" t="n"/>
      <c r="I470" s="7" t="n"/>
    </row>
    <row r="471" ht="15" customHeight="1" s="5">
      <c r="D471" s="7" t="n"/>
      <c r="E471" s="7" t="n"/>
      <c r="I471" s="7" t="n"/>
    </row>
    <row r="472" ht="15" customHeight="1" s="5">
      <c r="D472" s="7" t="n"/>
      <c r="E472" s="7" t="n"/>
      <c r="I472" s="7" t="n"/>
    </row>
    <row r="473" ht="15" customHeight="1" s="5">
      <c r="D473" s="7" t="n"/>
      <c r="E473" s="7" t="n"/>
      <c r="I473" s="7" t="n"/>
    </row>
    <row r="474" ht="15" customHeight="1" s="5">
      <c r="D474" s="7" t="n"/>
      <c r="E474" s="7" t="n"/>
      <c r="I474" s="7" t="n"/>
    </row>
    <row r="475" ht="15" customHeight="1" s="5">
      <c r="D475" s="7" t="n"/>
      <c r="E475" s="7" t="n"/>
      <c r="I475" s="7" t="n"/>
    </row>
    <row r="476" ht="15" customHeight="1" s="5">
      <c r="D476" s="7" t="n"/>
      <c r="E476" s="7" t="n"/>
      <c r="I476" s="7" t="n"/>
    </row>
    <row r="477" ht="15" customHeight="1" s="5">
      <c r="D477" s="7" t="n"/>
      <c r="E477" s="7" t="n"/>
      <c r="I477" s="7" t="n"/>
    </row>
    <row r="478" ht="15" customHeight="1" s="5">
      <c r="D478" s="7" t="n"/>
      <c r="E478" s="7" t="n"/>
      <c r="I478" s="7" t="n"/>
    </row>
    <row r="479" ht="15" customHeight="1" s="5">
      <c r="D479" s="7" t="n"/>
      <c r="E479" s="7" t="n"/>
      <c r="I479" s="7" t="n"/>
    </row>
    <row r="480" ht="15" customHeight="1" s="5">
      <c r="D480" s="7" t="n"/>
      <c r="E480" s="7" t="n"/>
      <c r="I480" s="7" t="n"/>
    </row>
    <row r="481" ht="15" customHeight="1" s="5">
      <c r="D481" s="7" t="n"/>
      <c r="E481" s="7" t="n"/>
      <c r="I481" s="7" t="n"/>
    </row>
    <row r="482" ht="15" customHeight="1" s="5">
      <c r="D482" s="7" t="n"/>
      <c r="E482" s="7" t="n"/>
      <c r="I482" s="7" t="n"/>
    </row>
    <row r="483" ht="15" customHeight="1" s="5">
      <c r="D483" s="7" t="n"/>
      <c r="E483" s="7" t="n"/>
      <c r="I483" s="7" t="n"/>
    </row>
    <row r="484" ht="15" customHeight="1" s="5">
      <c r="D484" s="7" t="n"/>
      <c r="E484" s="7" t="n"/>
      <c r="I484" s="7" t="n"/>
    </row>
    <row r="485" ht="15" customHeight="1" s="5">
      <c r="D485" s="7" t="n"/>
      <c r="E485" s="7" t="n"/>
      <c r="I485" s="7" t="n"/>
    </row>
    <row r="486" ht="15" customHeight="1" s="5">
      <c r="D486" s="7" t="n"/>
      <c r="E486" s="7" t="n"/>
      <c r="I486" s="7" t="n"/>
    </row>
    <row r="487" ht="15" customHeight="1" s="5">
      <c r="D487" s="7" t="n"/>
      <c r="E487" s="7" t="n"/>
      <c r="I487" s="7" t="n"/>
    </row>
    <row r="488" ht="15" customHeight="1" s="5">
      <c r="D488" s="7" t="n"/>
      <c r="E488" s="7" t="n"/>
      <c r="I488" s="7" t="n"/>
    </row>
    <row r="489" ht="15" customHeight="1" s="5">
      <c r="D489" s="7" t="n"/>
      <c r="E489" s="7" t="n"/>
      <c r="I489" s="7" t="n"/>
    </row>
    <row r="490" ht="15" customHeight="1" s="5">
      <c r="D490" s="7" t="n"/>
      <c r="E490" s="7" t="n"/>
      <c r="I490" s="7" t="n"/>
    </row>
    <row r="491" ht="15" customHeight="1" s="5">
      <c r="D491" s="7" t="n"/>
      <c r="E491" s="7" t="n"/>
      <c r="I491" s="7" t="n"/>
    </row>
    <row r="492" ht="15" customHeight="1" s="5">
      <c r="D492" s="7" t="n"/>
      <c r="E492" s="7" t="n"/>
      <c r="I492" s="7" t="n"/>
    </row>
    <row r="493" ht="15" customHeight="1" s="5">
      <c r="D493" s="7" t="n"/>
      <c r="E493" s="7" t="n"/>
      <c r="I493" s="7" t="n"/>
    </row>
    <row r="494" ht="15" customHeight="1" s="5">
      <c r="D494" s="7" t="n"/>
      <c r="E494" s="7" t="n"/>
      <c r="I494" s="7" t="n"/>
    </row>
    <row r="495" ht="15" customHeight="1" s="5">
      <c r="D495" s="7" t="n"/>
      <c r="E495" s="7" t="n"/>
      <c r="I495" s="7" t="n"/>
    </row>
    <row r="496" ht="15" customHeight="1" s="5">
      <c r="D496" s="7" t="n"/>
      <c r="E496" s="7" t="n"/>
      <c r="I496" s="7" t="n"/>
    </row>
    <row r="497" ht="15" customHeight="1" s="5">
      <c r="D497" s="7" t="n"/>
      <c r="E497" s="7" t="n"/>
      <c r="I497" s="7" t="n"/>
    </row>
    <row r="498" ht="15" customHeight="1" s="5">
      <c r="D498" s="7" t="n"/>
      <c r="E498" s="7" t="n"/>
      <c r="I498" s="7" t="n"/>
    </row>
    <row r="499" ht="15" customHeight="1" s="5">
      <c r="D499" s="7" t="n"/>
      <c r="E499" s="7" t="n"/>
      <c r="I499" s="7" t="n"/>
    </row>
    <row r="500" ht="15" customHeight="1" s="5">
      <c r="D500" s="7" t="n"/>
      <c r="E500" s="7" t="n"/>
      <c r="I500" s="7" t="n"/>
    </row>
    <row r="501" ht="15" customHeight="1" s="5">
      <c r="D501" s="7" t="n"/>
      <c r="E501" s="7" t="n"/>
      <c r="I501" s="7" t="n"/>
    </row>
    <row r="502" ht="15" customHeight="1" s="5">
      <c r="D502" s="7" t="n"/>
      <c r="E502" s="7" t="n"/>
      <c r="I502" s="7" t="n"/>
    </row>
    <row r="503" ht="15" customHeight="1" s="5">
      <c r="D503" s="7" t="n"/>
      <c r="E503" s="7" t="n"/>
      <c r="I503" s="7" t="n"/>
    </row>
    <row r="504" ht="15" customHeight="1" s="5">
      <c r="D504" s="7" t="n"/>
      <c r="E504" s="7" t="n"/>
      <c r="I504" s="7" t="n"/>
    </row>
    <row r="505" ht="15" customHeight="1" s="5">
      <c r="D505" s="7" t="n"/>
      <c r="E505" s="7" t="n"/>
      <c r="I505" s="7" t="n"/>
    </row>
    <row r="506" ht="15" customHeight="1" s="5">
      <c r="D506" s="7" t="n"/>
      <c r="E506" s="7" t="n"/>
      <c r="I506" s="7" t="n"/>
    </row>
    <row r="507" ht="15" customHeight="1" s="5">
      <c r="D507" s="7" t="n"/>
      <c r="E507" s="7" t="n"/>
      <c r="I507" s="7" t="n"/>
    </row>
    <row r="508" ht="15" customHeight="1" s="5">
      <c r="D508" s="7" t="n"/>
      <c r="E508" s="7" t="n"/>
      <c r="I508" s="7" t="n"/>
    </row>
    <row r="509" ht="15" customHeight="1" s="5">
      <c r="D509" s="7" t="n"/>
      <c r="E509" s="7" t="n"/>
      <c r="I509" s="7" t="n"/>
    </row>
    <row r="510" ht="15" customHeight="1" s="5">
      <c r="D510" s="7" t="n"/>
      <c r="E510" s="7" t="n"/>
      <c r="I510" s="7" t="n"/>
    </row>
    <row r="511" ht="15" customHeight="1" s="5">
      <c r="D511" s="7" t="n"/>
      <c r="E511" s="7" t="n"/>
      <c r="I511" s="7" t="n"/>
    </row>
    <row r="512" ht="15" customHeight="1" s="5">
      <c r="D512" s="7" t="n"/>
      <c r="E512" s="7" t="n"/>
      <c r="I512" s="7" t="n"/>
    </row>
    <row r="513" ht="15" customHeight="1" s="5">
      <c r="D513" s="7" t="n"/>
      <c r="E513" s="7" t="n"/>
      <c r="I513" s="7" t="n"/>
    </row>
    <row r="514" ht="15" customHeight="1" s="5">
      <c r="D514" s="7" t="n"/>
      <c r="E514" s="7" t="n"/>
      <c r="I514" s="7" t="n"/>
    </row>
    <row r="515" ht="15" customHeight="1" s="5">
      <c r="D515" s="7" t="n"/>
      <c r="E515" s="7" t="n"/>
      <c r="I515" s="7" t="n"/>
    </row>
    <row r="516" ht="15" customHeight="1" s="5">
      <c r="D516" s="7" t="n"/>
      <c r="E516" s="7" t="n"/>
      <c r="I516" s="7" t="n"/>
    </row>
    <row r="517" ht="15" customHeight="1" s="5">
      <c r="D517" s="7" t="n"/>
      <c r="E517" s="7" t="n"/>
      <c r="I517" s="7" t="n"/>
    </row>
    <row r="518" ht="15" customHeight="1" s="5">
      <c r="D518" s="7" t="n"/>
      <c r="E518" s="7" t="n"/>
      <c r="I518" s="7" t="n"/>
    </row>
    <row r="519" ht="15" customHeight="1" s="5">
      <c r="D519" s="7" t="n"/>
      <c r="E519" s="7" t="n"/>
      <c r="I519" s="7" t="n"/>
    </row>
    <row r="520" ht="15" customHeight="1" s="5">
      <c r="D520" s="7" t="n"/>
      <c r="E520" s="7" t="n"/>
      <c r="I520" s="7" t="n"/>
    </row>
    <row r="521" ht="15" customHeight="1" s="5">
      <c r="D521" s="7" t="n"/>
      <c r="E521" s="7" t="n"/>
      <c r="I521" s="7" t="n"/>
    </row>
    <row r="522" ht="15" customHeight="1" s="5">
      <c r="D522" s="7" t="n"/>
      <c r="E522" s="7" t="n"/>
      <c r="I522" s="7" t="n"/>
    </row>
    <row r="523" ht="15" customHeight="1" s="5">
      <c r="D523" s="7" t="n"/>
      <c r="E523" s="7" t="n"/>
      <c r="I523" s="7" t="n"/>
    </row>
    <row r="524" ht="15" customHeight="1" s="5">
      <c r="D524" s="7" t="n"/>
      <c r="E524" s="7" t="n"/>
      <c r="I524" s="7" t="n"/>
    </row>
    <row r="525" ht="15" customHeight="1" s="5">
      <c r="D525" s="7" t="n"/>
      <c r="E525" s="7" t="n"/>
      <c r="I525" s="7" t="n"/>
    </row>
    <row r="526" ht="15" customHeight="1" s="5">
      <c r="D526" s="7" t="n"/>
      <c r="E526" s="7" t="n"/>
      <c r="I526" s="7" t="n"/>
    </row>
    <row r="527" ht="15" customHeight="1" s="5">
      <c r="D527" s="7" t="n"/>
      <c r="E527" s="7" t="n"/>
      <c r="I527" s="7" t="n"/>
    </row>
    <row r="528" ht="15" customHeight="1" s="5">
      <c r="D528" s="7" t="n"/>
      <c r="E528" s="7" t="n"/>
      <c r="I528" s="7" t="n"/>
    </row>
    <row r="529" ht="15" customHeight="1" s="5">
      <c r="D529" s="7" t="n"/>
      <c r="E529" s="7" t="n"/>
      <c r="I529" s="7" t="n"/>
    </row>
    <row r="530" ht="15" customHeight="1" s="5">
      <c r="D530" s="7" t="n"/>
      <c r="E530" s="7" t="n"/>
      <c r="I530" s="7" t="n"/>
    </row>
    <row r="531" ht="15" customHeight="1" s="5">
      <c r="D531" s="7" t="n"/>
      <c r="E531" s="7" t="n"/>
      <c r="I531" s="7" t="n"/>
    </row>
    <row r="532" ht="15" customHeight="1" s="5">
      <c r="D532" s="7" t="n"/>
      <c r="E532" s="7" t="n"/>
      <c r="I532" s="7" t="n"/>
    </row>
    <row r="533" ht="15" customHeight="1" s="5">
      <c r="D533" s="7" t="n"/>
      <c r="E533" s="7" t="n"/>
      <c r="I533" s="7" t="n"/>
    </row>
    <row r="534" ht="15" customHeight="1" s="5">
      <c r="D534" s="7" t="n"/>
      <c r="E534" s="7" t="n"/>
      <c r="I534" s="7" t="n"/>
    </row>
    <row r="535" ht="15" customHeight="1" s="5">
      <c r="D535" s="7" t="n"/>
      <c r="E535" s="7" t="n"/>
      <c r="I535" s="7" t="n"/>
    </row>
    <row r="536" ht="15" customHeight="1" s="5">
      <c r="D536" s="7" t="n"/>
      <c r="E536" s="7" t="n"/>
      <c r="I536" s="7" t="n"/>
    </row>
    <row r="537" ht="15" customHeight="1" s="5">
      <c r="D537" s="7" t="n"/>
      <c r="E537" s="7" t="n"/>
      <c r="I537" s="7" t="n"/>
    </row>
    <row r="538" ht="15" customHeight="1" s="5">
      <c r="D538" s="7" t="n"/>
      <c r="E538" s="7" t="n"/>
      <c r="I538" s="7" t="n"/>
    </row>
    <row r="539" ht="15" customHeight="1" s="5">
      <c r="D539" s="7" t="n"/>
      <c r="E539" s="7" t="n"/>
      <c r="I539" s="7" t="n"/>
    </row>
    <row r="540" ht="15" customHeight="1" s="5">
      <c r="D540" s="7" t="n"/>
      <c r="E540" s="7" t="n"/>
      <c r="I540" s="7" t="n"/>
    </row>
    <row r="541" ht="15" customHeight="1" s="5">
      <c r="D541" s="7" t="n"/>
      <c r="E541" s="7" t="n"/>
      <c r="I541" s="7" t="n"/>
    </row>
    <row r="542" ht="15" customHeight="1" s="5">
      <c r="D542" s="7" t="n"/>
      <c r="E542" s="7" t="n"/>
      <c r="I542" s="7" t="n"/>
    </row>
    <row r="543" ht="15" customHeight="1" s="5">
      <c r="D543" s="7" t="n"/>
      <c r="E543" s="7" t="n"/>
      <c r="I543" s="7" t="n"/>
    </row>
    <row r="544" ht="15" customHeight="1" s="5">
      <c r="D544" s="7" t="n"/>
      <c r="E544" s="7" t="n"/>
      <c r="I544" s="7" t="n"/>
    </row>
    <row r="545" ht="15" customHeight="1" s="5">
      <c r="D545" s="7" t="n"/>
      <c r="E545" s="7" t="n"/>
      <c r="I545" s="7" t="n"/>
    </row>
    <row r="546" ht="15" customHeight="1" s="5">
      <c r="D546" s="7" t="n"/>
      <c r="E546" s="7" t="n"/>
      <c r="I546" s="7" t="n"/>
    </row>
    <row r="547" ht="15" customHeight="1" s="5">
      <c r="D547" s="7" t="n"/>
      <c r="E547" s="7" t="n"/>
      <c r="I547" s="7" t="n"/>
    </row>
    <row r="548" ht="15" customHeight="1" s="5">
      <c r="D548" s="7" t="n"/>
      <c r="E548" s="7" t="n"/>
      <c r="I548" s="7" t="n"/>
    </row>
    <row r="549" ht="15" customHeight="1" s="5">
      <c r="D549" s="7" t="n"/>
      <c r="E549" s="7" t="n"/>
      <c r="I549" s="7" t="n"/>
    </row>
    <row r="550" ht="15" customHeight="1" s="5">
      <c r="D550" s="7" t="n"/>
      <c r="E550" s="7" t="n"/>
      <c r="I550" s="7" t="n"/>
    </row>
    <row r="551" ht="15" customHeight="1" s="5">
      <c r="D551" s="7" t="n"/>
      <c r="E551" s="7" t="n"/>
      <c r="I551" s="7" t="n"/>
    </row>
    <row r="552" ht="15" customHeight="1" s="5">
      <c r="D552" s="7" t="n"/>
      <c r="E552" s="7" t="n"/>
      <c r="I552" s="7" t="n"/>
    </row>
    <row r="553" ht="15" customHeight="1" s="5">
      <c r="D553" s="7" t="n"/>
      <c r="E553" s="7" t="n"/>
      <c r="I553" s="7" t="n"/>
    </row>
    <row r="554" ht="15" customHeight="1" s="5">
      <c r="D554" s="7" t="n"/>
      <c r="E554" s="7" t="n"/>
      <c r="I554" s="7" t="n"/>
    </row>
    <row r="555" ht="15" customHeight="1" s="5">
      <c r="D555" s="7" t="n"/>
      <c r="E555" s="7" t="n"/>
      <c r="I555" s="7" t="n"/>
    </row>
    <row r="556" ht="15" customHeight="1" s="5">
      <c r="D556" s="7" t="n"/>
      <c r="E556" s="7" t="n"/>
      <c r="I556" s="7" t="n"/>
    </row>
    <row r="557" ht="15" customHeight="1" s="5">
      <c r="D557" s="7" t="n"/>
      <c r="E557" s="7" t="n"/>
      <c r="I557" s="7" t="n"/>
    </row>
    <row r="558" ht="15" customHeight="1" s="5">
      <c r="D558" s="7" t="n"/>
      <c r="E558" s="7" t="n"/>
      <c r="I558" s="7" t="n"/>
    </row>
    <row r="559" ht="15" customHeight="1" s="5">
      <c r="D559" s="7" t="n"/>
      <c r="E559" s="7" t="n"/>
      <c r="I559" s="7" t="n"/>
    </row>
    <row r="560" ht="15" customHeight="1" s="5">
      <c r="D560" s="7" t="n"/>
      <c r="E560" s="7" t="n"/>
      <c r="I560" s="7" t="n"/>
    </row>
    <row r="561" ht="15" customHeight="1" s="5">
      <c r="D561" s="7" t="n"/>
      <c r="E561" s="7" t="n"/>
      <c r="I561" s="7" t="n"/>
    </row>
  </sheetData>
  <dataValidations count="6">
    <dataValidation sqref="D2:D561" showDropDown="0" showInputMessage="0" showErrorMessage="0" allowBlank="1" errorTitle="Not in Config list" error="Value not in Config; will still be saved." promptTitle="Risk Probability" prompt="Pick from Config → Risk Probability" type="list" errorStyle="warning" operator="between">
      <formula1>"Low,Medium,High"</formula1>
      <formula2>0</formula2>
    </dataValidation>
    <dataValidation sqref="E2:E561" showDropDown="0" showInputMessage="0" showErrorMessage="0" allowBlank="1" errorTitle="Not in Config list" error="Value not in Config; will still be saved." promptTitle="Risk Impact" prompt="Pick from Config → Risk Impact" type="list" errorStyle="warning" operator="between">
      <formula1>"Low,Medium,High,Critical"</formula1>
      <formula2>0</formula2>
    </dataValidation>
    <dataValidation sqref="I2:I561" showDropDown="0" showInputMessage="0" showErrorMessage="0" allowBlank="1" errorTitle="Not in Config list" error="Value not in Config; will still be saved." promptTitle="Risk Status" prompt="Pick from Config → Risk Status" type="list" errorStyle="warning" operator="between">
      <formula1>"Open,Mitigated,Closed"</formula1>
      <formula2>0</formula2>
    </dataValidation>
    <dataValidation sqref="D2:D1061" showDropDown="0" showInputMessage="0" showErrorMessage="0" allowBlank="1" errorTitle="Not in Config list" error="Value not in Config; will still be saved." promptTitle="Risk Probability" prompt="Pick from Config → Risk Probability" type="list" errorStyle="warning">
      <formula1>"Low,Medium,High"</formula1>
    </dataValidation>
    <dataValidation sqref="E2:E1061" showDropDown="0" showInputMessage="0" showErrorMessage="0" allowBlank="1" errorTitle="Not in Config list" error="Value not in Config; will still be saved." promptTitle="Risk Impact" prompt="Pick from Config → Risk Impact" type="list" errorStyle="warning">
      <formula1>"Low,Medium,High,Critical"</formula1>
    </dataValidation>
    <dataValidation sqref="I2:I1061" showDropDown="0" showInputMessage="0" showErrorMessage="0" allowBlank="1" errorTitle="Not in Config list" error="Value not in Config; will still be saved." promptTitle="Risk Status" prompt="Pick from Config → Risk Status" type="list" errorStyle="warning">
      <formula1>"Open,Mitigated,Closed"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5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RAID ID</t>
        </is>
      </c>
      <c r="B1" s="6" t="inlineStr">
        <is>
          <t>Project ID</t>
        </is>
      </c>
      <c r="C1" s="6" t="inlineStr">
        <is>
          <t>Type</t>
        </is>
      </c>
      <c r="D1" s="6" t="inlineStr">
        <is>
          <t>Description</t>
        </is>
      </c>
      <c r="E1" s="6" t="inlineStr">
        <is>
          <t>Probability</t>
        </is>
      </c>
      <c r="F1" s="6" t="inlineStr">
        <is>
          <t>Impact</t>
        </is>
      </c>
      <c r="G1" s="6" t="inlineStr">
        <is>
          <t>RAG</t>
        </is>
      </c>
      <c r="H1" s="6" t="inlineStr">
        <is>
          <t>Owner</t>
        </is>
      </c>
      <c r="I1" s="6" t="inlineStr">
        <is>
          <t>Target Resolution Date</t>
        </is>
      </c>
      <c r="J1" s="6" t="inlineStr">
        <is>
          <t>Mitigation</t>
        </is>
      </c>
      <c r="K1" s="6" t="inlineStr">
        <is>
          <t>Status</t>
        </is>
      </c>
    </row>
    <row r="2" ht="15" customHeight="1" s="5">
      <c r="A2" s="7" t="inlineStr">
        <is>
          <t>RAID001</t>
        </is>
      </c>
      <c r="B2" s="7" t="inlineStr">
        <is>
          <t>PRJ024</t>
        </is>
      </c>
      <c r="C2" s="7" t="inlineStr">
        <is>
          <t>Assumption</t>
        </is>
      </c>
      <c r="D2" s="7" t="inlineStr">
        <is>
          <t>Regulatory deadline</t>
        </is>
      </c>
      <c r="E2" s="7" t="inlineStr">
        <is>
          <t>Low</t>
        </is>
      </c>
      <c r="F2" s="7" t="inlineStr">
        <is>
          <t>Critical</t>
        </is>
      </c>
      <c r="G2" s="7" t="inlineStr">
        <is>
          <t>Green</t>
        </is>
      </c>
      <c r="H2" s="7" t="inlineStr">
        <is>
          <t>Sarah Lee</t>
        </is>
      </c>
      <c r="I2" s="8" t="n">
        <v>46236</v>
      </c>
      <c r="J2" s="7" t="inlineStr">
        <is>
          <t>Contingency plan</t>
        </is>
      </c>
      <c r="K2" s="7" t="inlineStr">
        <is>
          <t>Closed</t>
        </is>
      </c>
    </row>
    <row r="3" ht="15" customHeight="1" s="5">
      <c r="A3" s="7" t="inlineStr">
        <is>
          <t>RAID002</t>
        </is>
      </c>
      <c r="B3" s="7" t="inlineStr">
        <is>
          <t>PRJ019</t>
        </is>
      </c>
      <c r="C3" s="7" t="inlineStr">
        <is>
          <t>Assumption</t>
        </is>
      </c>
      <c r="D3" s="7" t="inlineStr">
        <is>
          <t>Cloud provider outage risk</t>
        </is>
      </c>
      <c r="E3" s="7" t="inlineStr">
        <is>
          <t>Low</t>
        </is>
      </c>
      <c r="F3" s="7" t="inlineStr">
        <is>
          <t>High</t>
        </is>
      </c>
      <c r="G3" s="7" t="inlineStr">
        <is>
          <t>Red</t>
        </is>
      </c>
      <c r="H3" s="7" t="inlineStr">
        <is>
          <t>Mike Johnson</t>
        </is>
      </c>
      <c r="I3" s="8" t="n">
        <v>46160</v>
      </c>
      <c r="J3" s="7" t="inlineStr">
        <is>
          <t>Re-baseline</t>
        </is>
      </c>
      <c r="K3" s="7" t="inlineStr">
        <is>
          <t>Closed</t>
        </is>
      </c>
    </row>
    <row r="4" ht="15" customHeight="1" s="5">
      <c r="A4" s="7" t="inlineStr">
        <is>
          <t>RAID003</t>
        </is>
      </c>
      <c r="B4" s="7" t="inlineStr">
        <is>
          <t>PRJ028</t>
        </is>
      </c>
      <c r="C4" s="7" t="inlineStr">
        <is>
          <t>Issue</t>
        </is>
      </c>
      <c r="D4" s="7" t="inlineStr">
        <is>
          <t>Staff turnover</t>
        </is>
      </c>
      <c r="E4" s="7" t="inlineStr">
        <is>
          <t>Medium</t>
        </is>
      </c>
      <c r="F4" s="7" t="inlineStr">
        <is>
          <t>High</t>
        </is>
      </c>
      <c r="G4" s="7" t="inlineStr">
        <is>
          <t>Amber</t>
        </is>
      </c>
      <c r="H4" s="7" t="inlineStr">
        <is>
          <t>John Smith</t>
        </is>
      </c>
      <c r="I4" s="8" t="n">
        <v>46268</v>
      </c>
      <c r="J4" s="7" t="inlineStr">
        <is>
          <t>Vendor escalation</t>
        </is>
      </c>
      <c r="K4" s="7" t="inlineStr">
        <is>
          <t>Closed</t>
        </is>
      </c>
    </row>
    <row r="5" ht="15" customHeight="1" s="5">
      <c r="A5" s="7" t="inlineStr">
        <is>
          <t>RAID004</t>
        </is>
      </c>
      <c r="B5" s="7" t="inlineStr">
        <is>
          <t>PRJ028</t>
        </is>
      </c>
      <c r="C5" s="7" t="inlineStr">
        <is>
          <t>Assumption</t>
        </is>
      </c>
      <c r="D5" s="7" t="inlineStr">
        <is>
          <t>Staff turnover</t>
        </is>
      </c>
      <c r="E5" s="7" t="inlineStr">
        <is>
          <t>Low</t>
        </is>
      </c>
      <c r="F5" s="7" t="inlineStr">
        <is>
          <t>Low</t>
        </is>
      </c>
      <c r="G5" s="7" t="inlineStr">
        <is>
          <t>Red</t>
        </is>
      </c>
      <c r="H5" s="7" t="inlineStr">
        <is>
          <t>Priya Patel</t>
        </is>
      </c>
      <c r="I5" s="8" t="n">
        <v>46185</v>
      </c>
      <c r="J5" s="7" t="inlineStr">
        <is>
          <t>Vendor escalation</t>
        </is>
      </c>
      <c r="K5" s="7" t="inlineStr">
        <is>
          <t>Closed</t>
        </is>
      </c>
    </row>
    <row r="6" ht="15" customHeight="1" s="5">
      <c r="A6" s="7" t="inlineStr">
        <is>
          <t>RAID005</t>
        </is>
      </c>
      <c r="B6" s="7" t="inlineStr">
        <is>
          <t>PRJ011</t>
        </is>
      </c>
      <c r="C6" s="7" t="inlineStr">
        <is>
          <t>Risk</t>
        </is>
      </c>
      <c r="D6" s="7" t="inlineStr">
        <is>
          <t>Test data not available</t>
        </is>
      </c>
      <c r="E6" s="7" t="inlineStr">
        <is>
          <t>High</t>
        </is>
      </c>
      <c r="F6" s="7" t="inlineStr">
        <is>
          <t>Critical</t>
        </is>
      </c>
      <c r="G6" s="7" t="inlineStr">
        <is>
          <t>Green</t>
        </is>
      </c>
      <c r="H6" s="7" t="inlineStr">
        <is>
          <t>Jane Doe</t>
        </is>
      </c>
      <c r="I6" s="8" t="n">
        <v>46099</v>
      </c>
      <c r="J6" s="7" t="inlineStr">
        <is>
          <t>Contingency plan</t>
        </is>
      </c>
      <c r="K6" s="7" t="inlineStr">
        <is>
          <t>Closed</t>
        </is>
      </c>
    </row>
    <row r="7" ht="15" customHeight="1" s="5">
      <c r="A7" s="7" t="inlineStr">
        <is>
          <t>RAID006</t>
        </is>
      </c>
      <c r="B7" s="7" t="inlineStr">
        <is>
          <t>PRJ024</t>
        </is>
      </c>
      <c r="C7" s="7" t="inlineStr">
        <is>
          <t>Assumption</t>
        </is>
      </c>
      <c r="D7" s="7" t="inlineStr">
        <is>
          <t>Depends on procurement signoff</t>
        </is>
      </c>
      <c r="E7" s="7" t="inlineStr">
        <is>
          <t>High</t>
        </is>
      </c>
      <c r="F7" s="7" t="inlineStr">
        <is>
          <t>Low</t>
        </is>
      </c>
      <c r="G7" s="7" t="inlineStr">
        <is>
          <t>Red</t>
        </is>
      </c>
      <c r="H7" s="7" t="inlineStr">
        <is>
          <t>Jane Doe</t>
        </is>
      </c>
      <c r="I7" s="8" t="n">
        <v>46255</v>
      </c>
      <c r="J7" s="7" t="inlineStr">
        <is>
          <t>Re-baseline</t>
        </is>
      </c>
      <c r="K7" s="7" t="inlineStr">
        <is>
          <t>In Progress</t>
        </is>
      </c>
    </row>
    <row r="8" ht="15" customHeight="1" s="5">
      <c r="A8" s="7" t="inlineStr">
        <is>
          <t>RAID007</t>
        </is>
      </c>
      <c r="B8" s="7" t="inlineStr">
        <is>
          <t>PRJ024</t>
        </is>
      </c>
      <c r="C8" s="7" t="inlineStr">
        <is>
          <t>Dependency</t>
        </is>
      </c>
      <c r="D8" s="7" t="inlineStr">
        <is>
          <t>Regulatory deadline</t>
        </is>
      </c>
      <c r="E8" s="7" t="inlineStr">
        <is>
          <t>Low</t>
        </is>
      </c>
      <c r="F8" s="7" t="inlineStr">
        <is>
          <t>Medium</t>
        </is>
      </c>
      <c r="G8" s="7" t="inlineStr">
        <is>
          <t>Red</t>
        </is>
      </c>
      <c r="H8" s="7" t="inlineStr">
        <is>
          <t>Mike Johnson</t>
        </is>
      </c>
      <c r="I8" s="8" t="n">
        <v>46183</v>
      </c>
      <c r="J8" s="7" t="inlineStr">
        <is>
          <t>Vendor escalation</t>
        </is>
      </c>
      <c r="K8" s="7" t="inlineStr">
        <is>
          <t>Closed</t>
        </is>
      </c>
    </row>
    <row r="9" ht="15" customHeight="1" s="5">
      <c r="A9" s="7" t="inlineStr">
        <is>
          <t>RAID008</t>
        </is>
      </c>
      <c r="B9" s="7" t="inlineStr">
        <is>
          <t>PRJ018</t>
        </is>
      </c>
      <c r="C9" s="7" t="inlineStr">
        <is>
          <t>Issue</t>
        </is>
      </c>
      <c r="D9" s="7" t="inlineStr">
        <is>
          <t>Cloud provider outage risk</t>
        </is>
      </c>
      <c r="E9" s="7" t="inlineStr">
        <is>
          <t>Low</t>
        </is>
      </c>
      <c r="F9" s="7" t="inlineStr">
        <is>
          <t>Medium</t>
        </is>
      </c>
      <c r="G9" s="7" t="inlineStr">
        <is>
          <t>Amber</t>
        </is>
      </c>
      <c r="H9" s="7" t="inlineStr">
        <is>
          <t>Alex Brown</t>
        </is>
      </c>
      <c r="I9" s="8" t="n">
        <v>46181</v>
      </c>
      <c r="J9" s="7" t="inlineStr">
        <is>
          <t>Add buffer</t>
        </is>
      </c>
      <c r="K9" s="7" t="inlineStr">
        <is>
          <t>Open</t>
        </is>
      </c>
    </row>
    <row r="10" ht="15" customHeight="1" s="5">
      <c r="A10" s="7" t="inlineStr">
        <is>
          <t>RAID009</t>
        </is>
      </c>
      <c r="B10" s="7" t="inlineStr">
        <is>
          <t>PRJ017</t>
        </is>
      </c>
      <c r="C10" s="7" t="inlineStr">
        <is>
          <t>Assumption</t>
        </is>
      </c>
      <c r="D10" s="7" t="inlineStr">
        <is>
          <t>Staff turnover</t>
        </is>
      </c>
      <c r="E10" s="7" t="inlineStr">
        <is>
          <t>Medium</t>
        </is>
      </c>
      <c r="F10" s="7" t="inlineStr">
        <is>
          <t>Medium</t>
        </is>
      </c>
      <c r="G10" s="7" t="inlineStr">
        <is>
          <t>Red</t>
        </is>
      </c>
      <c r="H10" s="7" t="inlineStr">
        <is>
          <t>Mike Johnson</t>
        </is>
      </c>
      <c r="I10" s="8" t="n">
        <v>46259</v>
      </c>
      <c r="J10" s="7" t="inlineStr">
        <is>
          <t>Re-baseline</t>
        </is>
      </c>
      <c r="K10" s="7" t="inlineStr">
        <is>
          <t>Open</t>
        </is>
      </c>
    </row>
    <row r="11" ht="15" customHeight="1" s="5">
      <c r="A11" s="7" t="inlineStr">
        <is>
          <t>RAID010</t>
        </is>
      </c>
      <c r="B11" s="7" t="inlineStr">
        <is>
          <t>PRJ008</t>
        </is>
      </c>
      <c r="C11" s="7" t="inlineStr">
        <is>
          <t>Issue</t>
        </is>
      </c>
      <c r="D11" s="7" t="inlineStr">
        <is>
          <t>Regulatory deadline</t>
        </is>
      </c>
      <c r="E11" s="7" t="inlineStr">
        <is>
          <t>Low</t>
        </is>
      </c>
      <c r="F11" s="7" t="inlineStr">
        <is>
          <t>Critical</t>
        </is>
      </c>
      <c r="G11" s="7" t="inlineStr">
        <is>
          <t>Green</t>
        </is>
      </c>
      <c r="H11" s="7" t="inlineStr">
        <is>
          <t>Priya Patel</t>
        </is>
      </c>
      <c r="I11" s="8" t="n">
        <v>46195</v>
      </c>
      <c r="J11" s="7" t="inlineStr">
        <is>
          <t>Active monitoring</t>
        </is>
      </c>
      <c r="K11" s="7" t="inlineStr">
        <is>
          <t>Closed</t>
        </is>
      </c>
    </row>
    <row r="12" ht="15" customHeight="1" s="5">
      <c r="A12" s="7" t="inlineStr">
        <is>
          <t>RAID011</t>
        </is>
      </c>
      <c r="B12" s="7" t="inlineStr">
        <is>
          <t>PRJ021</t>
        </is>
      </c>
      <c r="C12" s="7" t="inlineStr">
        <is>
          <t>Assumption</t>
        </is>
      </c>
      <c r="D12" s="7" t="inlineStr">
        <is>
          <t>Staff turnover</t>
        </is>
      </c>
      <c r="E12" s="7" t="inlineStr">
        <is>
          <t>Low</t>
        </is>
      </c>
      <c r="F12" s="7" t="inlineStr">
        <is>
          <t>High</t>
        </is>
      </c>
      <c r="G12" s="7" t="inlineStr">
        <is>
          <t>Amber</t>
        </is>
      </c>
      <c r="H12" s="7" t="inlineStr">
        <is>
          <t>Carlos Diaz</t>
        </is>
      </c>
      <c r="I12" s="8" t="n">
        <v>46122</v>
      </c>
      <c r="J12" s="7" t="inlineStr">
        <is>
          <t>Contingency plan</t>
        </is>
      </c>
      <c r="K12" s="7" t="inlineStr">
        <is>
          <t>In Progress</t>
        </is>
      </c>
    </row>
    <row r="13" ht="15" customHeight="1" s="5">
      <c r="A13" s="7" t="inlineStr">
        <is>
          <t>RAID012</t>
        </is>
      </c>
      <c r="B13" s="7" t="inlineStr">
        <is>
          <t>PRJ033</t>
        </is>
      </c>
      <c r="C13" s="7" t="inlineStr">
        <is>
          <t>Issue</t>
        </is>
      </c>
      <c r="D13" s="7" t="inlineStr">
        <is>
          <t>Cloud provider outage risk</t>
        </is>
      </c>
      <c r="E13" s="7" t="inlineStr">
        <is>
          <t>Low</t>
        </is>
      </c>
      <c r="F13" s="7" t="inlineStr">
        <is>
          <t>Medium</t>
        </is>
      </c>
      <c r="G13" s="7" t="inlineStr">
        <is>
          <t>Green</t>
        </is>
      </c>
      <c r="H13" s="7" t="inlineStr">
        <is>
          <t>Carlos Diaz</t>
        </is>
      </c>
      <c r="I13" s="8" t="n">
        <v>46208</v>
      </c>
      <c r="J13" s="7" t="inlineStr">
        <is>
          <t>Active monitoring</t>
        </is>
      </c>
      <c r="K13" s="7" t="inlineStr">
        <is>
          <t>In Progress</t>
        </is>
      </c>
    </row>
    <row r="14" ht="15" customHeight="1" s="5">
      <c r="A14" s="7" t="inlineStr">
        <is>
          <t>RAID013</t>
        </is>
      </c>
      <c r="B14" s="7" t="inlineStr">
        <is>
          <t>PRJ036</t>
        </is>
      </c>
      <c r="C14" s="7" t="inlineStr">
        <is>
          <t>Assumption</t>
        </is>
      </c>
      <c r="D14" s="7" t="inlineStr">
        <is>
          <t>Depends on procurement signoff</t>
        </is>
      </c>
      <c r="E14" s="7" t="inlineStr">
        <is>
          <t>High</t>
        </is>
      </c>
      <c r="F14" s="7" t="inlineStr">
        <is>
          <t>Medium</t>
        </is>
      </c>
      <c r="G14" s="7" t="inlineStr">
        <is>
          <t>Red</t>
        </is>
      </c>
      <c r="H14" s="7" t="inlineStr">
        <is>
          <t>John Smith</t>
        </is>
      </c>
      <c r="I14" s="8" t="n">
        <v>46098</v>
      </c>
      <c r="J14" s="7" t="inlineStr">
        <is>
          <t>Vendor escalation</t>
        </is>
      </c>
      <c r="K14" s="7" t="inlineStr">
        <is>
          <t>In Progress</t>
        </is>
      </c>
    </row>
    <row r="15" ht="15" customHeight="1" s="5">
      <c r="A15" s="7" t="inlineStr">
        <is>
          <t>RAID014</t>
        </is>
      </c>
      <c r="B15" s="7" t="inlineStr">
        <is>
          <t>PRJ031</t>
        </is>
      </c>
      <c r="C15" s="7" t="inlineStr">
        <is>
          <t>Dependency</t>
        </is>
      </c>
      <c r="D15" s="7" t="inlineStr">
        <is>
          <t>Regulatory deadline</t>
        </is>
      </c>
      <c r="E15" s="7" t="inlineStr">
        <is>
          <t>Medium</t>
        </is>
      </c>
      <c r="F15" s="7" t="inlineStr">
        <is>
          <t>Low</t>
        </is>
      </c>
      <c r="G15" s="7" t="inlineStr">
        <is>
          <t>Green</t>
        </is>
      </c>
      <c r="H15" s="7" t="inlineStr">
        <is>
          <t>Mike Johnson</t>
        </is>
      </c>
      <c r="I15" s="8" t="n">
        <v>46246</v>
      </c>
      <c r="J15" s="7" t="inlineStr">
        <is>
          <t>Active monitoring</t>
        </is>
      </c>
      <c r="K15" s="7" t="inlineStr">
        <is>
          <t>In Progress</t>
        </is>
      </c>
    </row>
    <row r="16" ht="15" customHeight="1" s="5">
      <c r="A16" s="7" t="inlineStr">
        <is>
          <t>RAID015</t>
        </is>
      </c>
      <c r="B16" s="7" t="inlineStr">
        <is>
          <t>PRJ030</t>
        </is>
      </c>
      <c r="C16" s="7" t="inlineStr">
        <is>
          <t>Assumption</t>
        </is>
      </c>
      <c r="D16" s="7" t="inlineStr">
        <is>
          <t>Test data not available</t>
        </is>
      </c>
      <c r="E16" s="7" t="inlineStr">
        <is>
          <t>High</t>
        </is>
      </c>
      <c r="F16" s="7" t="inlineStr">
        <is>
          <t>Medium</t>
        </is>
      </c>
      <c r="G16" s="7" t="inlineStr">
        <is>
          <t>Green</t>
        </is>
      </c>
      <c r="H16" s="7" t="inlineStr">
        <is>
          <t>Sarah Lee</t>
        </is>
      </c>
      <c r="I16" s="8" t="n">
        <v>46210</v>
      </c>
      <c r="J16" s="7" t="inlineStr">
        <is>
          <t>Active monitoring</t>
        </is>
      </c>
      <c r="K16" s="7" t="inlineStr">
        <is>
          <t>Open</t>
        </is>
      </c>
    </row>
    <row r="17" ht="15" customHeight="1" s="5">
      <c r="A17" s="7" t="inlineStr">
        <is>
          <t>RAID016</t>
        </is>
      </c>
      <c r="B17" s="7" t="inlineStr">
        <is>
          <t>PRJ034</t>
        </is>
      </c>
      <c r="C17" s="7" t="inlineStr">
        <is>
          <t>Issue</t>
        </is>
      </c>
      <c r="D17" s="7" t="inlineStr">
        <is>
          <t>Assumes API contract stable</t>
        </is>
      </c>
      <c r="E17" s="7" t="inlineStr">
        <is>
          <t>Low</t>
        </is>
      </c>
      <c r="F17" s="7" t="inlineStr">
        <is>
          <t>Medium</t>
        </is>
      </c>
      <c r="G17" s="7" t="inlineStr">
        <is>
          <t>Amber</t>
        </is>
      </c>
      <c r="H17" s="7" t="inlineStr">
        <is>
          <t>Priya Patel</t>
        </is>
      </c>
      <c r="I17" s="8" t="n">
        <v>46139</v>
      </c>
      <c r="J17" s="7" t="inlineStr">
        <is>
          <t>Vendor escalation</t>
        </is>
      </c>
      <c r="K17" s="7" t="inlineStr">
        <is>
          <t>Closed</t>
        </is>
      </c>
    </row>
    <row r="18" ht="15" customHeight="1" s="5">
      <c r="A18" s="7" t="inlineStr">
        <is>
          <t>RAID017</t>
        </is>
      </c>
      <c r="B18" s="7" t="inlineStr">
        <is>
          <t>PRJ019</t>
        </is>
      </c>
      <c r="C18" s="7" t="inlineStr">
        <is>
          <t>Risk</t>
        </is>
      </c>
      <c r="D18" s="7" t="inlineStr">
        <is>
          <t>Assumes API contract stable</t>
        </is>
      </c>
      <c r="E18" s="7" t="inlineStr">
        <is>
          <t>Low</t>
        </is>
      </c>
      <c r="F18" s="7" t="inlineStr">
        <is>
          <t>High</t>
        </is>
      </c>
      <c r="G18" s="7" t="inlineStr">
        <is>
          <t>Green</t>
        </is>
      </c>
      <c r="H18" s="7" t="inlineStr">
        <is>
          <t>Priya Patel</t>
        </is>
      </c>
      <c r="I18" s="8" t="n">
        <v>46159</v>
      </c>
      <c r="J18" s="7" t="inlineStr">
        <is>
          <t>Add buffer</t>
        </is>
      </c>
      <c r="K18" s="7" t="inlineStr">
        <is>
          <t>Closed</t>
        </is>
      </c>
    </row>
    <row r="19" ht="15" customHeight="1" s="5">
      <c r="A19" s="7" t="inlineStr">
        <is>
          <t>RAID018</t>
        </is>
      </c>
      <c r="B19" s="7" t="inlineStr">
        <is>
          <t>PRJ006</t>
        </is>
      </c>
      <c r="C19" s="7" t="inlineStr">
        <is>
          <t>Issue</t>
        </is>
      </c>
      <c r="D19" s="7" t="inlineStr">
        <is>
          <t>Vendor licence cost rise</t>
        </is>
      </c>
      <c r="E19" s="7" t="inlineStr">
        <is>
          <t>High</t>
        </is>
      </c>
      <c r="F19" s="7" t="inlineStr">
        <is>
          <t>Medium</t>
        </is>
      </c>
      <c r="G19" s="7" t="inlineStr">
        <is>
          <t>Green</t>
        </is>
      </c>
      <c r="H19" s="7" t="inlineStr">
        <is>
          <t>Priya Patel</t>
        </is>
      </c>
      <c r="I19" s="8" t="n">
        <v>46241</v>
      </c>
      <c r="J19" s="7" t="inlineStr">
        <is>
          <t>Add buffer</t>
        </is>
      </c>
      <c r="K19" s="7" t="inlineStr">
        <is>
          <t>In Progress</t>
        </is>
      </c>
    </row>
    <row r="20" ht="15" customHeight="1" s="5">
      <c r="A20" s="7" t="inlineStr">
        <is>
          <t>RAID019</t>
        </is>
      </c>
      <c r="B20" s="7" t="inlineStr">
        <is>
          <t>PRJ037</t>
        </is>
      </c>
      <c r="C20" s="7" t="inlineStr">
        <is>
          <t>Risk</t>
        </is>
      </c>
      <c r="D20" s="7" t="inlineStr">
        <is>
          <t>Regulatory deadline</t>
        </is>
      </c>
      <c r="E20" s="7" t="inlineStr">
        <is>
          <t>Low</t>
        </is>
      </c>
      <c r="F20" s="7" t="inlineStr">
        <is>
          <t>Low</t>
        </is>
      </c>
      <c r="G20" s="7" t="inlineStr">
        <is>
          <t>Green</t>
        </is>
      </c>
      <c r="H20" s="7" t="inlineStr">
        <is>
          <t>Priya Patel</t>
        </is>
      </c>
      <c r="I20" s="8" t="n">
        <v>46279</v>
      </c>
      <c r="J20" s="7" t="inlineStr">
        <is>
          <t>Add buffer</t>
        </is>
      </c>
      <c r="K20" s="7" t="inlineStr">
        <is>
          <t>In Progress</t>
        </is>
      </c>
    </row>
    <row r="21" ht="15" customHeight="1" s="5">
      <c r="A21" s="7" t="inlineStr">
        <is>
          <t>RAID020</t>
        </is>
      </c>
      <c r="B21" s="7" t="inlineStr">
        <is>
          <t>PRJ014</t>
        </is>
      </c>
      <c r="C21" s="7" t="inlineStr">
        <is>
          <t>Dependency</t>
        </is>
      </c>
      <c r="D21" s="7" t="inlineStr">
        <is>
          <t>Vendor licence cost rise</t>
        </is>
      </c>
      <c r="E21" s="7" t="inlineStr">
        <is>
          <t>High</t>
        </is>
      </c>
      <c r="F21" s="7" t="inlineStr">
        <is>
          <t>Low</t>
        </is>
      </c>
      <c r="G21" s="7" t="inlineStr">
        <is>
          <t>Amber</t>
        </is>
      </c>
      <c r="H21" s="7" t="inlineStr">
        <is>
          <t>Priya Patel</t>
        </is>
      </c>
      <c r="I21" s="8" t="n">
        <v>46221</v>
      </c>
      <c r="J21" s="7" t="inlineStr">
        <is>
          <t>Vendor escalation</t>
        </is>
      </c>
      <c r="K21" s="7" t="inlineStr">
        <is>
          <t>Closed</t>
        </is>
      </c>
    </row>
    <row r="22" ht="15" customHeight="1" s="5">
      <c r="A22" s="7" t="inlineStr">
        <is>
          <t>RAID021</t>
        </is>
      </c>
      <c r="B22" s="7" t="inlineStr">
        <is>
          <t>PRJ020</t>
        </is>
      </c>
      <c r="C22" s="7" t="inlineStr">
        <is>
          <t>Dependency</t>
        </is>
      </c>
      <c r="D22" s="7" t="inlineStr">
        <is>
          <t>Test data not available</t>
        </is>
      </c>
      <c r="E22" s="7" t="inlineStr">
        <is>
          <t>High</t>
        </is>
      </c>
      <c r="F22" s="7" t="inlineStr">
        <is>
          <t>Critical</t>
        </is>
      </c>
      <c r="G22" s="7" t="inlineStr">
        <is>
          <t>Amber</t>
        </is>
      </c>
      <c r="H22" s="7" t="inlineStr">
        <is>
          <t>Sarah Lee</t>
        </is>
      </c>
      <c r="I22" s="8" t="n">
        <v>46100</v>
      </c>
      <c r="J22" s="7" t="inlineStr">
        <is>
          <t>Active monitoring</t>
        </is>
      </c>
      <c r="K22" s="7" t="inlineStr">
        <is>
          <t>Open</t>
        </is>
      </c>
    </row>
    <row r="23" ht="15" customHeight="1" s="5">
      <c r="A23" s="7" t="inlineStr">
        <is>
          <t>RAID022</t>
        </is>
      </c>
      <c r="B23" s="7" t="inlineStr">
        <is>
          <t>PRJ029</t>
        </is>
      </c>
      <c r="C23" s="7" t="inlineStr">
        <is>
          <t>Dependency</t>
        </is>
      </c>
      <c r="D23" s="7" t="inlineStr">
        <is>
          <t>Depends on procurement signoff</t>
        </is>
      </c>
      <c r="E23" s="7" t="inlineStr">
        <is>
          <t>Medium</t>
        </is>
      </c>
      <c r="F23" s="7" t="inlineStr">
        <is>
          <t>Medium</t>
        </is>
      </c>
      <c r="G23" s="7" t="inlineStr">
        <is>
          <t>Amber</t>
        </is>
      </c>
      <c r="H23" s="7" t="inlineStr">
        <is>
          <t>Alex Brown</t>
        </is>
      </c>
      <c r="I23" s="8" t="n">
        <v>46118</v>
      </c>
      <c r="J23" s="7" t="inlineStr">
        <is>
          <t>Vendor escalation</t>
        </is>
      </c>
      <c r="K23" s="7" t="inlineStr">
        <is>
          <t>Closed</t>
        </is>
      </c>
    </row>
    <row r="24" ht="15" customHeight="1" s="5">
      <c r="A24" s="7" t="inlineStr">
        <is>
          <t>RAID023</t>
        </is>
      </c>
      <c r="B24" s="7" t="inlineStr">
        <is>
          <t>PRJ021</t>
        </is>
      </c>
      <c r="C24" s="7" t="inlineStr">
        <is>
          <t>Assumption</t>
        </is>
      </c>
      <c r="D24" s="7" t="inlineStr">
        <is>
          <t>Depends on procurement signoff</t>
        </is>
      </c>
      <c r="E24" s="7" t="inlineStr">
        <is>
          <t>Low</t>
        </is>
      </c>
      <c r="F24" s="7" t="inlineStr">
        <is>
          <t>High</t>
        </is>
      </c>
      <c r="G24" s="7" t="inlineStr">
        <is>
          <t>Red</t>
        </is>
      </c>
      <c r="H24" s="7" t="inlineStr">
        <is>
          <t>Alex Brown</t>
        </is>
      </c>
      <c r="I24" s="8" t="n">
        <v>46109</v>
      </c>
      <c r="J24" s="7" t="inlineStr">
        <is>
          <t>Vendor escalation</t>
        </is>
      </c>
      <c r="K24" s="7" t="inlineStr">
        <is>
          <t>Open</t>
        </is>
      </c>
    </row>
    <row r="25" ht="15" customHeight="1" s="5">
      <c r="A25" s="7" t="inlineStr">
        <is>
          <t>RAID024</t>
        </is>
      </c>
      <c r="B25" s="7" t="inlineStr">
        <is>
          <t>PRJ030</t>
        </is>
      </c>
      <c r="C25" s="7" t="inlineStr">
        <is>
          <t>Risk</t>
        </is>
      </c>
      <c r="D25" s="7" t="inlineStr">
        <is>
          <t>Assumes API contract stable</t>
        </is>
      </c>
      <c r="E25" s="7" t="inlineStr">
        <is>
          <t>Medium</t>
        </is>
      </c>
      <c r="F25" s="7" t="inlineStr">
        <is>
          <t>Medium</t>
        </is>
      </c>
      <c r="G25" s="7" t="inlineStr">
        <is>
          <t>Green</t>
        </is>
      </c>
      <c r="H25" s="7" t="inlineStr">
        <is>
          <t>John Smith</t>
        </is>
      </c>
      <c r="I25" s="8" t="n">
        <v>46094</v>
      </c>
      <c r="J25" s="7" t="inlineStr">
        <is>
          <t>Vendor escalation</t>
        </is>
      </c>
      <c r="K25" s="7" t="inlineStr">
        <is>
          <t>In Progress</t>
        </is>
      </c>
    </row>
    <row r="26" ht="15" customHeight="1" s="5">
      <c r="A26" s="7" t="inlineStr">
        <is>
          <t>RAID025</t>
        </is>
      </c>
      <c r="B26" s="7" t="inlineStr">
        <is>
          <t>PRJ040</t>
        </is>
      </c>
      <c r="C26" s="7" t="inlineStr">
        <is>
          <t>Dependency</t>
        </is>
      </c>
      <c r="D26" s="7" t="inlineStr">
        <is>
          <t>Test data not available</t>
        </is>
      </c>
      <c r="E26" s="7" t="inlineStr">
        <is>
          <t>Low</t>
        </is>
      </c>
      <c r="F26" s="7" t="inlineStr">
        <is>
          <t>High</t>
        </is>
      </c>
      <c r="G26" s="7" t="inlineStr">
        <is>
          <t>Red</t>
        </is>
      </c>
      <c r="H26" s="7" t="inlineStr">
        <is>
          <t>Priya Patel</t>
        </is>
      </c>
      <c r="I26" s="8" t="n">
        <v>46162</v>
      </c>
      <c r="J26" s="7" t="inlineStr">
        <is>
          <t>Contingency plan</t>
        </is>
      </c>
      <c r="K26" s="7" t="inlineStr">
        <is>
          <t>Open</t>
        </is>
      </c>
    </row>
    <row r="27" ht="15" customHeight="1" s="5">
      <c r="A27" s="7" t="inlineStr">
        <is>
          <t>RAID026</t>
        </is>
      </c>
      <c r="B27" s="7" t="inlineStr">
        <is>
          <t>PRJ032</t>
        </is>
      </c>
      <c r="C27" s="7" t="inlineStr">
        <is>
          <t>Dependency</t>
        </is>
      </c>
      <c r="D27" s="7" t="inlineStr">
        <is>
          <t>Depends on procurement signoff</t>
        </is>
      </c>
      <c r="E27" s="7" t="inlineStr">
        <is>
          <t>Medium</t>
        </is>
      </c>
      <c r="F27" s="7" t="inlineStr">
        <is>
          <t>Critical</t>
        </is>
      </c>
      <c r="G27" s="7" t="inlineStr">
        <is>
          <t>Green</t>
        </is>
      </c>
      <c r="H27" s="7" t="inlineStr">
        <is>
          <t>John Smith</t>
        </is>
      </c>
      <c r="I27" s="8" t="n">
        <v>46182</v>
      </c>
      <c r="J27" s="7" t="inlineStr">
        <is>
          <t>Add buffer</t>
        </is>
      </c>
      <c r="K27" s="7" t="inlineStr">
        <is>
          <t>In Progress</t>
        </is>
      </c>
    </row>
    <row r="28" ht="15" customHeight="1" s="5">
      <c r="A28" s="7" t="inlineStr">
        <is>
          <t>RAID027</t>
        </is>
      </c>
      <c r="B28" s="7" t="inlineStr">
        <is>
          <t>PRJ016</t>
        </is>
      </c>
      <c r="C28" s="7" t="inlineStr">
        <is>
          <t>Issue</t>
        </is>
      </c>
      <c r="D28" s="7" t="inlineStr">
        <is>
          <t>Vendor licence cost rise</t>
        </is>
      </c>
      <c r="E28" s="7" t="inlineStr">
        <is>
          <t>Medium</t>
        </is>
      </c>
      <c r="F28" s="7" t="inlineStr">
        <is>
          <t>Low</t>
        </is>
      </c>
      <c r="G28" s="7" t="inlineStr">
        <is>
          <t>Green</t>
        </is>
      </c>
      <c r="H28" s="7" t="inlineStr">
        <is>
          <t>Mike Johnson</t>
        </is>
      </c>
      <c r="I28" s="8" t="n">
        <v>46208</v>
      </c>
      <c r="J28" s="7" t="inlineStr">
        <is>
          <t>Add buffer</t>
        </is>
      </c>
      <c r="K28" s="7" t="inlineStr">
        <is>
          <t>Closed</t>
        </is>
      </c>
    </row>
    <row r="29" ht="15" customHeight="1" s="5">
      <c r="A29" s="7" t="inlineStr">
        <is>
          <t>RAID028</t>
        </is>
      </c>
      <c r="B29" s="7" t="inlineStr">
        <is>
          <t>PRJ031</t>
        </is>
      </c>
      <c r="C29" s="7" t="inlineStr">
        <is>
          <t>Assumption</t>
        </is>
      </c>
      <c r="D29" s="7" t="inlineStr">
        <is>
          <t>Vendor licence cost rise</t>
        </is>
      </c>
      <c r="E29" s="7" t="inlineStr">
        <is>
          <t>Low</t>
        </is>
      </c>
      <c r="F29" s="7" t="inlineStr">
        <is>
          <t>Low</t>
        </is>
      </c>
      <c r="G29" s="7" t="inlineStr">
        <is>
          <t>Amber</t>
        </is>
      </c>
      <c r="H29" s="7" t="inlineStr">
        <is>
          <t>Jane Doe</t>
        </is>
      </c>
      <c r="I29" s="8" t="n">
        <v>46307</v>
      </c>
      <c r="J29" s="7" t="inlineStr">
        <is>
          <t>Vendor escalation</t>
        </is>
      </c>
      <c r="K29" s="7" t="inlineStr">
        <is>
          <t>Closed</t>
        </is>
      </c>
    </row>
    <row r="30" ht="15" customHeight="1" s="5">
      <c r="A30" s="7" t="inlineStr">
        <is>
          <t>RAID029</t>
        </is>
      </c>
      <c r="B30" s="7" t="inlineStr">
        <is>
          <t>PRJ024</t>
        </is>
      </c>
      <c r="C30" s="7" t="inlineStr">
        <is>
          <t>Dependency</t>
        </is>
      </c>
      <c r="D30" s="7" t="inlineStr">
        <is>
          <t>Assumes API contract stable</t>
        </is>
      </c>
      <c r="E30" s="7" t="inlineStr">
        <is>
          <t>Low</t>
        </is>
      </c>
      <c r="F30" s="7" t="inlineStr">
        <is>
          <t>Critical</t>
        </is>
      </c>
      <c r="G30" s="7" t="inlineStr">
        <is>
          <t>Green</t>
        </is>
      </c>
      <c r="H30" s="7" t="inlineStr">
        <is>
          <t>Alex Brown</t>
        </is>
      </c>
      <c r="I30" s="8" t="n">
        <v>46225</v>
      </c>
      <c r="J30" s="7" t="inlineStr">
        <is>
          <t>Contingency plan</t>
        </is>
      </c>
      <c r="K30" s="7" t="inlineStr">
        <is>
          <t>In Progress</t>
        </is>
      </c>
    </row>
    <row r="31" ht="15" customHeight="1" s="5">
      <c r="A31" s="7" t="inlineStr">
        <is>
          <t>RAID030</t>
        </is>
      </c>
      <c r="B31" s="7" t="inlineStr">
        <is>
          <t>PRJ036</t>
        </is>
      </c>
      <c r="C31" s="7" t="inlineStr">
        <is>
          <t>Assumption</t>
        </is>
      </c>
      <c r="D31" s="7" t="inlineStr">
        <is>
          <t>Cloud provider outage risk</t>
        </is>
      </c>
      <c r="E31" s="7" t="inlineStr">
        <is>
          <t>Medium</t>
        </is>
      </c>
      <c r="F31" s="7" t="inlineStr">
        <is>
          <t>Critical</t>
        </is>
      </c>
      <c r="G31" s="7" t="inlineStr">
        <is>
          <t>Red</t>
        </is>
      </c>
      <c r="H31" s="7" t="inlineStr">
        <is>
          <t>Mike Johnson</t>
        </is>
      </c>
      <c r="I31" s="8" t="n">
        <v>46293</v>
      </c>
      <c r="J31" s="7" t="inlineStr">
        <is>
          <t>Add buffer</t>
        </is>
      </c>
      <c r="K31" s="7" t="inlineStr">
        <is>
          <t>Closed</t>
        </is>
      </c>
    </row>
    <row r="32" ht="15" customHeight="1" s="5">
      <c r="A32" s="7" t="inlineStr">
        <is>
          <t>RAID031</t>
        </is>
      </c>
      <c r="B32" s="7" t="inlineStr">
        <is>
          <t>PRJ040</t>
        </is>
      </c>
      <c r="C32" s="7" t="inlineStr">
        <is>
          <t>Risk</t>
        </is>
      </c>
      <c r="D32" s="7" t="inlineStr">
        <is>
          <t>Test data not available</t>
        </is>
      </c>
      <c r="E32" s="7" t="inlineStr">
        <is>
          <t>Low</t>
        </is>
      </c>
      <c r="F32" s="7" t="inlineStr">
        <is>
          <t>Critical</t>
        </is>
      </c>
      <c r="G32" s="7" t="inlineStr">
        <is>
          <t>Amber</t>
        </is>
      </c>
      <c r="H32" s="7" t="inlineStr">
        <is>
          <t>Carlos Diaz</t>
        </is>
      </c>
      <c r="I32" s="8" t="n">
        <v>46168</v>
      </c>
      <c r="J32" s="7" t="inlineStr">
        <is>
          <t>Add buffer</t>
        </is>
      </c>
      <c r="K32" s="7" t="inlineStr">
        <is>
          <t>In Progress</t>
        </is>
      </c>
    </row>
    <row r="33" ht="15" customHeight="1" s="5">
      <c r="A33" s="7" t="inlineStr">
        <is>
          <t>RAID032</t>
        </is>
      </c>
      <c r="B33" s="7" t="inlineStr">
        <is>
          <t>PRJ010</t>
        </is>
      </c>
      <c r="C33" s="7" t="inlineStr">
        <is>
          <t>Issue</t>
        </is>
      </c>
      <c r="D33" s="7" t="inlineStr">
        <is>
          <t>Vendor licence cost rise</t>
        </is>
      </c>
      <c r="E33" s="7" t="inlineStr">
        <is>
          <t>High</t>
        </is>
      </c>
      <c r="F33" s="7" t="inlineStr">
        <is>
          <t>Critical</t>
        </is>
      </c>
      <c r="G33" s="7" t="inlineStr">
        <is>
          <t>Red</t>
        </is>
      </c>
      <c r="H33" s="7" t="inlineStr">
        <is>
          <t>John Smith</t>
        </is>
      </c>
      <c r="I33" s="8" t="n">
        <v>46093</v>
      </c>
      <c r="J33" s="7" t="inlineStr">
        <is>
          <t>Active monitoring</t>
        </is>
      </c>
      <c r="K33" s="7" t="inlineStr">
        <is>
          <t>Open</t>
        </is>
      </c>
    </row>
    <row r="34" ht="15" customHeight="1" s="5">
      <c r="A34" s="7" t="inlineStr">
        <is>
          <t>RAID033</t>
        </is>
      </c>
      <c r="B34" s="7" t="inlineStr">
        <is>
          <t>PRJ022</t>
        </is>
      </c>
      <c r="C34" s="7" t="inlineStr">
        <is>
          <t>Dependency</t>
        </is>
      </c>
      <c r="D34" s="7" t="inlineStr">
        <is>
          <t>Vendor licence cost rise</t>
        </is>
      </c>
      <c r="E34" s="7" t="inlineStr">
        <is>
          <t>Medium</t>
        </is>
      </c>
      <c r="F34" s="7" t="inlineStr">
        <is>
          <t>Medium</t>
        </is>
      </c>
      <c r="G34" s="7" t="inlineStr">
        <is>
          <t>Red</t>
        </is>
      </c>
      <c r="H34" s="7" t="inlineStr">
        <is>
          <t>Alex Brown</t>
        </is>
      </c>
      <c r="I34" s="8" t="n">
        <v>46117</v>
      </c>
      <c r="J34" s="7" t="inlineStr">
        <is>
          <t>Vendor escalation</t>
        </is>
      </c>
      <c r="K34" s="7" t="inlineStr">
        <is>
          <t>Closed</t>
        </is>
      </c>
    </row>
    <row r="35" ht="15" customHeight="1" s="5">
      <c r="A35" s="7" t="inlineStr">
        <is>
          <t>RAID034</t>
        </is>
      </c>
      <c r="B35" s="7" t="inlineStr">
        <is>
          <t>PRJ021</t>
        </is>
      </c>
      <c r="C35" s="7" t="inlineStr">
        <is>
          <t>Issue</t>
        </is>
      </c>
      <c r="D35" s="7" t="inlineStr">
        <is>
          <t>Depends on procurement signoff</t>
        </is>
      </c>
      <c r="E35" s="7" t="inlineStr">
        <is>
          <t>High</t>
        </is>
      </c>
      <c r="F35" s="7" t="inlineStr">
        <is>
          <t>High</t>
        </is>
      </c>
      <c r="G35" s="7" t="inlineStr">
        <is>
          <t>Red</t>
        </is>
      </c>
      <c r="H35" s="7" t="inlineStr">
        <is>
          <t>Mike Johnson</t>
        </is>
      </c>
      <c r="I35" s="8" t="n">
        <v>46211</v>
      </c>
      <c r="J35" s="7" t="inlineStr">
        <is>
          <t>Add buffer</t>
        </is>
      </c>
      <c r="K35" s="7" t="inlineStr">
        <is>
          <t>Closed</t>
        </is>
      </c>
    </row>
    <row r="36" ht="15" customHeight="1" s="5">
      <c r="A36" s="7" t="inlineStr">
        <is>
          <t>RAID035</t>
        </is>
      </c>
      <c r="B36" s="7" t="inlineStr">
        <is>
          <t>PRJ032</t>
        </is>
      </c>
      <c r="C36" s="7" t="inlineStr">
        <is>
          <t>Assumption</t>
        </is>
      </c>
      <c r="D36" s="7" t="inlineStr">
        <is>
          <t>Depends on procurement signoff</t>
        </is>
      </c>
      <c r="E36" s="7" t="inlineStr">
        <is>
          <t>Low</t>
        </is>
      </c>
      <c r="F36" s="7" t="inlineStr">
        <is>
          <t>High</t>
        </is>
      </c>
      <c r="G36" s="7" t="inlineStr">
        <is>
          <t>Amber</t>
        </is>
      </c>
      <c r="H36" s="7" t="inlineStr">
        <is>
          <t>Priya Patel</t>
        </is>
      </c>
      <c r="I36" s="8" t="n">
        <v>46110</v>
      </c>
      <c r="J36" s="7" t="inlineStr">
        <is>
          <t>Re-baseline</t>
        </is>
      </c>
      <c r="K36" s="7" t="inlineStr">
        <is>
          <t>Closed</t>
        </is>
      </c>
    </row>
    <row r="37" ht="15" customHeight="1" s="5">
      <c r="A37" s="7" t="inlineStr">
        <is>
          <t>RAID036</t>
        </is>
      </c>
      <c r="B37" s="7" t="inlineStr">
        <is>
          <t>PRJ020</t>
        </is>
      </c>
      <c r="C37" s="7" t="inlineStr">
        <is>
          <t>Risk</t>
        </is>
      </c>
      <c r="D37" s="7" t="inlineStr">
        <is>
          <t>Vendor licence cost rise</t>
        </is>
      </c>
      <c r="E37" s="7" t="inlineStr">
        <is>
          <t>Medium</t>
        </is>
      </c>
      <c r="F37" s="7" t="inlineStr">
        <is>
          <t>High</t>
        </is>
      </c>
      <c r="G37" s="7" t="inlineStr">
        <is>
          <t>Red</t>
        </is>
      </c>
      <c r="H37" s="7" t="inlineStr">
        <is>
          <t>Carlos Diaz</t>
        </is>
      </c>
      <c r="I37" s="8" t="n">
        <v>46280</v>
      </c>
      <c r="J37" s="7" t="inlineStr">
        <is>
          <t>Add buffer</t>
        </is>
      </c>
      <c r="K37" s="7" t="inlineStr">
        <is>
          <t>Closed</t>
        </is>
      </c>
    </row>
    <row r="38" ht="15" customHeight="1" s="5">
      <c r="A38" s="7" t="inlineStr">
        <is>
          <t>RAID037</t>
        </is>
      </c>
      <c r="B38" s="7" t="inlineStr">
        <is>
          <t>PRJ015</t>
        </is>
      </c>
      <c r="C38" s="7" t="inlineStr">
        <is>
          <t>Risk</t>
        </is>
      </c>
      <c r="D38" s="7" t="inlineStr">
        <is>
          <t>Vendor licence cost rise</t>
        </is>
      </c>
      <c r="E38" s="7" t="inlineStr">
        <is>
          <t>Medium</t>
        </is>
      </c>
      <c r="F38" s="7" t="inlineStr">
        <is>
          <t>Medium</t>
        </is>
      </c>
      <c r="G38" s="7" t="inlineStr">
        <is>
          <t>Red</t>
        </is>
      </c>
      <c r="H38" s="7" t="inlineStr">
        <is>
          <t>Priya Patel</t>
        </is>
      </c>
      <c r="I38" s="8" t="n">
        <v>46266</v>
      </c>
      <c r="J38" s="7" t="inlineStr">
        <is>
          <t>Add buffer</t>
        </is>
      </c>
      <c r="K38" s="7" t="inlineStr">
        <is>
          <t>In Progress</t>
        </is>
      </c>
    </row>
    <row r="39" ht="15" customHeight="1" s="5">
      <c r="A39" s="7" t="inlineStr">
        <is>
          <t>RAID038</t>
        </is>
      </c>
      <c r="B39" s="7" t="inlineStr">
        <is>
          <t>PRJ010</t>
        </is>
      </c>
      <c r="C39" s="7" t="inlineStr">
        <is>
          <t>Issue</t>
        </is>
      </c>
      <c r="D39" s="7" t="inlineStr">
        <is>
          <t>Cloud provider outage risk</t>
        </is>
      </c>
      <c r="E39" s="7" t="inlineStr">
        <is>
          <t>High</t>
        </is>
      </c>
      <c r="F39" s="7" t="inlineStr">
        <is>
          <t>Low</t>
        </is>
      </c>
      <c r="G39" s="7" t="inlineStr">
        <is>
          <t>Green</t>
        </is>
      </c>
      <c r="H39" s="7" t="inlineStr">
        <is>
          <t>John Smith</t>
        </is>
      </c>
      <c r="I39" s="8" t="n">
        <v>46194</v>
      </c>
      <c r="J39" s="7" t="inlineStr">
        <is>
          <t>Vendor escalation</t>
        </is>
      </c>
      <c r="K39" s="7" t="inlineStr">
        <is>
          <t>In Progress</t>
        </is>
      </c>
    </row>
    <row r="40" ht="15" customHeight="1" s="5">
      <c r="A40" s="7" t="inlineStr">
        <is>
          <t>RAID039</t>
        </is>
      </c>
      <c r="B40" s="7" t="inlineStr">
        <is>
          <t>PRJ010</t>
        </is>
      </c>
      <c r="C40" s="7" t="inlineStr">
        <is>
          <t>Dependency</t>
        </is>
      </c>
      <c r="D40" s="7" t="inlineStr">
        <is>
          <t>Staff turnover</t>
        </is>
      </c>
      <c r="E40" s="7" t="inlineStr">
        <is>
          <t>Low</t>
        </is>
      </c>
      <c r="F40" s="7" t="inlineStr">
        <is>
          <t>Critical</t>
        </is>
      </c>
      <c r="G40" s="7" t="inlineStr">
        <is>
          <t>Red</t>
        </is>
      </c>
      <c r="H40" s="7" t="inlineStr">
        <is>
          <t>Carlos Diaz</t>
        </is>
      </c>
      <c r="I40" s="8" t="n">
        <v>46238</v>
      </c>
      <c r="J40" s="7" t="inlineStr">
        <is>
          <t>Re-baseline</t>
        </is>
      </c>
      <c r="K40" s="7" t="inlineStr">
        <is>
          <t>Closed</t>
        </is>
      </c>
    </row>
    <row r="41" ht="15" customHeight="1" s="5">
      <c r="A41" s="7" t="inlineStr">
        <is>
          <t>RAID040</t>
        </is>
      </c>
      <c r="B41" s="7" t="inlineStr">
        <is>
          <t>PRJ004</t>
        </is>
      </c>
      <c r="C41" s="7" t="inlineStr">
        <is>
          <t>Issue</t>
        </is>
      </c>
      <c r="D41" s="7" t="inlineStr">
        <is>
          <t>Vendor licence cost rise</t>
        </is>
      </c>
      <c r="E41" s="7" t="inlineStr">
        <is>
          <t>Low</t>
        </is>
      </c>
      <c r="F41" s="7" t="inlineStr">
        <is>
          <t>High</t>
        </is>
      </c>
      <c r="G41" s="7" t="inlineStr">
        <is>
          <t>Red</t>
        </is>
      </c>
      <c r="H41" s="7" t="inlineStr">
        <is>
          <t>Sarah Lee</t>
        </is>
      </c>
      <c r="I41" s="8" t="n">
        <v>46216</v>
      </c>
      <c r="J41" s="7" t="inlineStr">
        <is>
          <t>Re-baseline</t>
        </is>
      </c>
      <c r="K41" s="7" t="inlineStr">
        <is>
          <t>In Progress</t>
        </is>
      </c>
    </row>
    <row r="42" ht="15" customHeight="1" s="5">
      <c r="A42" s="7" t="inlineStr">
        <is>
          <t>RAID041</t>
        </is>
      </c>
      <c r="B42" s="7" t="inlineStr">
        <is>
          <t>PRJ012</t>
        </is>
      </c>
      <c r="C42" s="7" t="inlineStr">
        <is>
          <t>Dependency</t>
        </is>
      </c>
      <c r="D42" s="7" t="inlineStr">
        <is>
          <t>Vendor licence cost rise</t>
        </is>
      </c>
      <c r="E42" s="7" t="inlineStr">
        <is>
          <t>Medium</t>
        </is>
      </c>
      <c r="F42" s="7" t="inlineStr">
        <is>
          <t>High</t>
        </is>
      </c>
      <c r="G42" s="7" t="inlineStr">
        <is>
          <t>Red</t>
        </is>
      </c>
      <c r="H42" s="7" t="inlineStr">
        <is>
          <t>Carlos Diaz</t>
        </is>
      </c>
      <c r="I42" s="8" t="n">
        <v>46304</v>
      </c>
      <c r="J42" s="7" t="inlineStr">
        <is>
          <t>Vendor escalation</t>
        </is>
      </c>
      <c r="K42" s="7" t="inlineStr">
        <is>
          <t>Closed</t>
        </is>
      </c>
    </row>
    <row r="43" ht="15" customHeight="1" s="5">
      <c r="A43" s="7" t="inlineStr">
        <is>
          <t>RAID042</t>
        </is>
      </c>
      <c r="B43" s="7" t="inlineStr">
        <is>
          <t>PRJ031</t>
        </is>
      </c>
      <c r="C43" s="7" t="inlineStr">
        <is>
          <t>Issue</t>
        </is>
      </c>
      <c r="D43" s="7" t="inlineStr">
        <is>
          <t>Test data not available</t>
        </is>
      </c>
      <c r="E43" s="7" t="inlineStr">
        <is>
          <t>Medium</t>
        </is>
      </c>
      <c r="F43" s="7" t="inlineStr">
        <is>
          <t>High</t>
        </is>
      </c>
      <c r="G43" s="7" t="inlineStr">
        <is>
          <t>Green</t>
        </is>
      </c>
      <c r="H43" s="7" t="inlineStr">
        <is>
          <t>Mike Johnson</t>
        </is>
      </c>
      <c r="I43" s="8" t="n">
        <v>46279</v>
      </c>
      <c r="J43" s="7" t="inlineStr">
        <is>
          <t>Vendor escalation</t>
        </is>
      </c>
      <c r="K43" s="7" t="inlineStr">
        <is>
          <t>Closed</t>
        </is>
      </c>
    </row>
    <row r="44" ht="15" customHeight="1" s="5">
      <c r="A44" s="7" t="inlineStr">
        <is>
          <t>RAID043</t>
        </is>
      </c>
      <c r="B44" s="7" t="inlineStr">
        <is>
          <t>PRJ014</t>
        </is>
      </c>
      <c r="C44" s="7" t="inlineStr">
        <is>
          <t>Dependency</t>
        </is>
      </c>
      <c r="D44" s="7" t="inlineStr">
        <is>
          <t>Assumes API contract stable</t>
        </is>
      </c>
      <c r="E44" s="7" t="inlineStr">
        <is>
          <t>Medium</t>
        </is>
      </c>
      <c r="F44" s="7" t="inlineStr">
        <is>
          <t>High</t>
        </is>
      </c>
      <c r="G44" s="7" t="inlineStr">
        <is>
          <t>Red</t>
        </is>
      </c>
      <c r="H44" s="7" t="inlineStr">
        <is>
          <t>Carlos Diaz</t>
        </is>
      </c>
      <c r="I44" s="8" t="n">
        <v>46266</v>
      </c>
      <c r="J44" s="7" t="inlineStr">
        <is>
          <t>Vendor escalation</t>
        </is>
      </c>
      <c r="K44" s="7" t="inlineStr">
        <is>
          <t>In Progress</t>
        </is>
      </c>
    </row>
    <row r="45" ht="15" customHeight="1" s="5">
      <c r="A45" s="7" t="inlineStr">
        <is>
          <t>RAID044</t>
        </is>
      </c>
      <c r="B45" s="7" t="inlineStr">
        <is>
          <t>PRJ008</t>
        </is>
      </c>
      <c r="C45" s="7" t="inlineStr">
        <is>
          <t>Dependency</t>
        </is>
      </c>
      <c r="D45" s="7" t="inlineStr">
        <is>
          <t>Depends on procurement signoff</t>
        </is>
      </c>
      <c r="E45" s="7" t="inlineStr">
        <is>
          <t>Medium</t>
        </is>
      </c>
      <c r="F45" s="7" t="inlineStr">
        <is>
          <t>Medium</t>
        </is>
      </c>
      <c r="G45" s="7" t="inlineStr">
        <is>
          <t>Amber</t>
        </is>
      </c>
      <c r="H45" s="7" t="inlineStr">
        <is>
          <t>John Smith</t>
        </is>
      </c>
      <c r="I45" s="8" t="n">
        <v>46155</v>
      </c>
      <c r="J45" s="7" t="inlineStr">
        <is>
          <t>Active monitoring</t>
        </is>
      </c>
      <c r="K45" s="7" t="inlineStr">
        <is>
          <t>In Progress</t>
        </is>
      </c>
    </row>
    <row r="46" ht="15" customHeight="1" s="5">
      <c r="A46" s="7" t="inlineStr">
        <is>
          <t>RAID045</t>
        </is>
      </c>
      <c r="B46" s="7" t="inlineStr">
        <is>
          <t>PRJ029</t>
        </is>
      </c>
      <c r="C46" s="7" t="inlineStr">
        <is>
          <t>Assumption</t>
        </is>
      </c>
      <c r="D46" s="7" t="inlineStr">
        <is>
          <t>Staff turnover</t>
        </is>
      </c>
      <c r="E46" s="7" t="inlineStr">
        <is>
          <t>Medium</t>
        </is>
      </c>
      <c r="F46" s="7" t="inlineStr">
        <is>
          <t>Medium</t>
        </is>
      </c>
      <c r="G46" s="7" t="inlineStr">
        <is>
          <t>Green</t>
        </is>
      </c>
      <c r="H46" s="7" t="inlineStr">
        <is>
          <t>Carlos Diaz</t>
        </is>
      </c>
      <c r="I46" s="8" t="n">
        <v>46219</v>
      </c>
      <c r="J46" s="7" t="inlineStr">
        <is>
          <t>Vendor escalation</t>
        </is>
      </c>
      <c r="K46" s="7" t="inlineStr">
        <is>
          <t>Closed</t>
        </is>
      </c>
    </row>
    <row r="47" ht="15" customHeight="1" s="5">
      <c r="A47" s="7" t="inlineStr">
        <is>
          <t>RAID046</t>
        </is>
      </c>
      <c r="B47" s="7" t="inlineStr">
        <is>
          <t>PRJ018</t>
        </is>
      </c>
      <c r="C47" s="7" t="inlineStr">
        <is>
          <t>Issue</t>
        </is>
      </c>
      <c r="D47" s="7" t="inlineStr">
        <is>
          <t>Cloud provider outage risk</t>
        </is>
      </c>
      <c r="E47" s="7" t="inlineStr">
        <is>
          <t>High</t>
        </is>
      </c>
      <c r="F47" s="7" t="inlineStr">
        <is>
          <t>Medium</t>
        </is>
      </c>
      <c r="G47" s="7" t="inlineStr">
        <is>
          <t>Green</t>
        </is>
      </c>
      <c r="H47" s="7" t="inlineStr">
        <is>
          <t>John Smith</t>
        </is>
      </c>
      <c r="I47" s="8" t="n">
        <v>46253</v>
      </c>
      <c r="J47" s="7" t="inlineStr">
        <is>
          <t>Add buffer</t>
        </is>
      </c>
      <c r="K47" s="7" t="inlineStr">
        <is>
          <t>Open</t>
        </is>
      </c>
    </row>
    <row r="48" ht="15" customHeight="1" s="5">
      <c r="A48" s="7" t="inlineStr">
        <is>
          <t>RAID047</t>
        </is>
      </c>
      <c r="B48" s="7" t="inlineStr">
        <is>
          <t>PRJ015</t>
        </is>
      </c>
      <c r="C48" s="7" t="inlineStr">
        <is>
          <t>Risk</t>
        </is>
      </c>
      <c r="D48" s="7" t="inlineStr">
        <is>
          <t>Cloud provider outage risk</t>
        </is>
      </c>
      <c r="E48" s="7" t="inlineStr">
        <is>
          <t>Medium</t>
        </is>
      </c>
      <c r="F48" s="7" t="inlineStr">
        <is>
          <t>High</t>
        </is>
      </c>
      <c r="G48" s="7" t="inlineStr">
        <is>
          <t>Red</t>
        </is>
      </c>
      <c r="H48" s="7" t="inlineStr">
        <is>
          <t>Sarah Lee</t>
        </is>
      </c>
      <c r="I48" s="8" t="n">
        <v>46107</v>
      </c>
      <c r="J48" s="7" t="inlineStr">
        <is>
          <t>Contingency plan</t>
        </is>
      </c>
      <c r="K48" s="7" t="inlineStr">
        <is>
          <t>Open</t>
        </is>
      </c>
    </row>
    <row r="49" ht="15" customHeight="1" s="5">
      <c r="A49" s="7" t="inlineStr">
        <is>
          <t>RAID048</t>
        </is>
      </c>
      <c r="B49" s="7" t="inlineStr">
        <is>
          <t>PRJ036</t>
        </is>
      </c>
      <c r="C49" s="7" t="inlineStr">
        <is>
          <t>Issue</t>
        </is>
      </c>
      <c r="D49" s="7" t="inlineStr">
        <is>
          <t>Depends on procurement signoff</t>
        </is>
      </c>
      <c r="E49" s="7" t="inlineStr">
        <is>
          <t>High</t>
        </is>
      </c>
      <c r="F49" s="7" t="inlineStr">
        <is>
          <t>Critical</t>
        </is>
      </c>
      <c r="G49" s="7" t="inlineStr">
        <is>
          <t>Amber</t>
        </is>
      </c>
      <c r="H49" s="7" t="inlineStr">
        <is>
          <t>Priya Patel</t>
        </is>
      </c>
      <c r="I49" s="8" t="n">
        <v>46133</v>
      </c>
      <c r="J49" s="7" t="inlineStr">
        <is>
          <t>Vendor escalation</t>
        </is>
      </c>
      <c r="K49" s="7" t="inlineStr">
        <is>
          <t>In Progress</t>
        </is>
      </c>
    </row>
    <row r="50" ht="15" customHeight="1" s="5">
      <c r="A50" s="7" t="inlineStr">
        <is>
          <t>RAID049</t>
        </is>
      </c>
      <c r="B50" s="7" t="inlineStr">
        <is>
          <t>PRJ019</t>
        </is>
      </c>
      <c r="C50" s="7" t="inlineStr">
        <is>
          <t>Risk</t>
        </is>
      </c>
      <c r="D50" s="7" t="inlineStr">
        <is>
          <t>Regulatory deadline</t>
        </is>
      </c>
      <c r="E50" s="7" t="inlineStr">
        <is>
          <t>Low</t>
        </is>
      </c>
      <c r="F50" s="7" t="inlineStr">
        <is>
          <t>Medium</t>
        </is>
      </c>
      <c r="G50" s="7" t="inlineStr">
        <is>
          <t>Red</t>
        </is>
      </c>
      <c r="H50" s="7" t="inlineStr">
        <is>
          <t>Priya Patel</t>
        </is>
      </c>
      <c r="I50" s="8" t="n">
        <v>46267</v>
      </c>
      <c r="J50" s="7" t="inlineStr">
        <is>
          <t>Active monitoring</t>
        </is>
      </c>
      <c r="K50" s="7" t="inlineStr">
        <is>
          <t>Open</t>
        </is>
      </c>
    </row>
    <row r="51" ht="15" customHeight="1" s="5">
      <c r="A51" s="7" t="inlineStr">
        <is>
          <t>RAID050</t>
        </is>
      </c>
      <c r="B51" s="7" t="inlineStr">
        <is>
          <t>PRJ027</t>
        </is>
      </c>
      <c r="C51" s="7" t="inlineStr">
        <is>
          <t>Issue</t>
        </is>
      </c>
      <c r="D51" s="7" t="inlineStr">
        <is>
          <t>Cloud provider outage risk</t>
        </is>
      </c>
      <c r="E51" s="7" t="inlineStr">
        <is>
          <t>Medium</t>
        </is>
      </c>
      <c r="F51" s="7" t="inlineStr">
        <is>
          <t>Critical</t>
        </is>
      </c>
      <c r="G51" s="7" t="inlineStr">
        <is>
          <t>Green</t>
        </is>
      </c>
      <c r="H51" s="7" t="inlineStr">
        <is>
          <t>Priya Patel</t>
        </is>
      </c>
      <c r="I51" s="8" t="n">
        <v>46305</v>
      </c>
      <c r="J51" s="7" t="inlineStr">
        <is>
          <t>Vendor escalation</t>
        </is>
      </c>
      <c r="K51" s="7" t="inlineStr">
        <is>
          <t>Open</t>
        </is>
      </c>
    </row>
    <row r="52" ht="15" customHeight="1" s="5">
      <c r="A52" s="7" t="inlineStr">
        <is>
          <t>RAID051</t>
        </is>
      </c>
      <c r="B52" s="7" t="inlineStr">
        <is>
          <t>PRJ001</t>
        </is>
      </c>
      <c r="C52" s="7" t="inlineStr">
        <is>
          <t>Assumption</t>
        </is>
      </c>
      <c r="D52" s="7" t="inlineStr">
        <is>
          <t>Vendor licence cost rise</t>
        </is>
      </c>
      <c r="E52" s="7" t="inlineStr">
        <is>
          <t>High</t>
        </is>
      </c>
      <c r="F52" s="7" t="inlineStr">
        <is>
          <t>Low</t>
        </is>
      </c>
      <c r="G52" s="7" t="inlineStr">
        <is>
          <t>Amber</t>
        </is>
      </c>
      <c r="H52" s="7" t="inlineStr">
        <is>
          <t>Mike Johnson</t>
        </is>
      </c>
      <c r="I52" s="8" t="n">
        <v>46198</v>
      </c>
      <c r="J52" s="7" t="inlineStr">
        <is>
          <t>Add buffer</t>
        </is>
      </c>
      <c r="K52" s="7" t="inlineStr">
        <is>
          <t>Closed</t>
        </is>
      </c>
    </row>
    <row r="53" ht="15" customHeight="1" s="5">
      <c r="A53" s="7" t="inlineStr">
        <is>
          <t>RAID052</t>
        </is>
      </c>
      <c r="B53" s="7" t="inlineStr">
        <is>
          <t>PRJ032</t>
        </is>
      </c>
      <c r="C53" s="7" t="inlineStr">
        <is>
          <t>Issue</t>
        </is>
      </c>
      <c r="D53" s="7" t="inlineStr">
        <is>
          <t>Regulatory deadline</t>
        </is>
      </c>
      <c r="E53" s="7" t="inlineStr">
        <is>
          <t>High</t>
        </is>
      </c>
      <c r="F53" s="7" t="inlineStr">
        <is>
          <t>Critical</t>
        </is>
      </c>
      <c r="G53" s="7" t="inlineStr">
        <is>
          <t>Amber</t>
        </is>
      </c>
      <c r="H53" s="7" t="inlineStr">
        <is>
          <t>Jane Doe</t>
        </is>
      </c>
      <c r="I53" s="8" t="n">
        <v>46289</v>
      </c>
      <c r="J53" s="7" t="inlineStr">
        <is>
          <t>Active monitoring</t>
        </is>
      </c>
      <c r="K53" s="7" t="inlineStr">
        <is>
          <t>In Progress</t>
        </is>
      </c>
    </row>
    <row r="54" ht="15" customHeight="1" s="5">
      <c r="A54" s="7" t="inlineStr">
        <is>
          <t>RAID053</t>
        </is>
      </c>
      <c r="B54" s="7" t="inlineStr">
        <is>
          <t>PRJ011</t>
        </is>
      </c>
      <c r="C54" s="7" t="inlineStr">
        <is>
          <t>Dependency</t>
        </is>
      </c>
      <c r="D54" s="7" t="inlineStr">
        <is>
          <t>Staff turnover</t>
        </is>
      </c>
      <c r="E54" s="7" t="inlineStr">
        <is>
          <t>Medium</t>
        </is>
      </c>
      <c r="F54" s="7" t="inlineStr">
        <is>
          <t>Medium</t>
        </is>
      </c>
      <c r="G54" s="7" t="inlineStr">
        <is>
          <t>Green</t>
        </is>
      </c>
      <c r="H54" s="7" t="inlineStr">
        <is>
          <t>Priya Patel</t>
        </is>
      </c>
      <c r="I54" s="8" t="n">
        <v>46168</v>
      </c>
      <c r="J54" s="7" t="inlineStr">
        <is>
          <t>Vendor escalation</t>
        </is>
      </c>
      <c r="K54" s="7" t="inlineStr">
        <is>
          <t>Closed</t>
        </is>
      </c>
    </row>
    <row r="55" ht="15" customHeight="1" s="5">
      <c r="A55" s="7" t="inlineStr">
        <is>
          <t>RAID054</t>
        </is>
      </c>
      <c r="B55" s="7" t="inlineStr">
        <is>
          <t>PRJ013</t>
        </is>
      </c>
      <c r="C55" s="7" t="inlineStr">
        <is>
          <t>Issue</t>
        </is>
      </c>
      <c r="D55" s="7" t="inlineStr">
        <is>
          <t>Vendor licence cost rise</t>
        </is>
      </c>
      <c r="E55" s="7" t="inlineStr">
        <is>
          <t>High</t>
        </is>
      </c>
      <c r="F55" s="7" t="inlineStr">
        <is>
          <t>Critical</t>
        </is>
      </c>
      <c r="G55" s="7" t="inlineStr">
        <is>
          <t>Amber</t>
        </is>
      </c>
      <c r="H55" s="7" t="inlineStr">
        <is>
          <t>Alex Brown</t>
        </is>
      </c>
      <c r="I55" s="8" t="n">
        <v>46165</v>
      </c>
      <c r="J55" s="7" t="inlineStr">
        <is>
          <t>Active monitoring</t>
        </is>
      </c>
      <c r="K55" s="7" t="inlineStr">
        <is>
          <t>In Progress</t>
        </is>
      </c>
    </row>
    <row r="56" ht="15" customHeight="1" s="5">
      <c r="A56" s="7" t="inlineStr">
        <is>
          <t>RAID055</t>
        </is>
      </c>
      <c r="B56" s="7" t="inlineStr">
        <is>
          <t>PRJ007</t>
        </is>
      </c>
      <c r="C56" s="7" t="inlineStr">
        <is>
          <t>Issue</t>
        </is>
      </c>
      <c r="D56" s="7" t="inlineStr">
        <is>
          <t>Test data not available</t>
        </is>
      </c>
      <c r="E56" s="7" t="inlineStr">
        <is>
          <t>Medium</t>
        </is>
      </c>
      <c r="F56" s="7" t="inlineStr">
        <is>
          <t>High</t>
        </is>
      </c>
      <c r="G56" s="7" t="inlineStr">
        <is>
          <t>Green</t>
        </is>
      </c>
      <c r="H56" s="7" t="inlineStr">
        <is>
          <t>John Smith</t>
        </is>
      </c>
      <c r="I56" s="8" t="n">
        <v>46148</v>
      </c>
      <c r="J56" s="7" t="inlineStr">
        <is>
          <t>Re-baseline</t>
        </is>
      </c>
      <c r="K56" s="7" t="inlineStr">
        <is>
          <t>Open</t>
        </is>
      </c>
    </row>
    <row r="57" ht="15" customHeight="1" s="5">
      <c r="A57" s="7" t="inlineStr">
        <is>
          <t>RAID056</t>
        </is>
      </c>
      <c r="B57" s="7" t="inlineStr">
        <is>
          <t>PRJ029</t>
        </is>
      </c>
      <c r="C57" s="7" t="inlineStr">
        <is>
          <t>Assumption</t>
        </is>
      </c>
      <c r="D57" s="7" t="inlineStr">
        <is>
          <t>Assumes API contract stable</t>
        </is>
      </c>
      <c r="E57" s="7" t="inlineStr">
        <is>
          <t>Medium</t>
        </is>
      </c>
      <c r="F57" s="7" t="inlineStr">
        <is>
          <t>Low</t>
        </is>
      </c>
      <c r="G57" s="7" t="inlineStr">
        <is>
          <t>Amber</t>
        </is>
      </c>
      <c r="H57" s="7" t="inlineStr">
        <is>
          <t>Priya Patel</t>
        </is>
      </c>
      <c r="I57" s="8" t="n">
        <v>46174</v>
      </c>
      <c r="J57" s="7" t="inlineStr">
        <is>
          <t>Contingency plan</t>
        </is>
      </c>
      <c r="K57" s="7" t="inlineStr">
        <is>
          <t>Open</t>
        </is>
      </c>
    </row>
    <row r="58" ht="15" customHeight="1" s="5">
      <c r="A58" s="7" t="inlineStr">
        <is>
          <t>RAID057</t>
        </is>
      </c>
      <c r="B58" s="7" t="inlineStr">
        <is>
          <t>PRJ008</t>
        </is>
      </c>
      <c r="C58" s="7" t="inlineStr">
        <is>
          <t>Dependency</t>
        </is>
      </c>
      <c r="D58" s="7" t="inlineStr">
        <is>
          <t>Assumes API contract stable</t>
        </is>
      </c>
      <c r="E58" s="7" t="inlineStr">
        <is>
          <t>Low</t>
        </is>
      </c>
      <c r="F58" s="7" t="inlineStr">
        <is>
          <t>Critical</t>
        </is>
      </c>
      <c r="G58" s="7" t="inlineStr">
        <is>
          <t>Red</t>
        </is>
      </c>
      <c r="H58" s="7" t="inlineStr">
        <is>
          <t>Alex Brown</t>
        </is>
      </c>
      <c r="I58" s="8" t="n">
        <v>46318</v>
      </c>
      <c r="J58" s="7" t="inlineStr">
        <is>
          <t>Vendor escalation</t>
        </is>
      </c>
      <c r="K58" s="7" t="inlineStr">
        <is>
          <t>Closed</t>
        </is>
      </c>
    </row>
    <row r="59" ht="15" customHeight="1" s="5">
      <c r="A59" s="7" t="inlineStr">
        <is>
          <t>RAID058</t>
        </is>
      </c>
      <c r="B59" s="7" t="inlineStr">
        <is>
          <t>PRJ008</t>
        </is>
      </c>
      <c r="C59" s="7" t="inlineStr">
        <is>
          <t>Assumption</t>
        </is>
      </c>
      <c r="D59" s="7" t="inlineStr">
        <is>
          <t>Assumes API contract stable</t>
        </is>
      </c>
      <c r="E59" s="7" t="inlineStr">
        <is>
          <t>High</t>
        </is>
      </c>
      <c r="F59" s="7" t="inlineStr">
        <is>
          <t>Medium</t>
        </is>
      </c>
      <c r="G59" s="7" t="inlineStr">
        <is>
          <t>Green</t>
        </is>
      </c>
      <c r="H59" s="7" t="inlineStr">
        <is>
          <t>Jane Doe</t>
        </is>
      </c>
      <c r="I59" s="8" t="n">
        <v>46204</v>
      </c>
      <c r="J59" s="7" t="inlineStr">
        <is>
          <t>Contingency plan</t>
        </is>
      </c>
      <c r="K59" s="7" t="inlineStr">
        <is>
          <t>In Progress</t>
        </is>
      </c>
    </row>
    <row r="60" ht="15" customHeight="1" s="5">
      <c r="A60" s="7" t="inlineStr">
        <is>
          <t>RAID059</t>
        </is>
      </c>
      <c r="B60" s="7" t="inlineStr">
        <is>
          <t>PRJ039</t>
        </is>
      </c>
      <c r="C60" s="7" t="inlineStr">
        <is>
          <t>Assumption</t>
        </is>
      </c>
      <c r="D60" s="7" t="inlineStr">
        <is>
          <t>Depends on procurement signoff</t>
        </is>
      </c>
      <c r="E60" s="7" t="inlineStr">
        <is>
          <t>High</t>
        </is>
      </c>
      <c r="F60" s="7" t="inlineStr">
        <is>
          <t>Critical</t>
        </is>
      </c>
      <c r="G60" s="7" t="inlineStr">
        <is>
          <t>Red</t>
        </is>
      </c>
      <c r="H60" s="7" t="inlineStr">
        <is>
          <t>Carlos Diaz</t>
        </is>
      </c>
      <c r="I60" s="8" t="n">
        <v>46252</v>
      </c>
      <c r="J60" s="7" t="inlineStr">
        <is>
          <t>Contingency plan</t>
        </is>
      </c>
      <c r="K60" s="7" t="inlineStr">
        <is>
          <t>Open</t>
        </is>
      </c>
    </row>
    <row r="61" ht="15" customHeight="1" s="5">
      <c r="A61" s="7" t="inlineStr">
        <is>
          <t>RAID060</t>
        </is>
      </c>
      <c r="B61" s="7" t="inlineStr">
        <is>
          <t>PRJ039</t>
        </is>
      </c>
      <c r="C61" s="7" t="inlineStr">
        <is>
          <t>Risk</t>
        </is>
      </c>
      <c r="D61" s="7" t="inlineStr">
        <is>
          <t>Vendor licence cost rise</t>
        </is>
      </c>
      <c r="E61" s="7" t="inlineStr">
        <is>
          <t>Medium</t>
        </is>
      </c>
      <c r="F61" s="7" t="inlineStr">
        <is>
          <t>High</t>
        </is>
      </c>
      <c r="G61" s="7" t="inlineStr">
        <is>
          <t>Green</t>
        </is>
      </c>
      <c r="H61" s="7" t="inlineStr">
        <is>
          <t>Alex Brown</t>
        </is>
      </c>
      <c r="I61" s="8" t="n">
        <v>46110</v>
      </c>
      <c r="J61" s="7" t="inlineStr">
        <is>
          <t>Active monitoring</t>
        </is>
      </c>
      <c r="K61" s="7" t="inlineStr">
        <is>
          <t>Closed</t>
        </is>
      </c>
    </row>
    <row r="62" ht="15" customHeight="1" s="5">
      <c r="A62" s="7" t="inlineStr">
        <is>
          <t>RAID061</t>
        </is>
      </c>
      <c r="B62" s="7" t="inlineStr">
        <is>
          <t>PRJ033</t>
        </is>
      </c>
      <c r="C62" s="7" t="inlineStr">
        <is>
          <t>Issue</t>
        </is>
      </c>
      <c r="D62" s="7" t="inlineStr">
        <is>
          <t>Vendor licence cost rise</t>
        </is>
      </c>
      <c r="E62" s="7" t="inlineStr">
        <is>
          <t>High</t>
        </is>
      </c>
      <c r="F62" s="7" t="inlineStr">
        <is>
          <t>Medium</t>
        </is>
      </c>
      <c r="G62" s="7" t="inlineStr">
        <is>
          <t>Green</t>
        </is>
      </c>
      <c r="H62" s="7" t="inlineStr">
        <is>
          <t>Mike Johnson</t>
        </is>
      </c>
      <c r="I62" s="8" t="n">
        <v>46300</v>
      </c>
      <c r="J62" s="7" t="inlineStr">
        <is>
          <t>Add buffer</t>
        </is>
      </c>
      <c r="K62" s="7" t="inlineStr">
        <is>
          <t>In Progress</t>
        </is>
      </c>
    </row>
    <row r="63" ht="15" customHeight="1" s="5">
      <c r="A63" s="7" t="inlineStr">
        <is>
          <t>RAID062</t>
        </is>
      </c>
      <c r="B63" s="7" t="inlineStr">
        <is>
          <t>PRJ008</t>
        </is>
      </c>
      <c r="C63" s="7" t="inlineStr">
        <is>
          <t>Issue</t>
        </is>
      </c>
      <c r="D63" s="7" t="inlineStr">
        <is>
          <t>Staff turnover</t>
        </is>
      </c>
      <c r="E63" s="7" t="inlineStr">
        <is>
          <t>High</t>
        </is>
      </c>
      <c r="F63" s="7" t="inlineStr">
        <is>
          <t>Critical</t>
        </is>
      </c>
      <c r="G63" s="7" t="inlineStr">
        <is>
          <t>Green</t>
        </is>
      </c>
      <c r="H63" s="7" t="inlineStr">
        <is>
          <t>Alex Brown</t>
        </is>
      </c>
      <c r="I63" s="8" t="n">
        <v>46196</v>
      </c>
      <c r="J63" s="7" t="inlineStr">
        <is>
          <t>Active monitoring</t>
        </is>
      </c>
      <c r="K63" s="7" t="inlineStr">
        <is>
          <t>In Progress</t>
        </is>
      </c>
    </row>
    <row r="64" ht="15" customHeight="1" s="5">
      <c r="A64" s="7" t="inlineStr">
        <is>
          <t>RAID063</t>
        </is>
      </c>
      <c r="B64" s="7" t="inlineStr">
        <is>
          <t>PRJ009</t>
        </is>
      </c>
      <c r="C64" s="7" t="inlineStr">
        <is>
          <t>Dependency</t>
        </is>
      </c>
      <c r="D64" s="7" t="inlineStr">
        <is>
          <t>Depends on procurement signoff</t>
        </is>
      </c>
      <c r="E64" s="7" t="inlineStr">
        <is>
          <t>High</t>
        </is>
      </c>
      <c r="F64" s="7" t="inlineStr">
        <is>
          <t>Low</t>
        </is>
      </c>
      <c r="G64" s="7" t="inlineStr">
        <is>
          <t>Red</t>
        </is>
      </c>
      <c r="H64" s="7" t="inlineStr">
        <is>
          <t>Sarah Lee</t>
        </is>
      </c>
      <c r="I64" s="8" t="n">
        <v>46254</v>
      </c>
      <c r="J64" s="7" t="inlineStr">
        <is>
          <t>Vendor escalation</t>
        </is>
      </c>
      <c r="K64" s="7" t="inlineStr">
        <is>
          <t>Closed</t>
        </is>
      </c>
    </row>
    <row r="65" ht="15" customHeight="1" s="5">
      <c r="A65" s="7" t="inlineStr">
        <is>
          <t>RAID064</t>
        </is>
      </c>
      <c r="B65" s="7" t="inlineStr">
        <is>
          <t>PRJ002</t>
        </is>
      </c>
      <c r="C65" s="7" t="inlineStr">
        <is>
          <t>Dependency</t>
        </is>
      </c>
      <c r="D65" s="7" t="inlineStr">
        <is>
          <t>Assumes API contract stable</t>
        </is>
      </c>
      <c r="E65" s="7" t="inlineStr">
        <is>
          <t>Low</t>
        </is>
      </c>
      <c r="F65" s="7" t="inlineStr">
        <is>
          <t>Medium</t>
        </is>
      </c>
      <c r="G65" s="7" t="inlineStr">
        <is>
          <t>Red</t>
        </is>
      </c>
      <c r="H65" s="7" t="inlineStr">
        <is>
          <t>John Smith</t>
        </is>
      </c>
      <c r="I65" s="8" t="n">
        <v>46093</v>
      </c>
      <c r="J65" s="7" t="inlineStr">
        <is>
          <t>Re-baseline</t>
        </is>
      </c>
      <c r="K65" s="7" t="inlineStr">
        <is>
          <t>In Progress</t>
        </is>
      </c>
    </row>
    <row r="66" ht="15" customHeight="1" s="5">
      <c r="A66" s="7" t="inlineStr">
        <is>
          <t>RAID065</t>
        </is>
      </c>
      <c r="B66" s="7" t="inlineStr">
        <is>
          <t>PRJ005</t>
        </is>
      </c>
      <c r="C66" s="7" t="inlineStr">
        <is>
          <t>Risk</t>
        </is>
      </c>
      <c r="D66" s="7" t="inlineStr">
        <is>
          <t>Cloud provider outage risk</t>
        </is>
      </c>
      <c r="E66" s="7" t="inlineStr">
        <is>
          <t>Medium</t>
        </is>
      </c>
      <c r="F66" s="7" t="inlineStr">
        <is>
          <t>Low</t>
        </is>
      </c>
      <c r="G66" s="7" t="inlineStr">
        <is>
          <t>Amber</t>
        </is>
      </c>
      <c r="H66" s="7" t="inlineStr">
        <is>
          <t>Sarah Lee</t>
        </is>
      </c>
      <c r="I66" s="8" t="n">
        <v>46128</v>
      </c>
      <c r="J66" s="7" t="inlineStr">
        <is>
          <t>Contingency plan</t>
        </is>
      </c>
      <c r="K66" s="7" t="inlineStr">
        <is>
          <t>Closed</t>
        </is>
      </c>
    </row>
    <row r="67" ht="15" customHeight="1" s="5">
      <c r="A67" s="7" t="inlineStr">
        <is>
          <t>RAID066</t>
        </is>
      </c>
      <c r="B67" s="7" t="inlineStr">
        <is>
          <t>PRJ027</t>
        </is>
      </c>
      <c r="C67" s="7" t="inlineStr">
        <is>
          <t>Assumption</t>
        </is>
      </c>
      <c r="D67" s="7" t="inlineStr">
        <is>
          <t>Depends on procurement signoff</t>
        </is>
      </c>
      <c r="E67" s="7" t="inlineStr">
        <is>
          <t>Medium</t>
        </is>
      </c>
      <c r="F67" s="7" t="inlineStr">
        <is>
          <t>Critical</t>
        </is>
      </c>
      <c r="G67" s="7" t="inlineStr">
        <is>
          <t>Amber</t>
        </is>
      </c>
      <c r="H67" s="7" t="inlineStr">
        <is>
          <t>John Smith</t>
        </is>
      </c>
      <c r="I67" s="8" t="n">
        <v>46256</v>
      </c>
      <c r="J67" s="7" t="inlineStr">
        <is>
          <t>Add buffer</t>
        </is>
      </c>
      <c r="K67" s="7" t="inlineStr">
        <is>
          <t>Open</t>
        </is>
      </c>
    </row>
    <row r="68" ht="15" customHeight="1" s="5">
      <c r="A68" s="7" t="inlineStr">
        <is>
          <t>RAID067</t>
        </is>
      </c>
      <c r="B68" s="7" t="inlineStr">
        <is>
          <t>PRJ023</t>
        </is>
      </c>
      <c r="C68" s="7" t="inlineStr">
        <is>
          <t>Risk</t>
        </is>
      </c>
      <c r="D68" s="7" t="inlineStr">
        <is>
          <t>Test data not available</t>
        </is>
      </c>
      <c r="E68" s="7" t="inlineStr">
        <is>
          <t>High</t>
        </is>
      </c>
      <c r="F68" s="7" t="inlineStr">
        <is>
          <t>Critical</t>
        </is>
      </c>
      <c r="G68" s="7" t="inlineStr">
        <is>
          <t>Red</t>
        </is>
      </c>
      <c r="H68" s="7" t="inlineStr">
        <is>
          <t>Jane Doe</t>
        </is>
      </c>
      <c r="I68" s="8" t="n">
        <v>46268</v>
      </c>
      <c r="J68" s="7" t="inlineStr">
        <is>
          <t>Contingency plan</t>
        </is>
      </c>
      <c r="K68" s="7" t="inlineStr">
        <is>
          <t>Open</t>
        </is>
      </c>
    </row>
    <row r="69" ht="15" customHeight="1" s="5">
      <c r="A69" s="7" t="inlineStr">
        <is>
          <t>RAID068</t>
        </is>
      </c>
      <c r="B69" s="7" t="inlineStr">
        <is>
          <t>PRJ002</t>
        </is>
      </c>
      <c r="C69" s="7" t="inlineStr">
        <is>
          <t>Assumption</t>
        </is>
      </c>
      <c r="D69" s="7" t="inlineStr">
        <is>
          <t>Depends on procurement signoff</t>
        </is>
      </c>
      <c r="E69" s="7" t="inlineStr">
        <is>
          <t>High</t>
        </is>
      </c>
      <c r="F69" s="7" t="inlineStr">
        <is>
          <t>Critical</t>
        </is>
      </c>
      <c r="G69" s="7" t="inlineStr">
        <is>
          <t>Red</t>
        </is>
      </c>
      <c r="H69" s="7" t="inlineStr">
        <is>
          <t>Sarah Lee</t>
        </is>
      </c>
      <c r="I69" s="8" t="n">
        <v>46292</v>
      </c>
      <c r="J69" s="7" t="inlineStr">
        <is>
          <t>Contingency plan</t>
        </is>
      </c>
      <c r="K69" s="7" t="inlineStr">
        <is>
          <t>Open</t>
        </is>
      </c>
    </row>
    <row r="70" ht="15" customHeight="1" s="5">
      <c r="A70" s="7" t="inlineStr">
        <is>
          <t>RAID069</t>
        </is>
      </c>
      <c r="B70" s="7" t="inlineStr">
        <is>
          <t>PRJ030</t>
        </is>
      </c>
      <c r="C70" s="7" t="inlineStr">
        <is>
          <t>Assumption</t>
        </is>
      </c>
      <c r="D70" s="7" t="inlineStr">
        <is>
          <t>Test data not available</t>
        </is>
      </c>
      <c r="E70" s="7" t="inlineStr">
        <is>
          <t>Medium</t>
        </is>
      </c>
      <c r="F70" s="7" t="inlineStr">
        <is>
          <t>Medium</t>
        </is>
      </c>
      <c r="G70" s="7" t="inlineStr">
        <is>
          <t>Red</t>
        </is>
      </c>
      <c r="H70" s="7" t="inlineStr">
        <is>
          <t>Carlos Diaz</t>
        </is>
      </c>
      <c r="I70" s="8" t="n">
        <v>46110</v>
      </c>
      <c r="J70" s="7" t="inlineStr">
        <is>
          <t>Active monitoring</t>
        </is>
      </c>
      <c r="K70" s="7" t="inlineStr">
        <is>
          <t>Closed</t>
        </is>
      </c>
    </row>
    <row r="71" ht="15" customHeight="1" s="5">
      <c r="A71" s="7" t="inlineStr">
        <is>
          <t>RAID070</t>
        </is>
      </c>
      <c r="B71" s="7" t="inlineStr">
        <is>
          <t>PRJ027</t>
        </is>
      </c>
      <c r="C71" s="7" t="inlineStr">
        <is>
          <t>Risk</t>
        </is>
      </c>
      <c r="D71" s="7" t="inlineStr">
        <is>
          <t>Test data not available</t>
        </is>
      </c>
      <c r="E71" s="7" t="inlineStr">
        <is>
          <t>Low</t>
        </is>
      </c>
      <c r="F71" s="7" t="inlineStr">
        <is>
          <t>Low</t>
        </is>
      </c>
      <c r="G71" s="7" t="inlineStr">
        <is>
          <t>Green</t>
        </is>
      </c>
      <c r="H71" s="7" t="inlineStr">
        <is>
          <t>Alex Brown</t>
        </is>
      </c>
      <c r="I71" s="8" t="n">
        <v>46090</v>
      </c>
      <c r="J71" s="7" t="inlineStr">
        <is>
          <t>Re-baseline</t>
        </is>
      </c>
      <c r="K71" s="7" t="inlineStr">
        <is>
          <t>Closed</t>
        </is>
      </c>
    </row>
    <row r="72" ht="15" customHeight="1" s="5">
      <c r="A72" s="7" t="inlineStr">
        <is>
          <t>RAID071</t>
        </is>
      </c>
      <c r="B72" s="7" t="inlineStr">
        <is>
          <t>PRJ004</t>
        </is>
      </c>
      <c r="C72" s="7" t="inlineStr">
        <is>
          <t>Issue</t>
        </is>
      </c>
      <c r="D72" s="7" t="inlineStr">
        <is>
          <t>Staff turnover</t>
        </is>
      </c>
      <c r="E72" s="7" t="inlineStr">
        <is>
          <t>Low</t>
        </is>
      </c>
      <c r="F72" s="7" t="inlineStr">
        <is>
          <t>Critical</t>
        </is>
      </c>
      <c r="G72" s="7" t="inlineStr">
        <is>
          <t>Amber</t>
        </is>
      </c>
      <c r="H72" s="7" t="inlineStr">
        <is>
          <t>Jane Doe</t>
        </is>
      </c>
      <c r="I72" s="8" t="n">
        <v>46220</v>
      </c>
      <c r="J72" s="7" t="inlineStr">
        <is>
          <t>Contingency plan</t>
        </is>
      </c>
      <c r="K72" s="7" t="inlineStr">
        <is>
          <t>Open</t>
        </is>
      </c>
    </row>
    <row r="73" ht="15" customHeight="1" s="5">
      <c r="A73" s="7" t="inlineStr">
        <is>
          <t>RAID072</t>
        </is>
      </c>
      <c r="B73" s="7" t="inlineStr">
        <is>
          <t>PRJ009</t>
        </is>
      </c>
      <c r="C73" s="7" t="inlineStr">
        <is>
          <t>Assumption</t>
        </is>
      </c>
      <c r="D73" s="7" t="inlineStr">
        <is>
          <t>Test data not available</t>
        </is>
      </c>
      <c r="E73" s="7" t="inlineStr">
        <is>
          <t>High</t>
        </is>
      </c>
      <c r="F73" s="7" t="inlineStr">
        <is>
          <t>High</t>
        </is>
      </c>
      <c r="G73" s="7" t="inlineStr">
        <is>
          <t>Red</t>
        </is>
      </c>
      <c r="H73" s="7" t="inlineStr">
        <is>
          <t>Alex Brown</t>
        </is>
      </c>
      <c r="I73" s="8" t="n">
        <v>46279</v>
      </c>
      <c r="J73" s="7" t="inlineStr">
        <is>
          <t>Vendor escalation</t>
        </is>
      </c>
      <c r="K73" s="7" t="inlineStr">
        <is>
          <t>Open</t>
        </is>
      </c>
    </row>
    <row r="74" ht="15" customHeight="1" s="5">
      <c r="A74" s="7" t="inlineStr">
        <is>
          <t>RAID073</t>
        </is>
      </c>
      <c r="B74" s="7" t="inlineStr">
        <is>
          <t>PRJ020</t>
        </is>
      </c>
      <c r="C74" s="7" t="inlineStr">
        <is>
          <t>Issue</t>
        </is>
      </c>
      <c r="D74" s="7" t="inlineStr">
        <is>
          <t>Staff turnover</t>
        </is>
      </c>
      <c r="E74" s="7" t="inlineStr">
        <is>
          <t>High</t>
        </is>
      </c>
      <c r="F74" s="7" t="inlineStr">
        <is>
          <t>Medium</t>
        </is>
      </c>
      <c r="G74" s="7" t="inlineStr">
        <is>
          <t>Amber</t>
        </is>
      </c>
      <c r="H74" s="7" t="inlineStr">
        <is>
          <t>Mike Johnson</t>
        </is>
      </c>
      <c r="I74" s="8" t="n">
        <v>46152</v>
      </c>
      <c r="J74" s="7" t="inlineStr">
        <is>
          <t>Active monitoring</t>
        </is>
      </c>
      <c r="K74" s="7" t="inlineStr">
        <is>
          <t>Closed</t>
        </is>
      </c>
    </row>
    <row r="75" ht="15" customHeight="1" s="5">
      <c r="A75" s="7" t="inlineStr">
        <is>
          <t>RAID074</t>
        </is>
      </c>
      <c r="B75" s="7" t="inlineStr">
        <is>
          <t>PRJ038</t>
        </is>
      </c>
      <c r="C75" s="7" t="inlineStr">
        <is>
          <t>Issue</t>
        </is>
      </c>
      <c r="D75" s="7" t="inlineStr">
        <is>
          <t>Staff turnover</t>
        </is>
      </c>
      <c r="E75" s="7" t="inlineStr">
        <is>
          <t>High</t>
        </is>
      </c>
      <c r="F75" s="7" t="inlineStr">
        <is>
          <t>Critical</t>
        </is>
      </c>
      <c r="G75" s="7" t="inlineStr">
        <is>
          <t>Red</t>
        </is>
      </c>
      <c r="H75" s="7" t="inlineStr">
        <is>
          <t>Sarah Lee</t>
        </is>
      </c>
      <c r="I75" s="8" t="n">
        <v>46094</v>
      </c>
      <c r="J75" s="7" t="inlineStr">
        <is>
          <t>Vendor escalation</t>
        </is>
      </c>
      <c r="K75" s="7" t="inlineStr">
        <is>
          <t>Closed</t>
        </is>
      </c>
    </row>
    <row r="76" ht="15" customHeight="1" s="5">
      <c r="A76" s="7" t="inlineStr">
        <is>
          <t>RAID075</t>
        </is>
      </c>
      <c r="B76" s="7" t="inlineStr">
        <is>
          <t>PRJ025</t>
        </is>
      </c>
      <c r="C76" s="7" t="inlineStr">
        <is>
          <t>Assumption</t>
        </is>
      </c>
      <c r="D76" s="7" t="inlineStr">
        <is>
          <t>Staff turnover</t>
        </is>
      </c>
      <c r="E76" s="7" t="inlineStr">
        <is>
          <t>Medium</t>
        </is>
      </c>
      <c r="F76" s="7" t="inlineStr">
        <is>
          <t>Critical</t>
        </is>
      </c>
      <c r="G76" s="7" t="inlineStr">
        <is>
          <t>Green</t>
        </is>
      </c>
      <c r="H76" s="7" t="inlineStr">
        <is>
          <t>Mike Johnson</t>
        </is>
      </c>
      <c r="I76" s="8" t="n">
        <v>46178</v>
      </c>
      <c r="J76" s="7" t="inlineStr">
        <is>
          <t>Contingency plan</t>
        </is>
      </c>
      <c r="K76" s="7" t="inlineStr">
        <is>
          <t>Closed</t>
        </is>
      </c>
    </row>
    <row r="77" ht="15" customHeight="1" s="5">
      <c r="A77" s="7" t="inlineStr">
        <is>
          <t>RAID076</t>
        </is>
      </c>
      <c r="B77" s="7" t="inlineStr">
        <is>
          <t>PRJ031</t>
        </is>
      </c>
      <c r="C77" s="7" t="inlineStr">
        <is>
          <t>Issue</t>
        </is>
      </c>
      <c r="D77" s="7" t="inlineStr">
        <is>
          <t>Regulatory deadline</t>
        </is>
      </c>
      <c r="E77" s="7" t="inlineStr">
        <is>
          <t>Low</t>
        </is>
      </c>
      <c r="F77" s="7" t="inlineStr">
        <is>
          <t>High</t>
        </is>
      </c>
      <c r="G77" s="7" t="inlineStr">
        <is>
          <t>Red</t>
        </is>
      </c>
      <c r="H77" s="7" t="inlineStr">
        <is>
          <t>Jane Doe</t>
        </is>
      </c>
      <c r="I77" s="8" t="n">
        <v>46288</v>
      </c>
      <c r="J77" s="7" t="inlineStr">
        <is>
          <t>Re-baseline</t>
        </is>
      </c>
      <c r="K77" s="7" t="inlineStr">
        <is>
          <t>Open</t>
        </is>
      </c>
    </row>
    <row r="78" ht="15" customHeight="1" s="5">
      <c r="A78" s="7" t="inlineStr">
        <is>
          <t>RAID077</t>
        </is>
      </c>
      <c r="B78" s="7" t="inlineStr">
        <is>
          <t>PRJ036</t>
        </is>
      </c>
      <c r="C78" s="7" t="inlineStr">
        <is>
          <t>Dependency</t>
        </is>
      </c>
      <c r="D78" s="7" t="inlineStr">
        <is>
          <t>Depends on procurement signoff</t>
        </is>
      </c>
      <c r="E78" s="7" t="inlineStr">
        <is>
          <t>High</t>
        </is>
      </c>
      <c r="F78" s="7" t="inlineStr">
        <is>
          <t>Medium</t>
        </is>
      </c>
      <c r="G78" s="7" t="inlineStr">
        <is>
          <t>Amber</t>
        </is>
      </c>
      <c r="H78" s="7" t="inlineStr">
        <is>
          <t>Jane Doe</t>
        </is>
      </c>
      <c r="I78" s="8" t="n">
        <v>46147</v>
      </c>
      <c r="J78" s="7" t="inlineStr">
        <is>
          <t>Contingency plan</t>
        </is>
      </c>
      <c r="K78" s="7" t="inlineStr">
        <is>
          <t>In Progress</t>
        </is>
      </c>
    </row>
    <row r="79" ht="15" customHeight="1" s="5">
      <c r="A79" s="7" t="inlineStr">
        <is>
          <t>RAID078</t>
        </is>
      </c>
      <c r="B79" s="7" t="inlineStr">
        <is>
          <t>PRJ006</t>
        </is>
      </c>
      <c r="C79" s="7" t="inlineStr">
        <is>
          <t>Dependency</t>
        </is>
      </c>
      <c r="D79" s="7" t="inlineStr">
        <is>
          <t>Regulatory deadline</t>
        </is>
      </c>
      <c r="E79" s="7" t="inlineStr">
        <is>
          <t>Medium</t>
        </is>
      </c>
      <c r="F79" s="7" t="inlineStr">
        <is>
          <t>Low</t>
        </is>
      </c>
      <c r="G79" s="7" t="inlineStr">
        <is>
          <t>Red</t>
        </is>
      </c>
      <c r="H79" s="7" t="inlineStr">
        <is>
          <t>Priya Patel</t>
        </is>
      </c>
      <c r="I79" s="8" t="n">
        <v>46294</v>
      </c>
      <c r="J79" s="7" t="inlineStr">
        <is>
          <t>Contingency plan</t>
        </is>
      </c>
      <c r="K79" s="7" t="inlineStr">
        <is>
          <t>Open</t>
        </is>
      </c>
    </row>
    <row r="80" ht="15" customHeight="1" s="5">
      <c r="A80" s="7" t="inlineStr">
        <is>
          <t>RAID079</t>
        </is>
      </c>
      <c r="B80" s="7" t="inlineStr">
        <is>
          <t>PRJ018</t>
        </is>
      </c>
      <c r="C80" s="7" t="inlineStr">
        <is>
          <t>Dependency</t>
        </is>
      </c>
      <c r="D80" s="7" t="inlineStr">
        <is>
          <t>Staff turnover</t>
        </is>
      </c>
      <c r="E80" s="7" t="inlineStr">
        <is>
          <t>High</t>
        </is>
      </c>
      <c r="F80" s="7" t="inlineStr">
        <is>
          <t>Low</t>
        </is>
      </c>
      <c r="G80" s="7" t="inlineStr">
        <is>
          <t>Green</t>
        </is>
      </c>
      <c r="H80" s="7" t="inlineStr">
        <is>
          <t>Jane Doe</t>
        </is>
      </c>
      <c r="I80" s="8" t="n">
        <v>46287</v>
      </c>
      <c r="J80" s="7" t="inlineStr">
        <is>
          <t>Add buffer</t>
        </is>
      </c>
      <c r="K80" s="7" t="inlineStr">
        <is>
          <t>Closed</t>
        </is>
      </c>
    </row>
    <row r="81" ht="15" customHeight="1" s="5">
      <c r="A81" s="7" t="inlineStr">
        <is>
          <t>RAID080</t>
        </is>
      </c>
      <c r="B81" s="7" t="inlineStr">
        <is>
          <t>PRJ036</t>
        </is>
      </c>
      <c r="C81" s="7" t="inlineStr">
        <is>
          <t>Issue</t>
        </is>
      </c>
      <c r="D81" s="7" t="inlineStr">
        <is>
          <t>Depends on procurement signoff</t>
        </is>
      </c>
      <c r="E81" s="7" t="inlineStr">
        <is>
          <t>Low</t>
        </is>
      </c>
      <c r="F81" s="7" t="inlineStr">
        <is>
          <t>High</t>
        </is>
      </c>
      <c r="G81" s="7" t="inlineStr">
        <is>
          <t>Amber</t>
        </is>
      </c>
      <c r="H81" s="7" t="inlineStr">
        <is>
          <t>John Smith</t>
        </is>
      </c>
      <c r="I81" s="8" t="n">
        <v>46136</v>
      </c>
      <c r="J81" s="7" t="inlineStr">
        <is>
          <t>Contingency plan</t>
        </is>
      </c>
      <c r="K81" s="7" t="inlineStr">
        <is>
          <t>Closed</t>
        </is>
      </c>
    </row>
    <row r="82" ht="15" customHeight="1" s="5">
      <c r="C82" s="7" t="n"/>
      <c r="E82" s="7" t="n"/>
      <c r="F82" s="7" t="n"/>
      <c r="G82" s="7" t="n"/>
      <c r="K82" s="7" t="n"/>
    </row>
    <row r="83" ht="15" customHeight="1" s="5">
      <c r="C83" s="7" t="n"/>
      <c r="E83" s="7" t="n"/>
      <c r="F83" s="7" t="n"/>
      <c r="G83" s="7" t="n"/>
      <c r="K83" s="7" t="n"/>
    </row>
    <row r="84" ht="15" customHeight="1" s="5">
      <c r="C84" s="7" t="n"/>
      <c r="E84" s="7" t="n"/>
      <c r="F84" s="7" t="n"/>
      <c r="G84" s="7" t="n"/>
      <c r="K84" s="7" t="n"/>
    </row>
    <row r="85" ht="15" customHeight="1" s="5">
      <c r="C85" s="7" t="n"/>
      <c r="E85" s="7" t="n"/>
      <c r="F85" s="7" t="n"/>
      <c r="G85" s="7" t="n"/>
      <c r="K85" s="7" t="n"/>
    </row>
    <row r="86" ht="15" customHeight="1" s="5">
      <c r="C86" s="7" t="n"/>
      <c r="E86" s="7" t="n"/>
      <c r="F86" s="7" t="n"/>
      <c r="G86" s="7" t="n"/>
      <c r="K86" s="7" t="n"/>
    </row>
    <row r="87" ht="15" customHeight="1" s="5">
      <c r="C87" s="7" t="n"/>
      <c r="E87" s="7" t="n"/>
      <c r="F87" s="7" t="n"/>
      <c r="G87" s="7" t="n"/>
      <c r="K87" s="7" t="n"/>
    </row>
    <row r="88" ht="15" customHeight="1" s="5">
      <c r="C88" s="7" t="n"/>
      <c r="E88" s="7" t="n"/>
      <c r="F88" s="7" t="n"/>
      <c r="G88" s="7" t="n"/>
      <c r="K88" s="7" t="n"/>
    </row>
    <row r="89" ht="15" customHeight="1" s="5">
      <c r="C89" s="7" t="n"/>
      <c r="E89" s="7" t="n"/>
      <c r="F89" s="7" t="n"/>
      <c r="G89" s="7" t="n"/>
      <c r="K89" s="7" t="n"/>
    </row>
    <row r="90" ht="15" customHeight="1" s="5">
      <c r="C90" s="7" t="n"/>
      <c r="E90" s="7" t="n"/>
      <c r="F90" s="7" t="n"/>
      <c r="G90" s="7" t="n"/>
      <c r="K90" s="7" t="n"/>
    </row>
    <row r="91" ht="15" customHeight="1" s="5">
      <c r="C91" s="7" t="n"/>
      <c r="E91" s="7" t="n"/>
      <c r="F91" s="7" t="n"/>
      <c r="G91" s="7" t="n"/>
      <c r="K91" s="7" t="n"/>
    </row>
    <row r="92" ht="15" customHeight="1" s="5">
      <c r="C92" s="7" t="n"/>
      <c r="E92" s="7" t="n"/>
      <c r="F92" s="7" t="n"/>
      <c r="G92" s="7" t="n"/>
      <c r="K92" s="7" t="n"/>
    </row>
    <row r="93" ht="15" customHeight="1" s="5">
      <c r="C93" s="7" t="n"/>
      <c r="E93" s="7" t="n"/>
      <c r="F93" s="7" t="n"/>
      <c r="G93" s="7" t="n"/>
      <c r="K93" s="7" t="n"/>
    </row>
    <row r="94" ht="15" customHeight="1" s="5">
      <c r="C94" s="7" t="n"/>
      <c r="E94" s="7" t="n"/>
      <c r="F94" s="7" t="n"/>
      <c r="G94" s="7" t="n"/>
      <c r="K94" s="7" t="n"/>
    </row>
    <row r="95" ht="15" customHeight="1" s="5">
      <c r="C95" s="7" t="n"/>
      <c r="E95" s="7" t="n"/>
      <c r="F95" s="7" t="n"/>
      <c r="G95" s="7" t="n"/>
      <c r="K95" s="7" t="n"/>
    </row>
    <row r="96" ht="15" customHeight="1" s="5">
      <c r="C96" s="7" t="n"/>
      <c r="E96" s="7" t="n"/>
      <c r="F96" s="7" t="n"/>
      <c r="G96" s="7" t="n"/>
      <c r="K96" s="7" t="n"/>
    </row>
    <row r="97" ht="15" customHeight="1" s="5">
      <c r="C97" s="7" t="n"/>
      <c r="E97" s="7" t="n"/>
      <c r="F97" s="7" t="n"/>
      <c r="G97" s="7" t="n"/>
      <c r="K97" s="7" t="n"/>
    </row>
    <row r="98" ht="15" customHeight="1" s="5">
      <c r="C98" s="7" t="n"/>
      <c r="E98" s="7" t="n"/>
      <c r="F98" s="7" t="n"/>
      <c r="G98" s="7" t="n"/>
      <c r="K98" s="7" t="n"/>
    </row>
    <row r="99" ht="15" customHeight="1" s="5">
      <c r="C99" s="7" t="n"/>
      <c r="E99" s="7" t="n"/>
      <c r="F99" s="7" t="n"/>
      <c r="G99" s="7" t="n"/>
      <c r="K99" s="7" t="n"/>
    </row>
    <row r="100" ht="15" customHeight="1" s="5">
      <c r="C100" s="7" t="n"/>
      <c r="E100" s="7" t="n"/>
      <c r="F100" s="7" t="n"/>
      <c r="G100" s="7" t="n"/>
      <c r="K100" s="7" t="n"/>
    </row>
    <row r="101" ht="15" customHeight="1" s="5">
      <c r="C101" s="7" t="n"/>
      <c r="E101" s="7" t="n"/>
      <c r="F101" s="7" t="n"/>
      <c r="G101" s="7" t="n"/>
      <c r="K101" s="7" t="n"/>
    </row>
    <row r="102" ht="15" customHeight="1" s="5">
      <c r="C102" s="7" t="n"/>
      <c r="E102" s="7" t="n"/>
      <c r="F102" s="7" t="n"/>
      <c r="G102" s="7" t="n"/>
      <c r="K102" s="7" t="n"/>
    </row>
    <row r="103" ht="15" customHeight="1" s="5">
      <c r="C103" s="7" t="n"/>
      <c r="E103" s="7" t="n"/>
      <c r="F103" s="7" t="n"/>
      <c r="G103" s="7" t="n"/>
      <c r="K103" s="7" t="n"/>
    </row>
    <row r="104" ht="15" customHeight="1" s="5">
      <c r="C104" s="7" t="n"/>
      <c r="E104" s="7" t="n"/>
      <c r="F104" s="7" t="n"/>
      <c r="G104" s="7" t="n"/>
      <c r="K104" s="7" t="n"/>
    </row>
    <row r="105" ht="15" customHeight="1" s="5">
      <c r="C105" s="7" t="n"/>
      <c r="E105" s="7" t="n"/>
      <c r="F105" s="7" t="n"/>
      <c r="G105" s="7" t="n"/>
      <c r="K105" s="7" t="n"/>
    </row>
    <row r="106" ht="15" customHeight="1" s="5">
      <c r="C106" s="7" t="n"/>
      <c r="E106" s="7" t="n"/>
      <c r="F106" s="7" t="n"/>
      <c r="G106" s="7" t="n"/>
      <c r="K106" s="7" t="n"/>
    </row>
    <row r="107" ht="15" customHeight="1" s="5">
      <c r="C107" s="7" t="n"/>
      <c r="E107" s="7" t="n"/>
      <c r="F107" s="7" t="n"/>
      <c r="G107" s="7" t="n"/>
      <c r="K107" s="7" t="n"/>
    </row>
    <row r="108" ht="15" customHeight="1" s="5">
      <c r="C108" s="7" t="n"/>
      <c r="E108" s="7" t="n"/>
      <c r="F108" s="7" t="n"/>
      <c r="G108" s="7" t="n"/>
      <c r="K108" s="7" t="n"/>
    </row>
    <row r="109" ht="15" customHeight="1" s="5">
      <c r="C109" s="7" t="n"/>
      <c r="E109" s="7" t="n"/>
      <c r="F109" s="7" t="n"/>
      <c r="G109" s="7" t="n"/>
      <c r="K109" s="7" t="n"/>
    </row>
    <row r="110" ht="15" customHeight="1" s="5">
      <c r="C110" s="7" t="n"/>
      <c r="E110" s="7" t="n"/>
      <c r="F110" s="7" t="n"/>
      <c r="G110" s="7" t="n"/>
      <c r="K110" s="7" t="n"/>
    </row>
    <row r="111" ht="15" customHeight="1" s="5">
      <c r="C111" s="7" t="n"/>
      <c r="E111" s="7" t="n"/>
      <c r="F111" s="7" t="n"/>
      <c r="G111" s="7" t="n"/>
      <c r="K111" s="7" t="n"/>
    </row>
    <row r="112" ht="15" customHeight="1" s="5">
      <c r="C112" s="7" t="n"/>
      <c r="E112" s="7" t="n"/>
      <c r="F112" s="7" t="n"/>
      <c r="G112" s="7" t="n"/>
      <c r="K112" s="7" t="n"/>
    </row>
    <row r="113" ht="15" customHeight="1" s="5">
      <c r="C113" s="7" t="n"/>
      <c r="E113" s="7" t="n"/>
      <c r="F113" s="7" t="n"/>
      <c r="G113" s="7" t="n"/>
      <c r="K113" s="7" t="n"/>
    </row>
    <row r="114" ht="15" customHeight="1" s="5">
      <c r="C114" s="7" t="n"/>
      <c r="E114" s="7" t="n"/>
      <c r="F114" s="7" t="n"/>
      <c r="G114" s="7" t="n"/>
      <c r="K114" s="7" t="n"/>
    </row>
    <row r="115" ht="15" customHeight="1" s="5">
      <c r="C115" s="7" t="n"/>
      <c r="E115" s="7" t="n"/>
      <c r="F115" s="7" t="n"/>
      <c r="G115" s="7" t="n"/>
      <c r="K115" s="7" t="n"/>
    </row>
    <row r="116" ht="15" customHeight="1" s="5">
      <c r="C116" s="7" t="n"/>
      <c r="E116" s="7" t="n"/>
      <c r="F116" s="7" t="n"/>
      <c r="G116" s="7" t="n"/>
      <c r="K116" s="7" t="n"/>
    </row>
    <row r="117" ht="15" customHeight="1" s="5">
      <c r="C117" s="7" t="n"/>
      <c r="E117" s="7" t="n"/>
      <c r="F117" s="7" t="n"/>
      <c r="G117" s="7" t="n"/>
      <c r="K117" s="7" t="n"/>
    </row>
    <row r="118" ht="15" customHeight="1" s="5">
      <c r="C118" s="7" t="n"/>
      <c r="E118" s="7" t="n"/>
      <c r="F118" s="7" t="n"/>
      <c r="G118" s="7" t="n"/>
      <c r="K118" s="7" t="n"/>
    </row>
    <row r="119" ht="15" customHeight="1" s="5">
      <c r="C119" s="7" t="n"/>
      <c r="E119" s="7" t="n"/>
      <c r="F119" s="7" t="n"/>
      <c r="G119" s="7" t="n"/>
      <c r="K119" s="7" t="n"/>
    </row>
    <row r="120" ht="15" customHeight="1" s="5">
      <c r="C120" s="7" t="n"/>
      <c r="E120" s="7" t="n"/>
      <c r="F120" s="7" t="n"/>
      <c r="G120" s="7" t="n"/>
      <c r="K120" s="7" t="n"/>
    </row>
    <row r="121" ht="15" customHeight="1" s="5">
      <c r="C121" s="7" t="n"/>
      <c r="E121" s="7" t="n"/>
      <c r="F121" s="7" t="n"/>
      <c r="G121" s="7" t="n"/>
      <c r="K121" s="7" t="n"/>
    </row>
    <row r="122" ht="15" customHeight="1" s="5">
      <c r="C122" s="7" t="n"/>
      <c r="E122" s="7" t="n"/>
      <c r="F122" s="7" t="n"/>
      <c r="G122" s="7" t="n"/>
      <c r="K122" s="7" t="n"/>
    </row>
    <row r="123" ht="15" customHeight="1" s="5">
      <c r="C123" s="7" t="n"/>
      <c r="E123" s="7" t="n"/>
      <c r="F123" s="7" t="n"/>
      <c r="G123" s="7" t="n"/>
      <c r="K123" s="7" t="n"/>
    </row>
    <row r="124" ht="15" customHeight="1" s="5">
      <c r="C124" s="7" t="n"/>
      <c r="E124" s="7" t="n"/>
      <c r="F124" s="7" t="n"/>
      <c r="G124" s="7" t="n"/>
      <c r="K124" s="7" t="n"/>
    </row>
    <row r="125" ht="15" customHeight="1" s="5">
      <c r="C125" s="7" t="n"/>
      <c r="E125" s="7" t="n"/>
      <c r="F125" s="7" t="n"/>
      <c r="G125" s="7" t="n"/>
      <c r="K125" s="7" t="n"/>
    </row>
    <row r="126" ht="15" customHeight="1" s="5">
      <c r="C126" s="7" t="n"/>
      <c r="E126" s="7" t="n"/>
      <c r="F126" s="7" t="n"/>
      <c r="G126" s="7" t="n"/>
      <c r="K126" s="7" t="n"/>
    </row>
    <row r="127" ht="15" customHeight="1" s="5">
      <c r="C127" s="7" t="n"/>
      <c r="E127" s="7" t="n"/>
      <c r="F127" s="7" t="n"/>
      <c r="G127" s="7" t="n"/>
      <c r="K127" s="7" t="n"/>
    </row>
    <row r="128" ht="15" customHeight="1" s="5">
      <c r="C128" s="7" t="n"/>
      <c r="E128" s="7" t="n"/>
      <c r="F128" s="7" t="n"/>
      <c r="G128" s="7" t="n"/>
      <c r="K128" s="7" t="n"/>
    </row>
    <row r="129" ht="15" customHeight="1" s="5">
      <c r="C129" s="7" t="n"/>
      <c r="E129" s="7" t="n"/>
      <c r="F129" s="7" t="n"/>
      <c r="G129" s="7" t="n"/>
      <c r="K129" s="7" t="n"/>
    </row>
    <row r="130" ht="15" customHeight="1" s="5">
      <c r="C130" s="7" t="n"/>
      <c r="E130" s="7" t="n"/>
      <c r="F130" s="7" t="n"/>
      <c r="G130" s="7" t="n"/>
      <c r="K130" s="7" t="n"/>
    </row>
    <row r="131" ht="15" customHeight="1" s="5">
      <c r="C131" s="7" t="n"/>
      <c r="E131" s="7" t="n"/>
      <c r="F131" s="7" t="n"/>
      <c r="G131" s="7" t="n"/>
      <c r="K131" s="7" t="n"/>
    </row>
    <row r="132" ht="15" customHeight="1" s="5">
      <c r="C132" s="7" t="n"/>
      <c r="E132" s="7" t="n"/>
      <c r="F132" s="7" t="n"/>
      <c r="G132" s="7" t="n"/>
      <c r="K132" s="7" t="n"/>
    </row>
    <row r="133" ht="15" customHeight="1" s="5">
      <c r="C133" s="7" t="n"/>
      <c r="E133" s="7" t="n"/>
      <c r="F133" s="7" t="n"/>
      <c r="G133" s="7" t="n"/>
      <c r="K133" s="7" t="n"/>
    </row>
    <row r="134" ht="15" customHeight="1" s="5">
      <c r="C134" s="7" t="n"/>
      <c r="E134" s="7" t="n"/>
      <c r="F134" s="7" t="n"/>
      <c r="G134" s="7" t="n"/>
      <c r="K134" s="7" t="n"/>
    </row>
    <row r="135" ht="15" customHeight="1" s="5">
      <c r="C135" s="7" t="n"/>
      <c r="E135" s="7" t="n"/>
      <c r="F135" s="7" t="n"/>
      <c r="G135" s="7" t="n"/>
      <c r="K135" s="7" t="n"/>
    </row>
    <row r="136" ht="15" customHeight="1" s="5">
      <c r="C136" s="7" t="n"/>
      <c r="E136" s="7" t="n"/>
      <c r="F136" s="7" t="n"/>
      <c r="G136" s="7" t="n"/>
      <c r="K136" s="7" t="n"/>
    </row>
    <row r="137" ht="15" customHeight="1" s="5">
      <c r="C137" s="7" t="n"/>
      <c r="E137" s="7" t="n"/>
      <c r="F137" s="7" t="n"/>
      <c r="G137" s="7" t="n"/>
      <c r="K137" s="7" t="n"/>
    </row>
    <row r="138" ht="15" customHeight="1" s="5">
      <c r="C138" s="7" t="n"/>
      <c r="E138" s="7" t="n"/>
      <c r="F138" s="7" t="n"/>
      <c r="G138" s="7" t="n"/>
      <c r="K138" s="7" t="n"/>
    </row>
    <row r="139" ht="15" customHeight="1" s="5">
      <c r="C139" s="7" t="n"/>
      <c r="E139" s="7" t="n"/>
      <c r="F139" s="7" t="n"/>
      <c r="G139" s="7" t="n"/>
      <c r="K139" s="7" t="n"/>
    </row>
    <row r="140" ht="15" customHeight="1" s="5">
      <c r="C140" s="7" t="n"/>
      <c r="E140" s="7" t="n"/>
      <c r="F140" s="7" t="n"/>
      <c r="G140" s="7" t="n"/>
      <c r="K140" s="7" t="n"/>
    </row>
    <row r="141" ht="15" customHeight="1" s="5">
      <c r="C141" s="7" t="n"/>
      <c r="E141" s="7" t="n"/>
      <c r="F141" s="7" t="n"/>
      <c r="G141" s="7" t="n"/>
      <c r="K141" s="7" t="n"/>
    </row>
    <row r="142" ht="15" customHeight="1" s="5">
      <c r="C142" s="7" t="n"/>
      <c r="E142" s="7" t="n"/>
      <c r="F142" s="7" t="n"/>
      <c r="G142" s="7" t="n"/>
      <c r="K142" s="7" t="n"/>
    </row>
    <row r="143" ht="15" customHeight="1" s="5">
      <c r="C143" s="7" t="n"/>
      <c r="E143" s="7" t="n"/>
      <c r="F143" s="7" t="n"/>
      <c r="G143" s="7" t="n"/>
      <c r="K143" s="7" t="n"/>
    </row>
    <row r="144" ht="15" customHeight="1" s="5">
      <c r="C144" s="7" t="n"/>
      <c r="E144" s="7" t="n"/>
      <c r="F144" s="7" t="n"/>
      <c r="G144" s="7" t="n"/>
      <c r="K144" s="7" t="n"/>
    </row>
    <row r="145" ht="15" customHeight="1" s="5">
      <c r="C145" s="7" t="n"/>
      <c r="E145" s="7" t="n"/>
      <c r="F145" s="7" t="n"/>
      <c r="G145" s="7" t="n"/>
      <c r="K145" s="7" t="n"/>
    </row>
    <row r="146" ht="15" customHeight="1" s="5">
      <c r="C146" s="7" t="n"/>
      <c r="E146" s="7" t="n"/>
      <c r="F146" s="7" t="n"/>
      <c r="G146" s="7" t="n"/>
      <c r="K146" s="7" t="n"/>
    </row>
    <row r="147" ht="15" customHeight="1" s="5">
      <c r="C147" s="7" t="n"/>
      <c r="E147" s="7" t="n"/>
      <c r="F147" s="7" t="n"/>
      <c r="G147" s="7" t="n"/>
      <c r="K147" s="7" t="n"/>
    </row>
    <row r="148" ht="15" customHeight="1" s="5">
      <c r="C148" s="7" t="n"/>
      <c r="E148" s="7" t="n"/>
      <c r="F148" s="7" t="n"/>
      <c r="G148" s="7" t="n"/>
      <c r="K148" s="7" t="n"/>
    </row>
    <row r="149" ht="15" customHeight="1" s="5">
      <c r="C149" s="7" t="n"/>
      <c r="E149" s="7" t="n"/>
      <c r="F149" s="7" t="n"/>
      <c r="G149" s="7" t="n"/>
      <c r="K149" s="7" t="n"/>
    </row>
    <row r="150" ht="15" customHeight="1" s="5">
      <c r="C150" s="7" t="n"/>
      <c r="E150" s="7" t="n"/>
      <c r="F150" s="7" t="n"/>
      <c r="G150" s="7" t="n"/>
      <c r="K150" s="7" t="n"/>
    </row>
    <row r="151" ht="15" customHeight="1" s="5">
      <c r="C151" s="7" t="n"/>
      <c r="E151" s="7" t="n"/>
      <c r="F151" s="7" t="n"/>
      <c r="G151" s="7" t="n"/>
      <c r="K151" s="7" t="n"/>
    </row>
    <row r="152" ht="15" customHeight="1" s="5">
      <c r="C152" s="7" t="n"/>
      <c r="E152" s="7" t="n"/>
      <c r="F152" s="7" t="n"/>
      <c r="G152" s="7" t="n"/>
      <c r="K152" s="7" t="n"/>
    </row>
    <row r="153" ht="15" customHeight="1" s="5">
      <c r="C153" s="7" t="n"/>
      <c r="E153" s="7" t="n"/>
      <c r="F153" s="7" t="n"/>
      <c r="G153" s="7" t="n"/>
      <c r="K153" s="7" t="n"/>
    </row>
    <row r="154" ht="15" customHeight="1" s="5">
      <c r="C154" s="7" t="n"/>
      <c r="E154" s="7" t="n"/>
      <c r="F154" s="7" t="n"/>
      <c r="G154" s="7" t="n"/>
      <c r="K154" s="7" t="n"/>
    </row>
    <row r="155" ht="15" customHeight="1" s="5">
      <c r="C155" s="7" t="n"/>
      <c r="E155" s="7" t="n"/>
      <c r="F155" s="7" t="n"/>
      <c r="G155" s="7" t="n"/>
      <c r="K155" s="7" t="n"/>
    </row>
    <row r="156" ht="15" customHeight="1" s="5">
      <c r="C156" s="7" t="n"/>
      <c r="E156" s="7" t="n"/>
      <c r="F156" s="7" t="n"/>
      <c r="G156" s="7" t="n"/>
      <c r="K156" s="7" t="n"/>
    </row>
    <row r="157" ht="15" customHeight="1" s="5">
      <c r="C157" s="7" t="n"/>
      <c r="E157" s="7" t="n"/>
      <c r="F157" s="7" t="n"/>
      <c r="G157" s="7" t="n"/>
      <c r="K157" s="7" t="n"/>
    </row>
    <row r="158" ht="15" customHeight="1" s="5">
      <c r="C158" s="7" t="n"/>
      <c r="E158" s="7" t="n"/>
      <c r="F158" s="7" t="n"/>
      <c r="G158" s="7" t="n"/>
      <c r="K158" s="7" t="n"/>
    </row>
    <row r="159" ht="15" customHeight="1" s="5">
      <c r="C159" s="7" t="n"/>
      <c r="E159" s="7" t="n"/>
      <c r="F159" s="7" t="n"/>
      <c r="G159" s="7" t="n"/>
      <c r="K159" s="7" t="n"/>
    </row>
    <row r="160" ht="15" customHeight="1" s="5">
      <c r="C160" s="7" t="n"/>
      <c r="E160" s="7" t="n"/>
      <c r="F160" s="7" t="n"/>
      <c r="G160" s="7" t="n"/>
      <c r="K160" s="7" t="n"/>
    </row>
    <row r="161" ht="15" customHeight="1" s="5">
      <c r="C161" s="7" t="n"/>
      <c r="E161" s="7" t="n"/>
      <c r="F161" s="7" t="n"/>
      <c r="G161" s="7" t="n"/>
      <c r="K161" s="7" t="n"/>
    </row>
    <row r="162" ht="15" customHeight="1" s="5">
      <c r="C162" s="7" t="n"/>
      <c r="E162" s="7" t="n"/>
      <c r="F162" s="7" t="n"/>
      <c r="G162" s="7" t="n"/>
      <c r="K162" s="7" t="n"/>
    </row>
    <row r="163" ht="15" customHeight="1" s="5">
      <c r="C163" s="7" t="n"/>
      <c r="E163" s="7" t="n"/>
      <c r="F163" s="7" t="n"/>
      <c r="G163" s="7" t="n"/>
      <c r="K163" s="7" t="n"/>
    </row>
    <row r="164" ht="15" customHeight="1" s="5">
      <c r="C164" s="7" t="n"/>
      <c r="E164" s="7" t="n"/>
      <c r="F164" s="7" t="n"/>
      <c r="G164" s="7" t="n"/>
      <c r="K164" s="7" t="n"/>
    </row>
    <row r="165" ht="15" customHeight="1" s="5">
      <c r="C165" s="7" t="n"/>
      <c r="E165" s="7" t="n"/>
      <c r="F165" s="7" t="n"/>
      <c r="G165" s="7" t="n"/>
      <c r="K165" s="7" t="n"/>
    </row>
    <row r="166" ht="15" customHeight="1" s="5">
      <c r="C166" s="7" t="n"/>
      <c r="E166" s="7" t="n"/>
      <c r="F166" s="7" t="n"/>
      <c r="G166" s="7" t="n"/>
      <c r="K166" s="7" t="n"/>
    </row>
    <row r="167" ht="15" customHeight="1" s="5">
      <c r="C167" s="7" t="n"/>
      <c r="E167" s="7" t="n"/>
      <c r="F167" s="7" t="n"/>
      <c r="G167" s="7" t="n"/>
      <c r="K167" s="7" t="n"/>
    </row>
    <row r="168" ht="15" customHeight="1" s="5">
      <c r="C168" s="7" t="n"/>
      <c r="E168" s="7" t="n"/>
      <c r="F168" s="7" t="n"/>
      <c r="G168" s="7" t="n"/>
      <c r="K168" s="7" t="n"/>
    </row>
    <row r="169" ht="15" customHeight="1" s="5">
      <c r="C169" s="7" t="n"/>
      <c r="E169" s="7" t="n"/>
      <c r="F169" s="7" t="n"/>
      <c r="G169" s="7" t="n"/>
      <c r="K169" s="7" t="n"/>
    </row>
    <row r="170" ht="15" customHeight="1" s="5">
      <c r="C170" s="7" t="n"/>
      <c r="E170" s="7" t="n"/>
      <c r="F170" s="7" t="n"/>
      <c r="G170" s="7" t="n"/>
      <c r="K170" s="7" t="n"/>
    </row>
    <row r="171" ht="15" customHeight="1" s="5">
      <c r="C171" s="7" t="n"/>
      <c r="E171" s="7" t="n"/>
      <c r="F171" s="7" t="n"/>
      <c r="G171" s="7" t="n"/>
      <c r="K171" s="7" t="n"/>
    </row>
    <row r="172" ht="15" customHeight="1" s="5">
      <c r="C172" s="7" t="n"/>
      <c r="E172" s="7" t="n"/>
      <c r="F172" s="7" t="n"/>
      <c r="G172" s="7" t="n"/>
      <c r="K172" s="7" t="n"/>
    </row>
    <row r="173" ht="15" customHeight="1" s="5">
      <c r="C173" s="7" t="n"/>
      <c r="E173" s="7" t="n"/>
      <c r="F173" s="7" t="n"/>
      <c r="G173" s="7" t="n"/>
      <c r="K173" s="7" t="n"/>
    </row>
    <row r="174" ht="15" customHeight="1" s="5">
      <c r="C174" s="7" t="n"/>
      <c r="E174" s="7" t="n"/>
      <c r="F174" s="7" t="n"/>
      <c r="G174" s="7" t="n"/>
      <c r="K174" s="7" t="n"/>
    </row>
    <row r="175" ht="15" customHeight="1" s="5">
      <c r="C175" s="7" t="n"/>
      <c r="E175" s="7" t="n"/>
      <c r="F175" s="7" t="n"/>
      <c r="G175" s="7" t="n"/>
      <c r="K175" s="7" t="n"/>
    </row>
    <row r="176" ht="15" customHeight="1" s="5">
      <c r="C176" s="7" t="n"/>
      <c r="E176" s="7" t="n"/>
      <c r="F176" s="7" t="n"/>
      <c r="G176" s="7" t="n"/>
      <c r="K176" s="7" t="n"/>
    </row>
    <row r="177" ht="15" customHeight="1" s="5">
      <c r="C177" s="7" t="n"/>
      <c r="E177" s="7" t="n"/>
      <c r="F177" s="7" t="n"/>
      <c r="G177" s="7" t="n"/>
      <c r="K177" s="7" t="n"/>
    </row>
    <row r="178" ht="15" customHeight="1" s="5">
      <c r="C178" s="7" t="n"/>
      <c r="E178" s="7" t="n"/>
      <c r="F178" s="7" t="n"/>
      <c r="G178" s="7" t="n"/>
      <c r="K178" s="7" t="n"/>
    </row>
    <row r="179" ht="15" customHeight="1" s="5">
      <c r="C179" s="7" t="n"/>
      <c r="E179" s="7" t="n"/>
      <c r="F179" s="7" t="n"/>
      <c r="G179" s="7" t="n"/>
      <c r="K179" s="7" t="n"/>
    </row>
    <row r="180" ht="15" customHeight="1" s="5">
      <c r="C180" s="7" t="n"/>
      <c r="E180" s="7" t="n"/>
      <c r="F180" s="7" t="n"/>
      <c r="G180" s="7" t="n"/>
      <c r="K180" s="7" t="n"/>
    </row>
    <row r="181" ht="15" customHeight="1" s="5">
      <c r="C181" s="7" t="n"/>
      <c r="E181" s="7" t="n"/>
      <c r="F181" s="7" t="n"/>
      <c r="G181" s="7" t="n"/>
      <c r="K181" s="7" t="n"/>
    </row>
    <row r="182" ht="15" customHeight="1" s="5">
      <c r="C182" s="7" t="n"/>
      <c r="E182" s="7" t="n"/>
      <c r="F182" s="7" t="n"/>
      <c r="G182" s="7" t="n"/>
      <c r="K182" s="7" t="n"/>
    </row>
    <row r="183" ht="15" customHeight="1" s="5">
      <c r="C183" s="7" t="n"/>
      <c r="E183" s="7" t="n"/>
      <c r="F183" s="7" t="n"/>
      <c r="G183" s="7" t="n"/>
      <c r="K183" s="7" t="n"/>
    </row>
    <row r="184" ht="15" customHeight="1" s="5">
      <c r="C184" s="7" t="n"/>
      <c r="E184" s="7" t="n"/>
      <c r="F184" s="7" t="n"/>
      <c r="G184" s="7" t="n"/>
      <c r="K184" s="7" t="n"/>
    </row>
    <row r="185" ht="15" customHeight="1" s="5">
      <c r="C185" s="7" t="n"/>
      <c r="E185" s="7" t="n"/>
      <c r="F185" s="7" t="n"/>
      <c r="G185" s="7" t="n"/>
      <c r="K185" s="7" t="n"/>
    </row>
    <row r="186" ht="15" customHeight="1" s="5">
      <c r="C186" s="7" t="n"/>
      <c r="E186" s="7" t="n"/>
      <c r="F186" s="7" t="n"/>
      <c r="G186" s="7" t="n"/>
      <c r="K186" s="7" t="n"/>
    </row>
    <row r="187" ht="15" customHeight="1" s="5">
      <c r="C187" s="7" t="n"/>
      <c r="E187" s="7" t="n"/>
      <c r="F187" s="7" t="n"/>
      <c r="G187" s="7" t="n"/>
      <c r="K187" s="7" t="n"/>
    </row>
    <row r="188" ht="15" customHeight="1" s="5">
      <c r="C188" s="7" t="n"/>
      <c r="E188" s="7" t="n"/>
      <c r="F188" s="7" t="n"/>
      <c r="G188" s="7" t="n"/>
      <c r="K188" s="7" t="n"/>
    </row>
    <row r="189" ht="15" customHeight="1" s="5">
      <c r="C189" s="7" t="n"/>
      <c r="E189" s="7" t="n"/>
      <c r="F189" s="7" t="n"/>
      <c r="G189" s="7" t="n"/>
      <c r="K189" s="7" t="n"/>
    </row>
    <row r="190" ht="15" customHeight="1" s="5">
      <c r="C190" s="7" t="n"/>
      <c r="E190" s="7" t="n"/>
      <c r="F190" s="7" t="n"/>
      <c r="G190" s="7" t="n"/>
      <c r="K190" s="7" t="n"/>
    </row>
    <row r="191" ht="15" customHeight="1" s="5">
      <c r="C191" s="7" t="n"/>
      <c r="E191" s="7" t="n"/>
      <c r="F191" s="7" t="n"/>
      <c r="G191" s="7" t="n"/>
      <c r="K191" s="7" t="n"/>
    </row>
    <row r="192" ht="15" customHeight="1" s="5">
      <c r="C192" s="7" t="n"/>
      <c r="E192" s="7" t="n"/>
      <c r="F192" s="7" t="n"/>
      <c r="G192" s="7" t="n"/>
      <c r="K192" s="7" t="n"/>
    </row>
    <row r="193" ht="15" customHeight="1" s="5">
      <c r="C193" s="7" t="n"/>
      <c r="E193" s="7" t="n"/>
      <c r="F193" s="7" t="n"/>
      <c r="G193" s="7" t="n"/>
      <c r="K193" s="7" t="n"/>
    </row>
    <row r="194" ht="15" customHeight="1" s="5">
      <c r="C194" s="7" t="n"/>
      <c r="E194" s="7" t="n"/>
      <c r="F194" s="7" t="n"/>
      <c r="G194" s="7" t="n"/>
      <c r="K194" s="7" t="n"/>
    </row>
    <row r="195" ht="15" customHeight="1" s="5">
      <c r="C195" s="7" t="n"/>
      <c r="E195" s="7" t="n"/>
      <c r="F195" s="7" t="n"/>
      <c r="G195" s="7" t="n"/>
      <c r="K195" s="7" t="n"/>
    </row>
    <row r="196" ht="15" customHeight="1" s="5">
      <c r="C196" s="7" t="n"/>
      <c r="E196" s="7" t="n"/>
      <c r="F196" s="7" t="n"/>
      <c r="G196" s="7" t="n"/>
      <c r="K196" s="7" t="n"/>
    </row>
    <row r="197" ht="15" customHeight="1" s="5">
      <c r="C197" s="7" t="n"/>
      <c r="E197" s="7" t="n"/>
      <c r="F197" s="7" t="n"/>
      <c r="G197" s="7" t="n"/>
      <c r="K197" s="7" t="n"/>
    </row>
    <row r="198" ht="15" customHeight="1" s="5">
      <c r="C198" s="7" t="n"/>
      <c r="E198" s="7" t="n"/>
      <c r="F198" s="7" t="n"/>
      <c r="G198" s="7" t="n"/>
      <c r="K198" s="7" t="n"/>
    </row>
    <row r="199" ht="15" customHeight="1" s="5">
      <c r="C199" s="7" t="n"/>
      <c r="E199" s="7" t="n"/>
      <c r="F199" s="7" t="n"/>
      <c r="G199" s="7" t="n"/>
      <c r="K199" s="7" t="n"/>
    </row>
    <row r="200" ht="15" customHeight="1" s="5">
      <c r="C200" s="7" t="n"/>
      <c r="E200" s="7" t="n"/>
      <c r="F200" s="7" t="n"/>
      <c r="G200" s="7" t="n"/>
      <c r="K200" s="7" t="n"/>
    </row>
    <row r="201" ht="15" customHeight="1" s="5">
      <c r="C201" s="7" t="n"/>
      <c r="E201" s="7" t="n"/>
      <c r="F201" s="7" t="n"/>
      <c r="G201" s="7" t="n"/>
      <c r="K201" s="7" t="n"/>
    </row>
    <row r="202" ht="15" customHeight="1" s="5">
      <c r="C202" s="7" t="n"/>
      <c r="E202" s="7" t="n"/>
      <c r="F202" s="7" t="n"/>
      <c r="G202" s="7" t="n"/>
      <c r="K202" s="7" t="n"/>
    </row>
    <row r="203" ht="15" customHeight="1" s="5">
      <c r="C203" s="7" t="n"/>
      <c r="E203" s="7" t="n"/>
      <c r="F203" s="7" t="n"/>
      <c r="G203" s="7" t="n"/>
      <c r="K203" s="7" t="n"/>
    </row>
    <row r="204" ht="15" customHeight="1" s="5">
      <c r="C204" s="7" t="n"/>
      <c r="E204" s="7" t="n"/>
      <c r="F204" s="7" t="n"/>
      <c r="G204" s="7" t="n"/>
      <c r="K204" s="7" t="n"/>
    </row>
    <row r="205" ht="15" customHeight="1" s="5">
      <c r="C205" s="7" t="n"/>
      <c r="E205" s="7" t="n"/>
      <c r="F205" s="7" t="n"/>
      <c r="G205" s="7" t="n"/>
      <c r="K205" s="7" t="n"/>
    </row>
    <row r="206" ht="15" customHeight="1" s="5">
      <c r="C206" s="7" t="n"/>
      <c r="E206" s="7" t="n"/>
      <c r="F206" s="7" t="n"/>
      <c r="G206" s="7" t="n"/>
      <c r="K206" s="7" t="n"/>
    </row>
    <row r="207" ht="15" customHeight="1" s="5">
      <c r="C207" s="7" t="n"/>
      <c r="E207" s="7" t="n"/>
      <c r="F207" s="7" t="n"/>
      <c r="G207" s="7" t="n"/>
      <c r="K207" s="7" t="n"/>
    </row>
    <row r="208" ht="15" customHeight="1" s="5">
      <c r="C208" s="7" t="n"/>
      <c r="E208" s="7" t="n"/>
      <c r="F208" s="7" t="n"/>
      <c r="G208" s="7" t="n"/>
      <c r="K208" s="7" t="n"/>
    </row>
    <row r="209" ht="15" customHeight="1" s="5">
      <c r="C209" s="7" t="n"/>
      <c r="E209" s="7" t="n"/>
      <c r="F209" s="7" t="n"/>
      <c r="G209" s="7" t="n"/>
      <c r="K209" s="7" t="n"/>
    </row>
    <row r="210" ht="15" customHeight="1" s="5">
      <c r="C210" s="7" t="n"/>
      <c r="E210" s="7" t="n"/>
      <c r="F210" s="7" t="n"/>
      <c r="G210" s="7" t="n"/>
      <c r="K210" s="7" t="n"/>
    </row>
    <row r="211" ht="15" customHeight="1" s="5">
      <c r="C211" s="7" t="n"/>
      <c r="E211" s="7" t="n"/>
      <c r="F211" s="7" t="n"/>
      <c r="G211" s="7" t="n"/>
      <c r="K211" s="7" t="n"/>
    </row>
    <row r="212" ht="15" customHeight="1" s="5">
      <c r="C212" s="7" t="n"/>
      <c r="E212" s="7" t="n"/>
      <c r="F212" s="7" t="n"/>
      <c r="G212" s="7" t="n"/>
      <c r="K212" s="7" t="n"/>
    </row>
    <row r="213" ht="15" customHeight="1" s="5">
      <c r="C213" s="7" t="n"/>
      <c r="E213" s="7" t="n"/>
      <c r="F213" s="7" t="n"/>
      <c r="G213" s="7" t="n"/>
      <c r="K213" s="7" t="n"/>
    </row>
    <row r="214" ht="15" customHeight="1" s="5">
      <c r="C214" s="7" t="n"/>
      <c r="E214" s="7" t="n"/>
      <c r="F214" s="7" t="n"/>
      <c r="G214" s="7" t="n"/>
      <c r="K214" s="7" t="n"/>
    </row>
    <row r="215" ht="15" customHeight="1" s="5">
      <c r="C215" s="7" t="n"/>
      <c r="E215" s="7" t="n"/>
      <c r="F215" s="7" t="n"/>
      <c r="G215" s="7" t="n"/>
      <c r="K215" s="7" t="n"/>
    </row>
    <row r="216" ht="15" customHeight="1" s="5">
      <c r="C216" s="7" t="n"/>
      <c r="E216" s="7" t="n"/>
      <c r="F216" s="7" t="n"/>
      <c r="G216" s="7" t="n"/>
      <c r="K216" s="7" t="n"/>
    </row>
    <row r="217" ht="15" customHeight="1" s="5">
      <c r="C217" s="7" t="n"/>
      <c r="E217" s="7" t="n"/>
      <c r="F217" s="7" t="n"/>
      <c r="G217" s="7" t="n"/>
      <c r="K217" s="7" t="n"/>
    </row>
    <row r="218" ht="15" customHeight="1" s="5">
      <c r="C218" s="7" t="n"/>
      <c r="E218" s="7" t="n"/>
      <c r="F218" s="7" t="n"/>
      <c r="G218" s="7" t="n"/>
      <c r="K218" s="7" t="n"/>
    </row>
    <row r="219" ht="15" customHeight="1" s="5">
      <c r="C219" s="7" t="n"/>
      <c r="E219" s="7" t="n"/>
      <c r="F219" s="7" t="n"/>
      <c r="G219" s="7" t="n"/>
      <c r="K219" s="7" t="n"/>
    </row>
    <row r="220" ht="15" customHeight="1" s="5">
      <c r="C220" s="7" t="n"/>
      <c r="E220" s="7" t="n"/>
      <c r="F220" s="7" t="n"/>
      <c r="G220" s="7" t="n"/>
      <c r="K220" s="7" t="n"/>
    </row>
    <row r="221" ht="15" customHeight="1" s="5">
      <c r="C221" s="7" t="n"/>
      <c r="E221" s="7" t="n"/>
      <c r="F221" s="7" t="n"/>
      <c r="G221" s="7" t="n"/>
      <c r="K221" s="7" t="n"/>
    </row>
    <row r="222" ht="15" customHeight="1" s="5">
      <c r="C222" s="7" t="n"/>
      <c r="E222" s="7" t="n"/>
      <c r="F222" s="7" t="n"/>
      <c r="G222" s="7" t="n"/>
      <c r="K222" s="7" t="n"/>
    </row>
    <row r="223" ht="15" customHeight="1" s="5">
      <c r="C223" s="7" t="n"/>
      <c r="E223" s="7" t="n"/>
      <c r="F223" s="7" t="n"/>
      <c r="G223" s="7" t="n"/>
      <c r="K223" s="7" t="n"/>
    </row>
    <row r="224" ht="15" customHeight="1" s="5">
      <c r="C224" s="7" t="n"/>
      <c r="E224" s="7" t="n"/>
      <c r="F224" s="7" t="n"/>
      <c r="G224" s="7" t="n"/>
      <c r="K224" s="7" t="n"/>
    </row>
    <row r="225" ht="15" customHeight="1" s="5">
      <c r="C225" s="7" t="n"/>
      <c r="E225" s="7" t="n"/>
      <c r="F225" s="7" t="n"/>
      <c r="G225" s="7" t="n"/>
      <c r="K225" s="7" t="n"/>
    </row>
    <row r="226" ht="15" customHeight="1" s="5">
      <c r="C226" s="7" t="n"/>
      <c r="E226" s="7" t="n"/>
      <c r="F226" s="7" t="n"/>
      <c r="G226" s="7" t="n"/>
      <c r="K226" s="7" t="n"/>
    </row>
    <row r="227" ht="15" customHeight="1" s="5">
      <c r="C227" s="7" t="n"/>
      <c r="E227" s="7" t="n"/>
      <c r="F227" s="7" t="n"/>
      <c r="G227" s="7" t="n"/>
      <c r="K227" s="7" t="n"/>
    </row>
    <row r="228" ht="15" customHeight="1" s="5">
      <c r="C228" s="7" t="n"/>
      <c r="E228" s="7" t="n"/>
      <c r="F228" s="7" t="n"/>
      <c r="G228" s="7" t="n"/>
      <c r="K228" s="7" t="n"/>
    </row>
    <row r="229" ht="15" customHeight="1" s="5">
      <c r="C229" s="7" t="n"/>
      <c r="E229" s="7" t="n"/>
      <c r="F229" s="7" t="n"/>
      <c r="G229" s="7" t="n"/>
      <c r="K229" s="7" t="n"/>
    </row>
    <row r="230" ht="15" customHeight="1" s="5">
      <c r="C230" s="7" t="n"/>
      <c r="E230" s="7" t="n"/>
      <c r="F230" s="7" t="n"/>
      <c r="G230" s="7" t="n"/>
      <c r="K230" s="7" t="n"/>
    </row>
    <row r="231" ht="15" customHeight="1" s="5">
      <c r="C231" s="7" t="n"/>
      <c r="E231" s="7" t="n"/>
      <c r="F231" s="7" t="n"/>
      <c r="G231" s="7" t="n"/>
      <c r="K231" s="7" t="n"/>
    </row>
    <row r="232" ht="15" customHeight="1" s="5">
      <c r="C232" s="7" t="n"/>
      <c r="E232" s="7" t="n"/>
      <c r="F232" s="7" t="n"/>
      <c r="G232" s="7" t="n"/>
      <c r="K232" s="7" t="n"/>
    </row>
    <row r="233" ht="15" customHeight="1" s="5">
      <c r="C233" s="7" t="n"/>
      <c r="E233" s="7" t="n"/>
      <c r="F233" s="7" t="n"/>
      <c r="G233" s="7" t="n"/>
      <c r="K233" s="7" t="n"/>
    </row>
    <row r="234" ht="15" customHeight="1" s="5">
      <c r="C234" s="7" t="n"/>
      <c r="E234" s="7" t="n"/>
      <c r="F234" s="7" t="n"/>
      <c r="G234" s="7" t="n"/>
      <c r="K234" s="7" t="n"/>
    </row>
    <row r="235" ht="15" customHeight="1" s="5">
      <c r="C235" s="7" t="n"/>
      <c r="E235" s="7" t="n"/>
      <c r="F235" s="7" t="n"/>
      <c r="G235" s="7" t="n"/>
      <c r="K235" s="7" t="n"/>
    </row>
    <row r="236" ht="15" customHeight="1" s="5">
      <c r="C236" s="7" t="n"/>
      <c r="E236" s="7" t="n"/>
      <c r="F236" s="7" t="n"/>
      <c r="G236" s="7" t="n"/>
      <c r="K236" s="7" t="n"/>
    </row>
    <row r="237" ht="15" customHeight="1" s="5">
      <c r="C237" s="7" t="n"/>
      <c r="E237" s="7" t="n"/>
      <c r="F237" s="7" t="n"/>
      <c r="G237" s="7" t="n"/>
      <c r="K237" s="7" t="n"/>
    </row>
    <row r="238" ht="15" customHeight="1" s="5">
      <c r="C238" s="7" t="n"/>
      <c r="E238" s="7" t="n"/>
      <c r="F238" s="7" t="n"/>
      <c r="G238" s="7" t="n"/>
      <c r="K238" s="7" t="n"/>
    </row>
    <row r="239" ht="15" customHeight="1" s="5">
      <c r="C239" s="7" t="n"/>
      <c r="E239" s="7" t="n"/>
      <c r="F239" s="7" t="n"/>
      <c r="G239" s="7" t="n"/>
      <c r="K239" s="7" t="n"/>
    </row>
    <row r="240" ht="15" customHeight="1" s="5">
      <c r="C240" s="7" t="n"/>
      <c r="E240" s="7" t="n"/>
      <c r="F240" s="7" t="n"/>
      <c r="G240" s="7" t="n"/>
      <c r="K240" s="7" t="n"/>
    </row>
    <row r="241" ht="15" customHeight="1" s="5">
      <c r="C241" s="7" t="n"/>
      <c r="E241" s="7" t="n"/>
      <c r="F241" s="7" t="n"/>
      <c r="G241" s="7" t="n"/>
      <c r="K241" s="7" t="n"/>
    </row>
    <row r="242" ht="15" customHeight="1" s="5">
      <c r="C242" s="7" t="n"/>
      <c r="E242" s="7" t="n"/>
      <c r="F242" s="7" t="n"/>
      <c r="G242" s="7" t="n"/>
      <c r="K242" s="7" t="n"/>
    </row>
    <row r="243" ht="15" customHeight="1" s="5">
      <c r="C243" s="7" t="n"/>
      <c r="E243" s="7" t="n"/>
      <c r="F243" s="7" t="n"/>
      <c r="G243" s="7" t="n"/>
      <c r="K243" s="7" t="n"/>
    </row>
    <row r="244" ht="15" customHeight="1" s="5">
      <c r="C244" s="7" t="n"/>
      <c r="E244" s="7" t="n"/>
      <c r="F244" s="7" t="n"/>
      <c r="G244" s="7" t="n"/>
      <c r="K244" s="7" t="n"/>
    </row>
    <row r="245" ht="15" customHeight="1" s="5">
      <c r="C245" s="7" t="n"/>
      <c r="E245" s="7" t="n"/>
      <c r="F245" s="7" t="n"/>
      <c r="G245" s="7" t="n"/>
      <c r="K245" s="7" t="n"/>
    </row>
    <row r="246" ht="15" customHeight="1" s="5">
      <c r="C246" s="7" t="n"/>
      <c r="E246" s="7" t="n"/>
      <c r="F246" s="7" t="n"/>
      <c r="G246" s="7" t="n"/>
      <c r="K246" s="7" t="n"/>
    </row>
    <row r="247" ht="15" customHeight="1" s="5">
      <c r="C247" s="7" t="n"/>
      <c r="E247" s="7" t="n"/>
      <c r="F247" s="7" t="n"/>
      <c r="G247" s="7" t="n"/>
      <c r="K247" s="7" t="n"/>
    </row>
    <row r="248" ht="15" customHeight="1" s="5">
      <c r="C248" s="7" t="n"/>
      <c r="E248" s="7" t="n"/>
      <c r="F248" s="7" t="n"/>
      <c r="G248" s="7" t="n"/>
      <c r="K248" s="7" t="n"/>
    </row>
    <row r="249" ht="15" customHeight="1" s="5">
      <c r="C249" s="7" t="n"/>
      <c r="E249" s="7" t="n"/>
      <c r="F249" s="7" t="n"/>
      <c r="G249" s="7" t="n"/>
      <c r="K249" s="7" t="n"/>
    </row>
    <row r="250" ht="15" customHeight="1" s="5">
      <c r="C250" s="7" t="n"/>
      <c r="E250" s="7" t="n"/>
      <c r="F250" s="7" t="n"/>
      <c r="G250" s="7" t="n"/>
      <c r="K250" s="7" t="n"/>
    </row>
    <row r="251" ht="15" customHeight="1" s="5">
      <c r="C251" s="7" t="n"/>
      <c r="E251" s="7" t="n"/>
      <c r="F251" s="7" t="n"/>
      <c r="G251" s="7" t="n"/>
      <c r="K251" s="7" t="n"/>
    </row>
    <row r="252" ht="15" customHeight="1" s="5">
      <c r="C252" s="7" t="n"/>
      <c r="E252" s="7" t="n"/>
      <c r="F252" s="7" t="n"/>
      <c r="G252" s="7" t="n"/>
      <c r="K252" s="7" t="n"/>
    </row>
    <row r="253" ht="15" customHeight="1" s="5">
      <c r="C253" s="7" t="n"/>
      <c r="E253" s="7" t="n"/>
      <c r="F253" s="7" t="n"/>
      <c r="G253" s="7" t="n"/>
      <c r="K253" s="7" t="n"/>
    </row>
    <row r="254" ht="15" customHeight="1" s="5">
      <c r="C254" s="7" t="n"/>
      <c r="E254" s="7" t="n"/>
      <c r="F254" s="7" t="n"/>
      <c r="G254" s="7" t="n"/>
      <c r="K254" s="7" t="n"/>
    </row>
    <row r="255" ht="15" customHeight="1" s="5">
      <c r="C255" s="7" t="n"/>
      <c r="E255" s="7" t="n"/>
      <c r="F255" s="7" t="n"/>
      <c r="G255" s="7" t="n"/>
      <c r="K255" s="7" t="n"/>
    </row>
    <row r="256" ht="15" customHeight="1" s="5">
      <c r="C256" s="7" t="n"/>
      <c r="E256" s="7" t="n"/>
      <c r="F256" s="7" t="n"/>
      <c r="G256" s="7" t="n"/>
      <c r="K256" s="7" t="n"/>
    </row>
    <row r="257" ht="15" customHeight="1" s="5">
      <c r="C257" s="7" t="n"/>
      <c r="E257" s="7" t="n"/>
      <c r="F257" s="7" t="n"/>
      <c r="G257" s="7" t="n"/>
      <c r="K257" s="7" t="n"/>
    </row>
    <row r="258" ht="15" customHeight="1" s="5">
      <c r="C258" s="7" t="n"/>
      <c r="E258" s="7" t="n"/>
      <c r="F258" s="7" t="n"/>
      <c r="G258" s="7" t="n"/>
      <c r="K258" s="7" t="n"/>
    </row>
    <row r="259" ht="15" customHeight="1" s="5">
      <c r="C259" s="7" t="n"/>
      <c r="E259" s="7" t="n"/>
      <c r="F259" s="7" t="n"/>
      <c r="G259" s="7" t="n"/>
      <c r="K259" s="7" t="n"/>
    </row>
    <row r="260" ht="15" customHeight="1" s="5">
      <c r="C260" s="7" t="n"/>
      <c r="E260" s="7" t="n"/>
      <c r="F260" s="7" t="n"/>
      <c r="G260" s="7" t="n"/>
      <c r="K260" s="7" t="n"/>
    </row>
    <row r="261" ht="15" customHeight="1" s="5">
      <c r="C261" s="7" t="n"/>
      <c r="E261" s="7" t="n"/>
      <c r="F261" s="7" t="n"/>
      <c r="G261" s="7" t="n"/>
      <c r="K261" s="7" t="n"/>
    </row>
    <row r="262" ht="15" customHeight="1" s="5">
      <c r="C262" s="7" t="n"/>
      <c r="E262" s="7" t="n"/>
      <c r="F262" s="7" t="n"/>
      <c r="G262" s="7" t="n"/>
      <c r="K262" s="7" t="n"/>
    </row>
    <row r="263" ht="15" customHeight="1" s="5">
      <c r="C263" s="7" t="n"/>
      <c r="E263" s="7" t="n"/>
      <c r="F263" s="7" t="n"/>
      <c r="G263" s="7" t="n"/>
      <c r="K263" s="7" t="n"/>
    </row>
    <row r="264" ht="15" customHeight="1" s="5">
      <c r="C264" s="7" t="n"/>
      <c r="E264" s="7" t="n"/>
      <c r="F264" s="7" t="n"/>
      <c r="G264" s="7" t="n"/>
      <c r="K264" s="7" t="n"/>
    </row>
    <row r="265" ht="15" customHeight="1" s="5">
      <c r="C265" s="7" t="n"/>
      <c r="E265" s="7" t="n"/>
      <c r="F265" s="7" t="n"/>
      <c r="G265" s="7" t="n"/>
      <c r="K265" s="7" t="n"/>
    </row>
    <row r="266" ht="15" customHeight="1" s="5">
      <c r="C266" s="7" t="n"/>
      <c r="E266" s="7" t="n"/>
      <c r="F266" s="7" t="n"/>
      <c r="G266" s="7" t="n"/>
      <c r="K266" s="7" t="n"/>
    </row>
    <row r="267" ht="15" customHeight="1" s="5">
      <c r="C267" s="7" t="n"/>
      <c r="E267" s="7" t="n"/>
      <c r="F267" s="7" t="n"/>
      <c r="G267" s="7" t="n"/>
      <c r="K267" s="7" t="n"/>
    </row>
    <row r="268" ht="15" customHeight="1" s="5">
      <c r="C268" s="7" t="n"/>
      <c r="E268" s="7" t="n"/>
      <c r="F268" s="7" t="n"/>
      <c r="G268" s="7" t="n"/>
      <c r="K268" s="7" t="n"/>
    </row>
    <row r="269" ht="15" customHeight="1" s="5">
      <c r="C269" s="7" t="n"/>
      <c r="E269" s="7" t="n"/>
      <c r="F269" s="7" t="n"/>
      <c r="G269" s="7" t="n"/>
      <c r="K269" s="7" t="n"/>
    </row>
    <row r="270" ht="15" customHeight="1" s="5">
      <c r="C270" s="7" t="n"/>
      <c r="E270" s="7" t="n"/>
      <c r="F270" s="7" t="n"/>
      <c r="G270" s="7" t="n"/>
      <c r="K270" s="7" t="n"/>
    </row>
    <row r="271" ht="15" customHeight="1" s="5">
      <c r="C271" s="7" t="n"/>
      <c r="E271" s="7" t="n"/>
      <c r="F271" s="7" t="n"/>
      <c r="G271" s="7" t="n"/>
      <c r="K271" s="7" t="n"/>
    </row>
    <row r="272" ht="15" customHeight="1" s="5">
      <c r="C272" s="7" t="n"/>
      <c r="E272" s="7" t="n"/>
      <c r="F272" s="7" t="n"/>
      <c r="G272" s="7" t="n"/>
      <c r="K272" s="7" t="n"/>
    </row>
    <row r="273" ht="15" customHeight="1" s="5">
      <c r="C273" s="7" t="n"/>
      <c r="E273" s="7" t="n"/>
      <c r="F273" s="7" t="n"/>
      <c r="G273" s="7" t="n"/>
      <c r="K273" s="7" t="n"/>
    </row>
    <row r="274" ht="15" customHeight="1" s="5">
      <c r="C274" s="7" t="n"/>
      <c r="E274" s="7" t="n"/>
      <c r="F274" s="7" t="n"/>
      <c r="G274" s="7" t="n"/>
      <c r="K274" s="7" t="n"/>
    </row>
    <row r="275" ht="15" customHeight="1" s="5">
      <c r="C275" s="7" t="n"/>
      <c r="E275" s="7" t="n"/>
      <c r="F275" s="7" t="n"/>
      <c r="G275" s="7" t="n"/>
      <c r="K275" s="7" t="n"/>
    </row>
    <row r="276" ht="15" customHeight="1" s="5">
      <c r="C276" s="7" t="n"/>
      <c r="E276" s="7" t="n"/>
      <c r="F276" s="7" t="n"/>
      <c r="G276" s="7" t="n"/>
      <c r="K276" s="7" t="n"/>
    </row>
    <row r="277" ht="15" customHeight="1" s="5">
      <c r="C277" s="7" t="n"/>
      <c r="E277" s="7" t="n"/>
      <c r="F277" s="7" t="n"/>
      <c r="G277" s="7" t="n"/>
      <c r="K277" s="7" t="n"/>
    </row>
    <row r="278" ht="15" customHeight="1" s="5">
      <c r="C278" s="7" t="n"/>
      <c r="E278" s="7" t="n"/>
      <c r="F278" s="7" t="n"/>
      <c r="G278" s="7" t="n"/>
      <c r="K278" s="7" t="n"/>
    </row>
    <row r="279" ht="15" customHeight="1" s="5">
      <c r="C279" s="7" t="n"/>
      <c r="E279" s="7" t="n"/>
      <c r="F279" s="7" t="n"/>
      <c r="G279" s="7" t="n"/>
      <c r="K279" s="7" t="n"/>
    </row>
    <row r="280" ht="15" customHeight="1" s="5">
      <c r="C280" s="7" t="n"/>
      <c r="E280" s="7" t="n"/>
      <c r="F280" s="7" t="n"/>
      <c r="G280" s="7" t="n"/>
      <c r="K280" s="7" t="n"/>
    </row>
    <row r="281" ht="15" customHeight="1" s="5">
      <c r="C281" s="7" t="n"/>
      <c r="E281" s="7" t="n"/>
      <c r="F281" s="7" t="n"/>
      <c r="G281" s="7" t="n"/>
      <c r="K281" s="7" t="n"/>
    </row>
    <row r="282" ht="15" customHeight="1" s="5">
      <c r="C282" s="7" t="n"/>
      <c r="E282" s="7" t="n"/>
      <c r="F282" s="7" t="n"/>
      <c r="G282" s="7" t="n"/>
      <c r="K282" s="7" t="n"/>
    </row>
    <row r="283" ht="15" customHeight="1" s="5">
      <c r="C283" s="7" t="n"/>
      <c r="E283" s="7" t="n"/>
      <c r="F283" s="7" t="n"/>
      <c r="G283" s="7" t="n"/>
      <c r="K283" s="7" t="n"/>
    </row>
    <row r="284" ht="15" customHeight="1" s="5">
      <c r="C284" s="7" t="n"/>
      <c r="E284" s="7" t="n"/>
      <c r="F284" s="7" t="n"/>
      <c r="G284" s="7" t="n"/>
      <c r="K284" s="7" t="n"/>
    </row>
    <row r="285" ht="15" customHeight="1" s="5">
      <c r="C285" s="7" t="n"/>
      <c r="E285" s="7" t="n"/>
      <c r="F285" s="7" t="n"/>
      <c r="G285" s="7" t="n"/>
      <c r="K285" s="7" t="n"/>
    </row>
    <row r="286" ht="15" customHeight="1" s="5">
      <c r="C286" s="7" t="n"/>
      <c r="E286" s="7" t="n"/>
      <c r="F286" s="7" t="n"/>
      <c r="G286" s="7" t="n"/>
      <c r="K286" s="7" t="n"/>
    </row>
    <row r="287" ht="15" customHeight="1" s="5">
      <c r="C287" s="7" t="n"/>
      <c r="E287" s="7" t="n"/>
      <c r="F287" s="7" t="n"/>
      <c r="G287" s="7" t="n"/>
      <c r="K287" s="7" t="n"/>
    </row>
    <row r="288" ht="15" customHeight="1" s="5">
      <c r="C288" s="7" t="n"/>
      <c r="E288" s="7" t="n"/>
      <c r="F288" s="7" t="n"/>
      <c r="G288" s="7" t="n"/>
      <c r="K288" s="7" t="n"/>
    </row>
    <row r="289" ht="15" customHeight="1" s="5">
      <c r="C289" s="7" t="n"/>
      <c r="E289" s="7" t="n"/>
      <c r="F289" s="7" t="n"/>
      <c r="G289" s="7" t="n"/>
      <c r="K289" s="7" t="n"/>
    </row>
    <row r="290" ht="15" customHeight="1" s="5">
      <c r="C290" s="7" t="n"/>
      <c r="E290" s="7" t="n"/>
      <c r="F290" s="7" t="n"/>
      <c r="G290" s="7" t="n"/>
      <c r="K290" s="7" t="n"/>
    </row>
    <row r="291" ht="15" customHeight="1" s="5">
      <c r="C291" s="7" t="n"/>
      <c r="E291" s="7" t="n"/>
      <c r="F291" s="7" t="n"/>
      <c r="G291" s="7" t="n"/>
      <c r="K291" s="7" t="n"/>
    </row>
    <row r="292" ht="15" customHeight="1" s="5">
      <c r="C292" s="7" t="n"/>
      <c r="E292" s="7" t="n"/>
      <c r="F292" s="7" t="n"/>
      <c r="G292" s="7" t="n"/>
      <c r="K292" s="7" t="n"/>
    </row>
    <row r="293" ht="15" customHeight="1" s="5">
      <c r="C293" s="7" t="n"/>
      <c r="E293" s="7" t="n"/>
      <c r="F293" s="7" t="n"/>
      <c r="G293" s="7" t="n"/>
      <c r="K293" s="7" t="n"/>
    </row>
    <row r="294" ht="15" customHeight="1" s="5">
      <c r="C294" s="7" t="n"/>
      <c r="E294" s="7" t="n"/>
      <c r="F294" s="7" t="n"/>
      <c r="G294" s="7" t="n"/>
      <c r="K294" s="7" t="n"/>
    </row>
    <row r="295" ht="15" customHeight="1" s="5">
      <c r="C295" s="7" t="n"/>
      <c r="E295" s="7" t="n"/>
      <c r="F295" s="7" t="n"/>
      <c r="G295" s="7" t="n"/>
      <c r="K295" s="7" t="n"/>
    </row>
    <row r="296" ht="15" customHeight="1" s="5">
      <c r="C296" s="7" t="n"/>
      <c r="E296" s="7" t="n"/>
      <c r="F296" s="7" t="n"/>
      <c r="G296" s="7" t="n"/>
      <c r="K296" s="7" t="n"/>
    </row>
    <row r="297" ht="15" customHeight="1" s="5">
      <c r="C297" s="7" t="n"/>
      <c r="E297" s="7" t="n"/>
      <c r="F297" s="7" t="n"/>
      <c r="G297" s="7" t="n"/>
      <c r="K297" s="7" t="n"/>
    </row>
    <row r="298" ht="15" customHeight="1" s="5">
      <c r="C298" s="7" t="n"/>
      <c r="E298" s="7" t="n"/>
      <c r="F298" s="7" t="n"/>
      <c r="G298" s="7" t="n"/>
      <c r="K298" s="7" t="n"/>
    </row>
    <row r="299" ht="15" customHeight="1" s="5">
      <c r="C299" s="7" t="n"/>
      <c r="E299" s="7" t="n"/>
      <c r="F299" s="7" t="n"/>
      <c r="G299" s="7" t="n"/>
      <c r="K299" s="7" t="n"/>
    </row>
    <row r="300" ht="15" customHeight="1" s="5">
      <c r="C300" s="7" t="n"/>
      <c r="E300" s="7" t="n"/>
      <c r="F300" s="7" t="n"/>
      <c r="G300" s="7" t="n"/>
      <c r="K300" s="7" t="n"/>
    </row>
    <row r="301" ht="15" customHeight="1" s="5">
      <c r="C301" s="7" t="n"/>
      <c r="E301" s="7" t="n"/>
      <c r="F301" s="7" t="n"/>
      <c r="G301" s="7" t="n"/>
      <c r="K301" s="7" t="n"/>
    </row>
    <row r="302" ht="15" customHeight="1" s="5">
      <c r="C302" s="7" t="n"/>
      <c r="E302" s="7" t="n"/>
      <c r="F302" s="7" t="n"/>
      <c r="G302" s="7" t="n"/>
      <c r="K302" s="7" t="n"/>
    </row>
    <row r="303" ht="15" customHeight="1" s="5">
      <c r="C303" s="7" t="n"/>
      <c r="E303" s="7" t="n"/>
      <c r="F303" s="7" t="n"/>
      <c r="G303" s="7" t="n"/>
      <c r="K303" s="7" t="n"/>
    </row>
    <row r="304" ht="15" customHeight="1" s="5">
      <c r="C304" s="7" t="n"/>
      <c r="E304" s="7" t="n"/>
      <c r="F304" s="7" t="n"/>
      <c r="G304" s="7" t="n"/>
      <c r="K304" s="7" t="n"/>
    </row>
    <row r="305" ht="15" customHeight="1" s="5">
      <c r="C305" s="7" t="n"/>
      <c r="E305" s="7" t="n"/>
      <c r="F305" s="7" t="n"/>
      <c r="G305" s="7" t="n"/>
      <c r="K305" s="7" t="n"/>
    </row>
    <row r="306" ht="15" customHeight="1" s="5">
      <c r="C306" s="7" t="n"/>
      <c r="E306" s="7" t="n"/>
      <c r="F306" s="7" t="n"/>
      <c r="G306" s="7" t="n"/>
      <c r="K306" s="7" t="n"/>
    </row>
    <row r="307" ht="15" customHeight="1" s="5">
      <c r="C307" s="7" t="n"/>
      <c r="E307" s="7" t="n"/>
      <c r="F307" s="7" t="n"/>
      <c r="G307" s="7" t="n"/>
      <c r="K307" s="7" t="n"/>
    </row>
    <row r="308" ht="15" customHeight="1" s="5">
      <c r="C308" s="7" t="n"/>
      <c r="E308" s="7" t="n"/>
      <c r="F308" s="7" t="n"/>
      <c r="G308" s="7" t="n"/>
      <c r="K308" s="7" t="n"/>
    </row>
    <row r="309" ht="15" customHeight="1" s="5">
      <c r="C309" s="7" t="n"/>
      <c r="E309" s="7" t="n"/>
      <c r="F309" s="7" t="n"/>
      <c r="G309" s="7" t="n"/>
      <c r="K309" s="7" t="n"/>
    </row>
    <row r="310" ht="15" customHeight="1" s="5">
      <c r="C310" s="7" t="n"/>
      <c r="E310" s="7" t="n"/>
      <c r="F310" s="7" t="n"/>
      <c r="G310" s="7" t="n"/>
      <c r="K310" s="7" t="n"/>
    </row>
    <row r="311" ht="15" customHeight="1" s="5">
      <c r="C311" s="7" t="n"/>
      <c r="E311" s="7" t="n"/>
      <c r="F311" s="7" t="n"/>
      <c r="G311" s="7" t="n"/>
      <c r="K311" s="7" t="n"/>
    </row>
    <row r="312" ht="15" customHeight="1" s="5">
      <c r="C312" s="7" t="n"/>
      <c r="E312" s="7" t="n"/>
      <c r="F312" s="7" t="n"/>
      <c r="G312" s="7" t="n"/>
      <c r="K312" s="7" t="n"/>
    </row>
    <row r="313" ht="15" customHeight="1" s="5">
      <c r="C313" s="7" t="n"/>
      <c r="E313" s="7" t="n"/>
      <c r="F313" s="7" t="n"/>
      <c r="G313" s="7" t="n"/>
      <c r="K313" s="7" t="n"/>
    </row>
    <row r="314" ht="15" customHeight="1" s="5">
      <c r="C314" s="7" t="n"/>
      <c r="E314" s="7" t="n"/>
      <c r="F314" s="7" t="n"/>
      <c r="G314" s="7" t="n"/>
      <c r="K314" s="7" t="n"/>
    </row>
    <row r="315" ht="15" customHeight="1" s="5">
      <c r="C315" s="7" t="n"/>
      <c r="E315" s="7" t="n"/>
      <c r="F315" s="7" t="n"/>
      <c r="G315" s="7" t="n"/>
      <c r="K315" s="7" t="n"/>
    </row>
    <row r="316" ht="15" customHeight="1" s="5">
      <c r="C316" s="7" t="n"/>
      <c r="E316" s="7" t="n"/>
      <c r="F316" s="7" t="n"/>
      <c r="G316" s="7" t="n"/>
      <c r="K316" s="7" t="n"/>
    </row>
    <row r="317" ht="15" customHeight="1" s="5">
      <c r="C317" s="7" t="n"/>
      <c r="E317" s="7" t="n"/>
      <c r="F317" s="7" t="n"/>
      <c r="G317" s="7" t="n"/>
      <c r="K317" s="7" t="n"/>
    </row>
    <row r="318" ht="15" customHeight="1" s="5">
      <c r="C318" s="7" t="n"/>
      <c r="E318" s="7" t="n"/>
      <c r="F318" s="7" t="n"/>
      <c r="G318" s="7" t="n"/>
      <c r="K318" s="7" t="n"/>
    </row>
    <row r="319" ht="15" customHeight="1" s="5">
      <c r="C319" s="7" t="n"/>
      <c r="E319" s="7" t="n"/>
      <c r="F319" s="7" t="n"/>
      <c r="G319" s="7" t="n"/>
      <c r="K319" s="7" t="n"/>
    </row>
    <row r="320" ht="15" customHeight="1" s="5">
      <c r="C320" s="7" t="n"/>
      <c r="E320" s="7" t="n"/>
      <c r="F320" s="7" t="n"/>
      <c r="G320" s="7" t="n"/>
      <c r="K320" s="7" t="n"/>
    </row>
    <row r="321" ht="15" customHeight="1" s="5">
      <c r="C321" s="7" t="n"/>
      <c r="E321" s="7" t="n"/>
      <c r="F321" s="7" t="n"/>
      <c r="G321" s="7" t="n"/>
      <c r="K321" s="7" t="n"/>
    </row>
    <row r="322" ht="15" customHeight="1" s="5">
      <c r="C322" s="7" t="n"/>
      <c r="E322" s="7" t="n"/>
      <c r="F322" s="7" t="n"/>
      <c r="G322" s="7" t="n"/>
      <c r="K322" s="7" t="n"/>
    </row>
    <row r="323" ht="15" customHeight="1" s="5">
      <c r="C323" s="7" t="n"/>
      <c r="E323" s="7" t="n"/>
      <c r="F323" s="7" t="n"/>
      <c r="G323" s="7" t="n"/>
      <c r="K323" s="7" t="n"/>
    </row>
    <row r="324" ht="15" customHeight="1" s="5">
      <c r="C324" s="7" t="n"/>
      <c r="E324" s="7" t="n"/>
      <c r="F324" s="7" t="n"/>
      <c r="G324" s="7" t="n"/>
      <c r="K324" s="7" t="n"/>
    </row>
    <row r="325" ht="15" customHeight="1" s="5">
      <c r="C325" s="7" t="n"/>
      <c r="E325" s="7" t="n"/>
      <c r="F325" s="7" t="n"/>
      <c r="G325" s="7" t="n"/>
      <c r="K325" s="7" t="n"/>
    </row>
    <row r="326" ht="15" customHeight="1" s="5">
      <c r="C326" s="7" t="n"/>
      <c r="E326" s="7" t="n"/>
      <c r="F326" s="7" t="n"/>
      <c r="G326" s="7" t="n"/>
      <c r="K326" s="7" t="n"/>
    </row>
    <row r="327" ht="15" customHeight="1" s="5">
      <c r="C327" s="7" t="n"/>
      <c r="E327" s="7" t="n"/>
      <c r="F327" s="7" t="n"/>
      <c r="G327" s="7" t="n"/>
      <c r="K327" s="7" t="n"/>
    </row>
    <row r="328" ht="15" customHeight="1" s="5">
      <c r="C328" s="7" t="n"/>
      <c r="E328" s="7" t="n"/>
      <c r="F328" s="7" t="n"/>
      <c r="G328" s="7" t="n"/>
      <c r="K328" s="7" t="n"/>
    </row>
    <row r="329" ht="15" customHeight="1" s="5">
      <c r="C329" s="7" t="n"/>
      <c r="E329" s="7" t="n"/>
      <c r="F329" s="7" t="n"/>
      <c r="G329" s="7" t="n"/>
      <c r="K329" s="7" t="n"/>
    </row>
    <row r="330" ht="15" customHeight="1" s="5">
      <c r="C330" s="7" t="n"/>
      <c r="E330" s="7" t="n"/>
      <c r="F330" s="7" t="n"/>
      <c r="G330" s="7" t="n"/>
      <c r="K330" s="7" t="n"/>
    </row>
    <row r="331" ht="15" customHeight="1" s="5">
      <c r="C331" s="7" t="n"/>
      <c r="E331" s="7" t="n"/>
      <c r="F331" s="7" t="n"/>
      <c r="G331" s="7" t="n"/>
      <c r="K331" s="7" t="n"/>
    </row>
    <row r="332" ht="15" customHeight="1" s="5">
      <c r="C332" s="7" t="n"/>
      <c r="E332" s="7" t="n"/>
      <c r="F332" s="7" t="n"/>
      <c r="G332" s="7" t="n"/>
      <c r="K332" s="7" t="n"/>
    </row>
    <row r="333" ht="15" customHeight="1" s="5">
      <c r="C333" s="7" t="n"/>
      <c r="E333" s="7" t="n"/>
      <c r="F333" s="7" t="n"/>
      <c r="G333" s="7" t="n"/>
      <c r="K333" s="7" t="n"/>
    </row>
    <row r="334" ht="15" customHeight="1" s="5">
      <c r="C334" s="7" t="n"/>
      <c r="E334" s="7" t="n"/>
      <c r="F334" s="7" t="n"/>
      <c r="G334" s="7" t="n"/>
      <c r="K334" s="7" t="n"/>
    </row>
    <row r="335" ht="15" customHeight="1" s="5">
      <c r="C335" s="7" t="n"/>
      <c r="E335" s="7" t="n"/>
      <c r="F335" s="7" t="n"/>
      <c r="G335" s="7" t="n"/>
      <c r="K335" s="7" t="n"/>
    </row>
    <row r="336" ht="15" customHeight="1" s="5">
      <c r="C336" s="7" t="n"/>
      <c r="E336" s="7" t="n"/>
      <c r="F336" s="7" t="n"/>
      <c r="G336" s="7" t="n"/>
      <c r="K336" s="7" t="n"/>
    </row>
    <row r="337" ht="15" customHeight="1" s="5">
      <c r="C337" s="7" t="n"/>
      <c r="E337" s="7" t="n"/>
      <c r="F337" s="7" t="n"/>
      <c r="G337" s="7" t="n"/>
      <c r="K337" s="7" t="n"/>
    </row>
    <row r="338" ht="15" customHeight="1" s="5">
      <c r="C338" s="7" t="n"/>
      <c r="E338" s="7" t="n"/>
      <c r="F338" s="7" t="n"/>
      <c r="G338" s="7" t="n"/>
      <c r="K338" s="7" t="n"/>
    </row>
    <row r="339" ht="15" customHeight="1" s="5">
      <c r="C339" s="7" t="n"/>
      <c r="E339" s="7" t="n"/>
      <c r="F339" s="7" t="n"/>
      <c r="G339" s="7" t="n"/>
      <c r="K339" s="7" t="n"/>
    </row>
    <row r="340" ht="15" customHeight="1" s="5">
      <c r="C340" s="7" t="n"/>
      <c r="E340" s="7" t="n"/>
      <c r="F340" s="7" t="n"/>
      <c r="G340" s="7" t="n"/>
      <c r="K340" s="7" t="n"/>
    </row>
    <row r="341" ht="15" customHeight="1" s="5">
      <c r="C341" s="7" t="n"/>
      <c r="E341" s="7" t="n"/>
      <c r="F341" s="7" t="n"/>
      <c r="G341" s="7" t="n"/>
      <c r="K341" s="7" t="n"/>
    </row>
    <row r="342" ht="15" customHeight="1" s="5">
      <c r="C342" s="7" t="n"/>
      <c r="E342" s="7" t="n"/>
      <c r="F342" s="7" t="n"/>
      <c r="G342" s="7" t="n"/>
      <c r="K342" s="7" t="n"/>
    </row>
    <row r="343" ht="15" customHeight="1" s="5">
      <c r="C343" s="7" t="n"/>
      <c r="E343" s="7" t="n"/>
      <c r="F343" s="7" t="n"/>
      <c r="G343" s="7" t="n"/>
      <c r="K343" s="7" t="n"/>
    </row>
    <row r="344" ht="15" customHeight="1" s="5">
      <c r="C344" s="7" t="n"/>
      <c r="E344" s="7" t="n"/>
      <c r="F344" s="7" t="n"/>
      <c r="G344" s="7" t="n"/>
      <c r="K344" s="7" t="n"/>
    </row>
    <row r="345" ht="15" customHeight="1" s="5">
      <c r="C345" s="7" t="n"/>
      <c r="E345" s="7" t="n"/>
      <c r="F345" s="7" t="n"/>
      <c r="G345" s="7" t="n"/>
      <c r="K345" s="7" t="n"/>
    </row>
    <row r="346" ht="15" customHeight="1" s="5">
      <c r="C346" s="7" t="n"/>
      <c r="E346" s="7" t="n"/>
      <c r="F346" s="7" t="n"/>
      <c r="G346" s="7" t="n"/>
      <c r="K346" s="7" t="n"/>
    </row>
    <row r="347" ht="15" customHeight="1" s="5">
      <c r="C347" s="7" t="n"/>
      <c r="E347" s="7" t="n"/>
      <c r="F347" s="7" t="n"/>
      <c r="G347" s="7" t="n"/>
      <c r="K347" s="7" t="n"/>
    </row>
    <row r="348" ht="15" customHeight="1" s="5">
      <c r="C348" s="7" t="n"/>
      <c r="E348" s="7" t="n"/>
      <c r="F348" s="7" t="n"/>
      <c r="G348" s="7" t="n"/>
      <c r="K348" s="7" t="n"/>
    </row>
    <row r="349" ht="15" customHeight="1" s="5">
      <c r="C349" s="7" t="n"/>
      <c r="E349" s="7" t="n"/>
      <c r="F349" s="7" t="n"/>
      <c r="G349" s="7" t="n"/>
      <c r="K349" s="7" t="n"/>
    </row>
    <row r="350" ht="15" customHeight="1" s="5">
      <c r="C350" s="7" t="n"/>
      <c r="E350" s="7" t="n"/>
      <c r="F350" s="7" t="n"/>
      <c r="G350" s="7" t="n"/>
      <c r="K350" s="7" t="n"/>
    </row>
    <row r="351" ht="15" customHeight="1" s="5">
      <c r="C351" s="7" t="n"/>
      <c r="E351" s="7" t="n"/>
      <c r="F351" s="7" t="n"/>
      <c r="G351" s="7" t="n"/>
      <c r="K351" s="7" t="n"/>
    </row>
    <row r="352" ht="15" customHeight="1" s="5">
      <c r="C352" s="7" t="n"/>
      <c r="E352" s="7" t="n"/>
      <c r="F352" s="7" t="n"/>
      <c r="G352" s="7" t="n"/>
      <c r="K352" s="7" t="n"/>
    </row>
    <row r="353" ht="15" customHeight="1" s="5">
      <c r="C353" s="7" t="n"/>
      <c r="E353" s="7" t="n"/>
      <c r="F353" s="7" t="n"/>
      <c r="G353" s="7" t="n"/>
      <c r="K353" s="7" t="n"/>
    </row>
    <row r="354" ht="15" customHeight="1" s="5">
      <c r="C354" s="7" t="n"/>
      <c r="E354" s="7" t="n"/>
      <c r="F354" s="7" t="n"/>
      <c r="G354" s="7" t="n"/>
      <c r="K354" s="7" t="n"/>
    </row>
    <row r="355" ht="15" customHeight="1" s="5">
      <c r="C355" s="7" t="n"/>
      <c r="E355" s="7" t="n"/>
      <c r="F355" s="7" t="n"/>
      <c r="G355" s="7" t="n"/>
      <c r="K355" s="7" t="n"/>
    </row>
    <row r="356" ht="15" customHeight="1" s="5">
      <c r="C356" s="7" t="n"/>
      <c r="E356" s="7" t="n"/>
      <c r="F356" s="7" t="n"/>
      <c r="G356" s="7" t="n"/>
      <c r="K356" s="7" t="n"/>
    </row>
    <row r="357" ht="15" customHeight="1" s="5">
      <c r="C357" s="7" t="n"/>
      <c r="E357" s="7" t="n"/>
      <c r="F357" s="7" t="n"/>
      <c r="G357" s="7" t="n"/>
      <c r="K357" s="7" t="n"/>
    </row>
    <row r="358" ht="15" customHeight="1" s="5">
      <c r="C358" s="7" t="n"/>
      <c r="E358" s="7" t="n"/>
      <c r="F358" s="7" t="n"/>
      <c r="G358" s="7" t="n"/>
      <c r="K358" s="7" t="n"/>
    </row>
    <row r="359" ht="15" customHeight="1" s="5">
      <c r="C359" s="7" t="n"/>
      <c r="E359" s="7" t="n"/>
      <c r="F359" s="7" t="n"/>
      <c r="G359" s="7" t="n"/>
      <c r="K359" s="7" t="n"/>
    </row>
    <row r="360" ht="15" customHeight="1" s="5">
      <c r="C360" s="7" t="n"/>
      <c r="E360" s="7" t="n"/>
      <c r="F360" s="7" t="n"/>
      <c r="G360" s="7" t="n"/>
      <c r="K360" s="7" t="n"/>
    </row>
    <row r="361" ht="15" customHeight="1" s="5">
      <c r="C361" s="7" t="n"/>
      <c r="E361" s="7" t="n"/>
      <c r="F361" s="7" t="n"/>
      <c r="G361" s="7" t="n"/>
      <c r="K361" s="7" t="n"/>
    </row>
    <row r="362" ht="15" customHeight="1" s="5">
      <c r="C362" s="7" t="n"/>
      <c r="E362" s="7" t="n"/>
      <c r="F362" s="7" t="n"/>
      <c r="G362" s="7" t="n"/>
      <c r="K362" s="7" t="n"/>
    </row>
    <row r="363" ht="15" customHeight="1" s="5">
      <c r="C363" s="7" t="n"/>
      <c r="E363" s="7" t="n"/>
      <c r="F363" s="7" t="n"/>
      <c r="G363" s="7" t="n"/>
      <c r="K363" s="7" t="n"/>
    </row>
    <row r="364" ht="15" customHeight="1" s="5">
      <c r="C364" s="7" t="n"/>
      <c r="E364" s="7" t="n"/>
      <c r="F364" s="7" t="n"/>
      <c r="G364" s="7" t="n"/>
      <c r="K364" s="7" t="n"/>
    </row>
    <row r="365" ht="15" customHeight="1" s="5">
      <c r="C365" s="7" t="n"/>
      <c r="E365" s="7" t="n"/>
      <c r="F365" s="7" t="n"/>
      <c r="G365" s="7" t="n"/>
      <c r="K365" s="7" t="n"/>
    </row>
    <row r="366" ht="15" customHeight="1" s="5">
      <c r="C366" s="7" t="n"/>
      <c r="E366" s="7" t="n"/>
      <c r="F366" s="7" t="n"/>
      <c r="G366" s="7" t="n"/>
      <c r="K366" s="7" t="n"/>
    </row>
    <row r="367" ht="15" customHeight="1" s="5">
      <c r="C367" s="7" t="n"/>
      <c r="E367" s="7" t="n"/>
      <c r="F367" s="7" t="n"/>
      <c r="G367" s="7" t="n"/>
      <c r="K367" s="7" t="n"/>
    </row>
    <row r="368" ht="15" customHeight="1" s="5">
      <c r="C368" s="7" t="n"/>
      <c r="E368" s="7" t="n"/>
      <c r="F368" s="7" t="n"/>
      <c r="G368" s="7" t="n"/>
      <c r="K368" s="7" t="n"/>
    </row>
    <row r="369" ht="15" customHeight="1" s="5">
      <c r="C369" s="7" t="n"/>
      <c r="E369" s="7" t="n"/>
      <c r="F369" s="7" t="n"/>
      <c r="G369" s="7" t="n"/>
      <c r="K369" s="7" t="n"/>
    </row>
    <row r="370" ht="15" customHeight="1" s="5">
      <c r="C370" s="7" t="n"/>
      <c r="E370" s="7" t="n"/>
      <c r="F370" s="7" t="n"/>
      <c r="G370" s="7" t="n"/>
      <c r="K370" s="7" t="n"/>
    </row>
    <row r="371" ht="15" customHeight="1" s="5">
      <c r="C371" s="7" t="n"/>
      <c r="E371" s="7" t="n"/>
      <c r="F371" s="7" t="n"/>
      <c r="G371" s="7" t="n"/>
      <c r="K371" s="7" t="n"/>
    </row>
    <row r="372" ht="15" customHeight="1" s="5">
      <c r="C372" s="7" t="n"/>
      <c r="E372" s="7" t="n"/>
      <c r="F372" s="7" t="n"/>
      <c r="G372" s="7" t="n"/>
      <c r="K372" s="7" t="n"/>
    </row>
    <row r="373" ht="15" customHeight="1" s="5">
      <c r="C373" s="7" t="n"/>
      <c r="E373" s="7" t="n"/>
      <c r="F373" s="7" t="n"/>
      <c r="G373" s="7" t="n"/>
      <c r="K373" s="7" t="n"/>
    </row>
    <row r="374" ht="15" customHeight="1" s="5">
      <c r="C374" s="7" t="n"/>
      <c r="E374" s="7" t="n"/>
      <c r="F374" s="7" t="n"/>
      <c r="G374" s="7" t="n"/>
      <c r="K374" s="7" t="n"/>
    </row>
    <row r="375" ht="15" customHeight="1" s="5">
      <c r="C375" s="7" t="n"/>
      <c r="E375" s="7" t="n"/>
      <c r="F375" s="7" t="n"/>
      <c r="G375" s="7" t="n"/>
      <c r="K375" s="7" t="n"/>
    </row>
    <row r="376" ht="15" customHeight="1" s="5">
      <c r="C376" s="7" t="n"/>
      <c r="E376" s="7" t="n"/>
      <c r="F376" s="7" t="n"/>
      <c r="G376" s="7" t="n"/>
      <c r="K376" s="7" t="n"/>
    </row>
    <row r="377" ht="15" customHeight="1" s="5">
      <c r="C377" s="7" t="n"/>
      <c r="E377" s="7" t="n"/>
      <c r="F377" s="7" t="n"/>
      <c r="G377" s="7" t="n"/>
      <c r="K377" s="7" t="n"/>
    </row>
    <row r="378" ht="15" customHeight="1" s="5">
      <c r="C378" s="7" t="n"/>
      <c r="E378" s="7" t="n"/>
      <c r="F378" s="7" t="n"/>
      <c r="G378" s="7" t="n"/>
      <c r="K378" s="7" t="n"/>
    </row>
    <row r="379" ht="15" customHeight="1" s="5">
      <c r="C379" s="7" t="n"/>
      <c r="E379" s="7" t="n"/>
      <c r="F379" s="7" t="n"/>
      <c r="G379" s="7" t="n"/>
      <c r="K379" s="7" t="n"/>
    </row>
    <row r="380" ht="15" customHeight="1" s="5">
      <c r="C380" s="7" t="n"/>
      <c r="E380" s="7" t="n"/>
      <c r="F380" s="7" t="n"/>
      <c r="G380" s="7" t="n"/>
      <c r="K380" s="7" t="n"/>
    </row>
    <row r="381" ht="15" customHeight="1" s="5">
      <c r="C381" s="7" t="n"/>
      <c r="E381" s="7" t="n"/>
      <c r="F381" s="7" t="n"/>
      <c r="G381" s="7" t="n"/>
      <c r="K381" s="7" t="n"/>
    </row>
    <row r="382" ht="15" customHeight="1" s="5">
      <c r="C382" s="7" t="n"/>
      <c r="E382" s="7" t="n"/>
      <c r="F382" s="7" t="n"/>
      <c r="G382" s="7" t="n"/>
      <c r="K382" s="7" t="n"/>
    </row>
    <row r="383" ht="15" customHeight="1" s="5">
      <c r="C383" s="7" t="n"/>
      <c r="E383" s="7" t="n"/>
      <c r="F383" s="7" t="n"/>
      <c r="G383" s="7" t="n"/>
      <c r="K383" s="7" t="n"/>
    </row>
    <row r="384" ht="15" customHeight="1" s="5">
      <c r="C384" s="7" t="n"/>
      <c r="E384" s="7" t="n"/>
      <c r="F384" s="7" t="n"/>
      <c r="G384" s="7" t="n"/>
      <c r="K384" s="7" t="n"/>
    </row>
    <row r="385" ht="15" customHeight="1" s="5">
      <c r="C385" s="7" t="n"/>
      <c r="E385" s="7" t="n"/>
      <c r="F385" s="7" t="n"/>
      <c r="G385" s="7" t="n"/>
      <c r="K385" s="7" t="n"/>
    </row>
    <row r="386" ht="15" customHeight="1" s="5">
      <c r="C386" s="7" t="n"/>
      <c r="E386" s="7" t="n"/>
      <c r="F386" s="7" t="n"/>
      <c r="G386" s="7" t="n"/>
      <c r="K386" s="7" t="n"/>
    </row>
    <row r="387" ht="15" customHeight="1" s="5">
      <c r="C387" s="7" t="n"/>
      <c r="E387" s="7" t="n"/>
      <c r="F387" s="7" t="n"/>
      <c r="G387" s="7" t="n"/>
      <c r="K387" s="7" t="n"/>
    </row>
    <row r="388" ht="15" customHeight="1" s="5">
      <c r="C388" s="7" t="n"/>
      <c r="E388" s="7" t="n"/>
      <c r="F388" s="7" t="n"/>
      <c r="G388" s="7" t="n"/>
      <c r="K388" s="7" t="n"/>
    </row>
    <row r="389" ht="15" customHeight="1" s="5">
      <c r="C389" s="7" t="n"/>
      <c r="E389" s="7" t="n"/>
      <c r="F389" s="7" t="n"/>
      <c r="G389" s="7" t="n"/>
      <c r="K389" s="7" t="n"/>
    </row>
    <row r="390" ht="15" customHeight="1" s="5">
      <c r="C390" s="7" t="n"/>
      <c r="E390" s="7" t="n"/>
      <c r="F390" s="7" t="n"/>
      <c r="G390" s="7" t="n"/>
      <c r="K390" s="7" t="n"/>
    </row>
    <row r="391" ht="15" customHeight="1" s="5">
      <c r="C391" s="7" t="n"/>
      <c r="E391" s="7" t="n"/>
      <c r="F391" s="7" t="n"/>
      <c r="G391" s="7" t="n"/>
      <c r="K391" s="7" t="n"/>
    </row>
    <row r="392" ht="15" customHeight="1" s="5">
      <c r="C392" s="7" t="n"/>
      <c r="E392" s="7" t="n"/>
      <c r="F392" s="7" t="n"/>
      <c r="G392" s="7" t="n"/>
      <c r="K392" s="7" t="n"/>
    </row>
    <row r="393" ht="15" customHeight="1" s="5">
      <c r="C393" s="7" t="n"/>
      <c r="E393" s="7" t="n"/>
      <c r="F393" s="7" t="n"/>
      <c r="G393" s="7" t="n"/>
      <c r="K393" s="7" t="n"/>
    </row>
    <row r="394" ht="15" customHeight="1" s="5">
      <c r="C394" s="7" t="n"/>
      <c r="E394" s="7" t="n"/>
      <c r="F394" s="7" t="n"/>
      <c r="G394" s="7" t="n"/>
      <c r="K394" s="7" t="n"/>
    </row>
    <row r="395" ht="15" customHeight="1" s="5">
      <c r="C395" s="7" t="n"/>
      <c r="E395" s="7" t="n"/>
      <c r="F395" s="7" t="n"/>
      <c r="G395" s="7" t="n"/>
      <c r="K395" s="7" t="n"/>
    </row>
    <row r="396" ht="15" customHeight="1" s="5">
      <c r="C396" s="7" t="n"/>
      <c r="E396" s="7" t="n"/>
      <c r="F396" s="7" t="n"/>
      <c r="G396" s="7" t="n"/>
      <c r="K396" s="7" t="n"/>
    </row>
    <row r="397" ht="15" customHeight="1" s="5">
      <c r="C397" s="7" t="n"/>
      <c r="E397" s="7" t="n"/>
      <c r="F397" s="7" t="n"/>
      <c r="G397" s="7" t="n"/>
      <c r="K397" s="7" t="n"/>
    </row>
    <row r="398" ht="15" customHeight="1" s="5">
      <c r="C398" s="7" t="n"/>
      <c r="E398" s="7" t="n"/>
      <c r="F398" s="7" t="n"/>
      <c r="G398" s="7" t="n"/>
      <c r="K398" s="7" t="n"/>
    </row>
    <row r="399" ht="15" customHeight="1" s="5">
      <c r="C399" s="7" t="n"/>
      <c r="E399" s="7" t="n"/>
      <c r="F399" s="7" t="n"/>
      <c r="G399" s="7" t="n"/>
      <c r="K399" s="7" t="n"/>
    </row>
    <row r="400" ht="15" customHeight="1" s="5">
      <c r="C400" s="7" t="n"/>
      <c r="E400" s="7" t="n"/>
      <c r="F400" s="7" t="n"/>
      <c r="G400" s="7" t="n"/>
      <c r="K400" s="7" t="n"/>
    </row>
    <row r="401" ht="15" customHeight="1" s="5">
      <c r="C401" s="7" t="n"/>
      <c r="E401" s="7" t="n"/>
      <c r="F401" s="7" t="n"/>
      <c r="G401" s="7" t="n"/>
      <c r="K401" s="7" t="n"/>
    </row>
    <row r="402" ht="15" customHeight="1" s="5">
      <c r="C402" s="7" t="n"/>
      <c r="E402" s="7" t="n"/>
      <c r="F402" s="7" t="n"/>
      <c r="G402" s="7" t="n"/>
      <c r="K402" s="7" t="n"/>
    </row>
    <row r="403" ht="15" customHeight="1" s="5">
      <c r="C403" s="7" t="n"/>
      <c r="E403" s="7" t="n"/>
      <c r="F403" s="7" t="n"/>
      <c r="G403" s="7" t="n"/>
      <c r="K403" s="7" t="n"/>
    </row>
    <row r="404" ht="15" customHeight="1" s="5">
      <c r="C404" s="7" t="n"/>
      <c r="E404" s="7" t="n"/>
      <c r="F404" s="7" t="n"/>
      <c r="G404" s="7" t="n"/>
      <c r="K404" s="7" t="n"/>
    </row>
    <row r="405" ht="15" customHeight="1" s="5">
      <c r="C405" s="7" t="n"/>
      <c r="E405" s="7" t="n"/>
      <c r="F405" s="7" t="n"/>
      <c r="G405" s="7" t="n"/>
      <c r="K405" s="7" t="n"/>
    </row>
    <row r="406" ht="15" customHeight="1" s="5">
      <c r="C406" s="7" t="n"/>
      <c r="E406" s="7" t="n"/>
      <c r="F406" s="7" t="n"/>
      <c r="G406" s="7" t="n"/>
      <c r="K406" s="7" t="n"/>
    </row>
    <row r="407" ht="15" customHeight="1" s="5">
      <c r="C407" s="7" t="n"/>
      <c r="E407" s="7" t="n"/>
      <c r="F407" s="7" t="n"/>
      <c r="G407" s="7" t="n"/>
      <c r="K407" s="7" t="n"/>
    </row>
    <row r="408" ht="15" customHeight="1" s="5">
      <c r="C408" s="7" t="n"/>
      <c r="E408" s="7" t="n"/>
      <c r="F408" s="7" t="n"/>
      <c r="G408" s="7" t="n"/>
      <c r="K408" s="7" t="n"/>
    </row>
    <row r="409" ht="15" customHeight="1" s="5">
      <c r="C409" s="7" t="n"/>
      <c r="E409" s="7" t="n"/>
      <c r="F409" s="7" t="n"/>
      <c r="G409" s="7" t="n"/>
      <c r="K409" s="7" t="n"/>
    </row>
    <row r="410" ht="15" customHeight="1" s="5">
      <c r="C410" s="7" t="n"/>
      <c r="E410" s="7" t="n"/>
      <c r="F410" s="7" t="n"/>
      <c r="G410" s="7" t="n"/>
      <c r="K410" s="7" t="n"/>
    </row>
    <row r="411" ht="15" customHeight="1" s="5">
      <c r="C411" s="7" t="n"/>
      <c r="E411" s="7" t="n"/>
      <c r="F411" s="7" t="n"/>
      <c r="G411" s="7" t="n"/>
      <c r="K411" s="7" t="n"/>
    </row>
    <row r="412" ht="15" customHeight="1" s="5">
      <c r="C412" s="7" t="n"/>
      <c r="E412" s="7" t="n"/>
      <c r="F412" s="7" t="n"/>
      <c r="G412" s="7" t="n"/>
      <c r="K412" s="7" t="n"/>
    </row>
    <row r="413" ht="15" customHeight="1" s="5">
      <c r="C413" s="7" t="n"/>
      <c r="E413" s="7" t="n"/>
      <c r="F413" s="7" t="n"/>
      <c r="G413" s="7" t="n"/>
      <c r="K413" s="7" t="n"/>
    </row>
    <row r="414" ht="15" customHeight="1" s="5">
      <c r="C414" s="7" t="n"/>
      <c r="E414" s="7" t="n"/>
      <c r="F414" s="7" t="n"/>
      <c r="G414" s="7" t="n"/>
      <c r="K414" s="7" t="n"/>
    </row>
    <row r="415" ht="15" customHeight="1" s="5">
      <c r="C415" s="7" t="n"/>
      <c r="E415" s="7" t="n"/>
      <c r="F415" s="7" t="n"/>
      <c r="G415" s="7" t="n"/>
      <c r="K415" s="7" t="n"/>
    </row>
    <row r="416" ht="15" customHeight="1" s="5">
      <c r="C416" s="7" t="n"/>
      <c r="E416" s="7" t="n"/>
      <c r="F416" s="7" t="n"/>
      <c r="G416" s="7" t="n"/>
      <c r="K416" s="7" t="n"/>
    </row>
    <row r="417" ht="15" customHeight="1" s="5">
      <c r="C417" s="7" t="n"/>
      <c r="E417" s="7" t="n"/>
      <c r="F417" s="7" t="n"/>
      <c r="G417" s="7" t="n"/>
      <c r="K417" s="7" t="n"/>
    </row>
    <row r="418" ht="15" customHeight="1" s="5">
      <c r="C418" s="7" t="n"/>
      <c r="E418" s="7" t="n"/>
      <c r="F418" s="7" t="n"/>
      <c r="G418" s="7" t="n"/>
      <c r="K418" s="7" t="n"/>
    </row>
    <row r="419" ht="15" customHeight="1" s="5">
      <c r="C419" s="7" t="n"/>
      <c r="E419" s="7" t="n"/>
      <c r="F419" s="7" t="n"/>
      <c r="G419" s="7" t="n"/>
      <c r="K419" s="7" t="n"/>
    </row>
    <row r="420" ht="15" customHeight="1" s="5">
      <c r="C420" s="7" t="n"/>
      <c r="E420" s="7" t="n"/>
      <c r="F420" s="7" t="n"/>
      <c r="G420" s="7" t="n"/>
      <c r="K420" s="7" t="n"/>
    </row>
    <row r="421" ht="15" customHeight="1" s="5">
      <c r="C421" s="7" t="n"/>
      <c r="E421" s="7" t="n"/>
      <c r="F421" s="7" t="n"/>
      <c r="G421" s="7" t="n"/>
      <c r="K421" s="7" t="n"/>
    </row>
    <row r="422" ht="15" customHeight="1" s="5">
      <c r="C422" s="7" t="n"/>
      <c r="E422" s="7" t="n"/>
      <c r="F422" s="7" t="n"/>
      <c r="G422" s="7" t="n"/>
      <c r="K422" s="7" t="n"/>
    </row>
    <row r="423" ht="15" customHeight="1" s="5">
      <c r="C423" s="7" t="n"/>
      <c r="E423" s="7" t="n"/>
      <c r="F423" s="7" t="n"/>
      <c r="G423" s="7" t="n"/>
      <c r="K423" s="7" t="n"/>
    </row>
    <row r="424" ht="15" customHeight="1" s="5">
      <c r="C424" s="7" t="n"/>
      <c r="E424" s="7" t="n"/>
      <c r="F424" s="7" t="n"/>
      <c r="G424" s="7" t="n"/>
      <c r="K424" s="7" t="n"/>
    </row>
    <row r="425" ht="15" customHeight="1" s="5">
      <c r="C425" s="7" t="n"/>
      <c r="E425" s="7" t="n"/>
      <c r="F425" s="7" t="n"/>
      <c r="G425" s="7" t="n"/>
      <c r="K425" s="7" t="n"/>
    </row>
    <row r="426" ht="15" customHeight="1" s="5">
      <c r="C426" s="7" t="n"/>
      <c r="E426" s="7" t="n"/>
      <c r="F426" s="7" t="n"/>
      <c r="G426" s="7" t="n"/>
      <c r="K426" s="7" t="n"/>
    </row>
    <row r="427" ht="15" customHeight="1" s="5">
      <c r="C427" s="7" t="n"/>
      <c r="E427" s="7" t="n"/>
      <c r="F427" s="7" t="n"/>
      <c r="G427" s="7" t="n"/>
      <c r="K427" s="7" t="n"/>
    </row>
    <row r="428" ht="15" customHeight="1" s="5">
      <c r="C428" s="7" t="n"/>
      <c r="E428" s="7" t="n"/>
      <c r="F428" s="7" t="n"/>
      <c r="G428" s="7" t="n"/>
      <c r="K428" s="7" t="n"/>
    </row>
    <row r="429" ht="15" customHeight="1" s="5">
      <c r="C429" s="7" t="n"/>
      <c r="E429" s="7" t="n"/>
      <c r="F429" s="7" t="n"/>
      <c r="G429" s="7" t="n"/>
      <c r="K429" s="7" t="n"/>
    </row>
    <row r="430" ht="15" customHeight="1" s="5">
      <c r="C430" s="7" t="n"/>
      <c r="E430" s="7" t="n"/>
      <c r="F430" s="7" t="n"/>
      <c r="G430" s="7" t="n"/>
      <c r="K430" s="7" t="n"/>
    </row>
    <row r="431" ht="15" customHeight="1" s="5">
      <c r="C431" s="7" t="n"/>
      <c r="E431" s="7" t="n"/>
      <c r="F431" s="7" t="n"/>
      <c r="G431" s="7" t="n"/>
      <c r="K431" s="7" t="n"/>
    </row>
    <row r="432" ht="15" customHeight="1" s="5">
      <c r="C432" s="7" t="n"/>
      <c r="E432" s="7" t="n"/>
      <c r="F432" s="7" t="n"/>
      <c r="G432" s="7" t="n"/>
      <c r="K432" s="7" t="n"/>
    </row>
    <row r="433" ht="15" customHeight="1" s="5">
      <c r="C433" s="7" t="n"/>
      <c r="E433" s="7" t="n"/>
      <c r="F433" s="7" t="n"/>
      <c r="G433" s="7" t="n"/>
      <c r="K433" s="7" t="n"/>
    </row>
    <row r="434" ht="15" customHeight="1" s="5">
      <c r="C434" s="7" t="n"/>
      <c r="E434" s="7" t="n"/>
      <c r="F434" s="7" t="n"/>
      <c r="G434" s="7" t="n"/>
      <c r="K434" s="7" t="n"/>
    </row>
    <row r="435" ht="15" customHeight="1" s="5">
      <c r="C435" s="7" t="n"/>
      <c r="E435" s="7" t="n"/>
      <c r="F435" s="7" t="n"/>
      <c r="G435" s="7" t="n"/>
      <c r="K435" s="7" t="n"/>
    </row>
    <row r="436" ht="15" customHeight="1" s="5">
      <c r="C436" s="7" t="n"/>
      <c r="E436" s="7" t="n"/>
      <c r="F436" s="7" t="n"/>
      <c r="G436" s="7" t="n"/>
      <c r="K436" s="7" t="n"/>
    </row>
    <row r="437" ht="15" customHeight="1" s="5">
      <c r="C437" s="7" t="n"/>
      <c r="E437" s="7" t="n"/>
      <c r="F437" s="7" t="n"/>
      <c r="G437" s="7" t="n"/>
      <c r="K437" s="7" t="n"/>
    </row>
    <row r="438" ht="15" customHeight="1" s="5">
      <c r="C438" s="7" t="n"/>
      <c r="E438" s="7" t="n"/>
      <c r="F438" s="7" t="n"/>
      <c r="G438" s="7" t="n"/>
      <c r="K438" s="7" t="n"/>
    </row>
    <row r="439" ht="15" customHeight="1" s="5">
      <c r="C439" s="7" t="n"/>
      <c r="E439" s="7" t="n"/>
      <c r="F439" s="7" t="n"/>
      <c r="G439" s="7" t="n"/>
      <c r="K439" s="7" t="n"/>
    </row>
    <row r="440" ht="15" customHeight="1" s="5">
      <c r="C440" s="7" t="n"/>
      <c r="E440" s="7" t="n"/>
      <c r="F440" s="7" t="n"/>
      <c r="G440" s="7" t="n"/>
      <c r="K440" s="7" t="n"/>
    </row>
    <row r="441" ht="15" customHeight="1" s="5">
      <c r="C441" s="7" t="n"/>
      <c r="E441" s="7" t="n"/>
      <c r="F441" s="7" t="n"/>
      <c r="G441" s="7" t="n"/>
      <c r="K441" s="7" t="n"/>
    </row>
    <row r="442" ht="15" customHeight="1" s="5">
      <c r="C442" s="7" t="n"/>
      <c r="E442" s="7" t="n"/>
      <c r="F442" s="7" t="n"/>
      <c r="G442" s="7" t="n"/>
      <c r="K442" s="7" t="n"/>
    </row>
    <row r="443" ht="15" customHeight="1" s="5">
      <c r="C443" s="7" t="n"/>
      <c r="E443" s="7" t="n"/>
      <c r="F443" s="7" t="n"/>
      <c r="G443" s="7" t="n"/>
      <c r="K443" s="7" t="n"/>
    </row>
    <row r="444" ht="15" customHeight="1" s="5">
      <c r="C444" s="7" t="n"/>
      <c r="E444" s="7" t="n"/>
      <c r="F444" s="7" t="n"/>
      <c r="G444" s="7" t="n"/>
      <c r="K444" s="7" t="n"/>
    </row>
    <row r="445" ht="15" customHeight="1" s="5">
      <c r="C445" s="7" t="n"/>
      <c r="E445" s="7" t="n"/>
      <c r="F445" s="7" t="n"/>
      <c r="G445" s="7" t="n"/>
      <c r="K445" s="7" t="n"/>
    </row>
    <row r="446" ht="15" customHeight="1" s="5">
      <c r="C446" s="7" t="n"/>
      <c r="E446" s="7" t="n"/>
      <c r="F446" s="7" t="n"/>
      <c r="G446" s="7" t="n"/>
      <c r="K446" s="7" t="n"/>
    </row>
    <row r="447" ht="15" customHeight="1" s="5">
      <c r="C447" s="7" t="n"/>
      <c r="E447" s="7" t="n"/>
      <c r="F447" s="7" t="n"/>
      <c r="G447" s="7" t="n"/>
      <c r="K447" s="7" t="n"/>
    </row>
    <row r="448" ht="15" customHeight="1" s="5">
      <c r="C448" s="7" t="n"/>
      <c r="E448" s="7" t="n"/>
      <c r="F448" s="7" t="n"/>
      <c r="G448" s="7" t="n"/>
      <c r="K448" s="7" t="n"/>
    </row>
    <row r="449" ht="15" customHeight="1" s="5">
      <c r="C449" s="7" t="n"/>
      <c r="E449" s="7" t="n"/>
      <c r="F449" s="7" t="n"/>
      <c r="G449" s="7" t="n"/>
      <c r="K449" s="7" t="n"/>
    </row>
    <row r="450" ht="15" customHeight="1" s="5">
      <c r="C450" s="7" t="n"/>
      <c r="E450" s="7" t="n"/>
      <c r="F450" s="7" t="n"/>
      <c r="G450" s="7" t="n"/>
      <c r="K450" s="7" t="n"/>
    </row>
    <row r="451" ht="15" customHeight="1" s="5">
      <c r="C451" s="7" t="n"/>
      <c r="E451" s="7" t="n"/>
      <c r="F451" s="7" t="n"/>
      <c r="G451" s="7" t="n"/>
      <c r="K451" s="7" t="n"/>
    </row>
    <row r="452" ht="15" customHeight="1" s="5">
      <c r="C452" s="7" t="n"/>
      <c r="E452" s="7" t="n"/>
      <c r="F452" s="7" t="n"/>
      <c r="G452" s="7" t="n"/>
      <c r="K452" s="7" t="n"/>
    </row>
    <row r="453" ht="15" customHeight="1" s="5">
      <c r="C453" s="7" t="n"/>
      <c r="E453" s="7" t="n"/>
      <c r="F453" s="7" t="n"/>
      <c r="G453" s="7" t="n"/>
      <c r="K453" s="7" t="n"/>
    </row>
    <row r="454" ht="15" customHeight="1" s="5">
      <c r="C454" s="7" t="n"/>
      <c r="E454" s="7" t="n"/>
      <c r="F454" s="7" t="n"/>
      <c r="G454" s="7" t="n"/>
      <c r="K454" s="7" t="n"/>
    </row>
    <row r="455" ht="15" customHeight="1" s="5">
      <c r="C455" s="7" t="n"/>
      <c r="E455" s="7" t="n"/>
      <c r="F455" s="7" t="n"/>
      <c r="G455" s="7" t="n"/>
      <c r="K455" s="7" t="n"/>
    </row>
    <row r="456" ht="15" customHeight="1" s="5">
      <c r="C456" s="7" t="n"/>
      <c r="E456" s="7" t="n"/>
      <c r="F456" s="7" t="n"/>
      <c r="G456" s="7" t="n"/>
      <c r="K456" s="7" t="n"/>
    </row>
    <row r="457" ht="15" customHeight="1" s="5">
      <c r="C457" s="7" t="n"/>
      <c r="E457" s="7" t="n"/>
      <c r="F457" s="7" t="n"/>
      <c r="G457" s="7" t="n"/>
      <c r="K457" s="7" t="n"/>
    </row>
    <row r="458" ht="15" customHeight="1" s="5">
      <c r="C458" s="7" t="n"/>
      <c r="E458" s="7" t="n"/>
      <c r="F458" s="7" t="n"/>
      <c r="G458" s="7" t="n"/>
      <c r="K458" s="7" t="n"/>
    </row>
    <row r="459" ht="15" customHeight="1" s="5">
      <c r="C459" s="7" t="n"/>
      <c r="E459" s="7" t="n"/>
      <c r="F459" s="7" t="n"/>
      <c r="G459" s="7" t="n"/>
      <c r="K459" s="7" t="n"/>
    </row>
    <row r="460" ht="15" customHeight="1" s="5">
      <c r="C460" s="7" t="n"/>
      <c r="E460" s="7" t="n"/>
      <c r="F460" s="7" t="n"/>
      <c r="G460" s="7" t="n"/>
      <c r="K460" s="7" t="n"/>
    </row>
    <row r="461" ht="15" customHeight="1" s="5">
      <c r="C461" s="7" t="n"/>
      <c r="E461" s="7" t="n"/>
      <c r="F461" s="7" t="n"/>
      <c r="G461" s="7" t="n"/>
      <c r="K461" s="7" t="n"/>
    </row>
    <row r="462" ht="15" customHeight="1" s="5">
      <c r="C462" s="7" t="n"/>
      <c r="E462" s="7" t="n"/>
      <c r="F462" s="7" t="n"/>
      <c r="G462" s="7" t="n"/>
      <c r="K462" s="7" t="n"/>
    </row>
    <row r="463" ht="15" customHeight="1" s="5">
      <c r="C463" s="7" t="n"/>
      <c r="E463" s="7" t="n"/>
      <c r="F463" s="7" t="n"/>
      <c r="G463" s="7" t="n"/>
      <c r="K463" s="7" t="n"/>
    </row>
    <row r="464" ht="15" customHeight="1" s="5">
      <c r="C464" s="7" t="n"/>
      <c r="E464" s="7" t="n"/>
      <c r="F464" s="7" t="n"/>
      <c r="G464" s="7" t="n"/>
      <c r="K464" s="7" t="n"/>
    </row>
    <row r="465" ht="15" customHeight="1" s="5">
      <c r="C465" s="7" t="n"/>
      <c r="E465" s="7" t="n"/>
      <c r="F465" s="7" t="n"/>
      <c r="G465" s="7" t="n"/>
      <c r="K465" s="7" t="n"/>
    </row>
    <row r="466" ht="15" customHeight="1" s="5">
      <c r="C466" s="7" t="n"/>
      <c r="E466" s="7" t="n"/>
      <c r="F466" s="7" t="n"/>
      <c r="G466" s="7" t="n"/>
      <c r="K466" s="7" t="n"/>
    </row>
    <row r="467" ht="15" customHeight="1" s="5">
      <c r="C467" s="7" t="n"/>
      <c r="E467" s="7" t="n"/>
      <c r="F467" s="7" t="n"/>
      <c r="G467" s="7" t="n"/>
      <c r="K467" s="7" t="n"/>
    </row>
    <row r="468" ht="15" customHeight="1" s="5">
      <c r="C468" s="7" t="n"/>
      <c r="E468" s="7" t="n"/>
      <c r="F468" s="7" t="n"/>
      <c r="G468" s="7" t="n"/>
      <c r="K468" s="7" t="n"/>
    </row>
    <row r="469" ht="15" customHeight="1" s="5">
      <c r="C469" s="7" t="n"/>
      <c r="E469" s="7" t="n"/>
      <c r="F469" s="7" t="n"/>
      <c r="G469" s="7" t="n"/>
      <c r="K469" s="7" t="n"/>
    </row>
    <row r="470" ht="15" customHeight="1" s="5">
      <c r="C470" s="7" t="n"/>
      <c r="E470" s="7" t="n"/>
      <c r="F470" s="7" t="n"/>
      <c r="G470" s="7" t="n"/>
      <c r="K470" s="7" t="n"/>
    </row>
    <row r="471" ht="15" customHeight="1" s="5">
      <c r="C471" s="7" t="n"/>
      <c r="E471" s="7" t="n"/>
      <c r="F471" s="7" t="n"/>
      <c r="G471" s="7" t="n"/>
      <c r="K471" s="7" t="n"/>
    </row>
    <row r="472" ht="15" customHeight="1" s="5">
      <c r="C472" s="7" t="n"/>
      <c r="E472" s="7" t="n"/>
      <c r="F472" s="7" t="n"/>
      <c r="G472" s="7" t="n"/>
      <c r="K472" s="7" t="n"/>
    </row>
    <row r="473" ht="15" customHeight="1" s="5">
      <c r="C473" s="7" t="n"/>
      <c r="E473" s="7" t="n"/>
      <c r="F473" s="7" t="n"/>
      <c r="G473" s="7" t="n"/>
      <c r="K473" s="7" t="n"/>
    </row>
    <row r="474" ht="15" customHeight="1" s="5">
      <c r="C474" s="7" t="n"/>
      <c r="E474" s="7" t="n"/>
      <c r="F474" s="7" t="n"/>
      <c r="G474" s="7" t="n"/>
      <c r="K474" s="7" t="n"/>
    </row>
    <row r="475" ht="15" customHeight="1" s="5">
      <c r="C475" s="7" t="n"/>
      <c r="E475" s="7" t="n"/>
      <c r="F475" s="7" t="n"/>
      <c r="G475" s="7" t="n"/>
      <c r="K475" s="7" t="n"/>
    </row>
    <row r="476" ht="15" customHeight="1" s="5">
      <c r="C476" s="7" t="n"/>
      <c r="E476" s="7" t="n"/>
      <c r="F476" s="7" t="n"/>
      <c r="G476" s="7" t="n"/>
      <c r="K476" s="7" t="n"/>
    </row>
    <row r="477" ht="15" customHeight="1" s="5">
      <c r="C477" s="7" t="n"/>
      <c r="E477" s="7" t="n"/>
      <c r="F477" s="7" t="n"/>
      <c r="G477" s="7" t="n"/>
      <c r="K477" s="7" t="n"/>
    </row>
    <row r="478" ht="15" customHeight="1" s="5">
      <c r="C478" s="7" t="n"/>
      <c r="E478" s="7" t="n"/>
      <c r="F478" s="7" t="n"/>
      <c r="G478" s="7" t="n"/>
      <c r="K478" s="7" t="n"/>
    </row>
    <row r="479" ht="15" customHeight="1" s="5">
      <c r="C479" s="7" t="n"/>
      <c r="E479" s="7" t="n"/>
      <c r="F479" s="7" t="n"/>
      <c r="G479" s="7" t="n"/>
      <c r="K479" s="7" t="n"/>
    </row>
    <row r="480" ht="15" customHeight="1" s="5">
      <c r="C480" s="7" t="n"/>
      <c r="E480" s="7" t="n"/>
      <c r="F480" s="7" t="n"/>
      <c r="G480" s="7" t="n"/>
      <c r="K480" s="7" t="n"/>
    </row>
    <row r="481" ht="15" customHeight="1" s="5">
      <c r="C481" s="7" t="n"/>
      <c r="E481" s="7" t="n"/>
      <c r="F481" s="7" t="n"/>
      <c r="G481" s="7" t="n"/>
      <c r="K481" s="7" t="n"/>
    </row>
    <row r="482" ht="15" customHeight="1" s="5">
      <c r="C482" s="7" t="n"/>
      <c r="E482" s="7" t="n"/>
      <c r="F482" s="7" t="n"/>
      <c r="G482" s="7" t="n"/>
      <c r="K482" s="7" t="n"/>
    </row>
    <row r="483" ht="15" customHeight="1" s="5">
      <c r="C483" s="7" t="n"/>
      <c r="E483" s="7" t="n"/>
      <c r="F483" s="7" t="n"/>
      <c r="G483" s="7" t="n"/>
      <c r="K483" s="7" t="n"/>
    </row>
    <row r="484" ht="15" customHeight="1" s="5">
      <c r="C484" s="7" t="n"/>
      <c r="E484" s="7" t="n"/>
      <c r="F484" s="7" t="n"/>
      <c r="G484" s="7" t="n"/>
      <c r="K484" s="7" t="n"/>
    </row>
    <row r="485" ht="15" customHeight="1" s="5">
      <c r="C485" s="7" t="n"/>
      <c r="E485" s="7" t="n"/>
      <c r="F485" s="7" t="n"/>
      <c r="G485" s="7" t="n"/>
      <c r="K485" s="7" t="n"/>
    </row>
    <row r="486" ht="15" customHeight="1" s="5">
      <c r="C486" s="7" t="n"/>
      <c r="E486" s="7" t="n"/>
      <c r="F486" s="7" t="n"/>
      <c r="G486" s="7" t="n"/>
      <c r="K486" s="7" t="n"/>
    </row>
    <row r="487" ht="15" customHeight="1" s="5">
      <c r="C487" s="7" t="n"/>
      <c r="E487" s="7" t="n"/>
      <c r="F487" s="7" t="n"/>
      <c r="G487" s="7" t="n"/>
      <c r="K487" s="7" t="n"/>
    </row>
    <row r="488" ht="15" customHeight="1" s="5">
      <c r="C488" s="7" t="n"/>
      <c r="E488" s="7" t="n"/>
      <c r="F488" s="7" t="n"/>
      <c r="G488" s="7" t="n"/>
      <c r="K488" s="7" t="n"/>
    </row>
    <row r="489" ht="15" customHeight="1" s="5">
      <c r="C489" s="7" t="n"/>
      <c r="E489" s="7" t="n"/>
      <c r="F489" s="7" t="n"/>
      <c r="G489" s="7" t="n"/>
      <c r="K489" s="7" t="n"/>
    </row>
    <row r="490" ht="15" customHeight="1" s="5">
      <c r="C490" s="7" t="n"/>
      <c r="E490" s="7" t="n"/>
      <c r="F490" s="7" t="n"/>
      <c r="G490" s="7" t="n"/>
      <c r="K490" s="7" t="n"/>
    </row>
    <row r="491" ht="15" customHeight="1" s="5">
      <c r="C491" s="7" t="n"/>
      <c r="E491" s="7" t="n"/>
      <c r="F491" s="7" t="n"/>
      <c r="G491" s="7" t="n"/>
      <c r="K491" s="7" t="n"/>
    </row>
    <row r="492" ht="15" customHeight="1" s="5">
      <c r="C492" s="7" t="n"/>
      <c r="E492" s="7" t="n"/>
      <c r="F492" s="7" t="n"/>
      <c r="G492" s="7" t="n"/>
      <c r="K492" s="7" t="n"/>
    </row>
    <row r="493" ht="15" customHeight="1" s="5">
      <c r="C493" s="7" t="n"/>
      <c r="E493" s="7" t="n"/>
      <c r="F493" s="7" t="n"/>
      <c r="G493" s="7" t="n"/>
      <c r="K493" s="7" t="n"/>
    </row>
    <row r="494" ht="15" customHeight="1" s="5">
      <c r="C494" s="7" t="n"/>
      <c r="E494" s="7" t="n"/>
      <c r="F494" s="7" t="n"/>
      <c r="G494" s="7" t="n"/>
      <c r="K494" s="7" t="n"/>
    </row>
    <row r="495" ht="15" customHeight="1" s="5">
      <c r="C495" s="7" t="n"/>
      <c r="E495" s="7" t="n"/>
      <c r="F495" s="7" t="n"/>
      <c r="G495" s="7" t="n"/>
      <c r="K495" s="7" t="n"/>
    </row>
    <row r="496" ht="15" customHeight="1" s="5">
      <c r="C496" s="7" t="n"/>
      <c r="E496" s="7" t="n"/>
      <c r="F496" s="7" t="n"/>
      <c r="G496" s="7" t="n"/>
      <c r="K496" s="7" t="n"/>
    </row>
    <row r="497" ht="15" customHeight="1" s="5">
      <c r="C497" s="7" t="n"/>
      <c r="E497" s="7" t="n"/>
      <c r="F497" s="7" t="n"/>
      <c r="G497" s="7" t="n"/>
      <c r="K497" s="7" t="n"/>
    </row>
    <row r="498" ht="15" customHeight="1" s="5">
      <c r="C498" s="7" t="n"/>
      <c r="E498" s="7" t="n"/>
      <c r="F498" s="7" t="n"/>
      <c r="G498" s="7" t="n"/>
      <c r="K498" s="7" t="n"/>
    </row>
    <row r="499" ht="15" customHeight="1" s="5">
      <c r="C499" s="7" t="n"/>
      <c r="E499" s="7" t="n"/>
      <c r="F499" s="7" t="n"/>
      <c r="G499" s="7" t="n"/>
      <c r="K499" s="7" t="n"/>
    </row>
    <row r="500" ht="15" customHeight="1" s="5">
      <c r="C500" s="7" t="n"/>
      <c r="E500" s="7" t="n"/>
      <c r="F500" s="7" t="n"/>
      <c r="G500" s="7" t="n"/>
      <c r="K500" s="7" t="n"/>
    </row>
    <row r="501" ht="15" customHeight="1" s="5">
      <c r="C501" s="7" t="n"/>
      <c r="E501" s="7" t="n"/>
      <c r="F501" s="7" t="n"/>
      <c r="G501" s="7" t="n"/>
      <c r="K501" s="7" t="n"/>
    </row>
    <row r="502" ht="15" customHeight="1" s="5">
      <c r="C502" s="7" t="n"/>
      <c r="E502" s="7" t="n"/>
      <c r="F502" s="7" t="n"/>
      <c r="G502" s="7" t="n"/>
      <c r="K502" s="7" t="n"/>
    </row>
    <row r="503" ht="15" customHeight="1" s="5">
      <c r="C503" s="7" t="n"/>
      <c r="E503" s="7" t="n"/>
      <c r="F503" s="7" t="n"/>
      <c r="G503" s="7" t="n"/>
      <c r="K503" s="7" t="n"/>
    </row>
    <row r="504" ht="15" customHeight="1" s="5">
      <c r="C504" s="7" t="n"/>
      <c r="E504" s="7" t="n"/>
      <c r="F504" s="7" t="n"/>
      <c r="G504" s="7" t="n"/>
      <c r="K504" s="7" t="n"/>
    </row>
    <row r="505" ht="15" customHeight="1" s="5">
      <c r="C505" s="7" t="n"/>
      <c r="E505" s="7" t="n"/>
      <c r="F505" s="7" t="n"/>
      <c r="G505" s="7" t="n"/>
      <c r="K505" s="7" t="n"/>
    </row>
    <row r="506" ht="15" customHeight="1" s="5">
      <c r="C506" s="7" t="n"/>
      <c r="E506" s="7" t="n"/>
      <c r="F506" s="7" t="n"/>
      <c r="G506" s="7" t="n"/>
      <c r="K506" s="7" t="n"/>
    </row>
    <row r="507" ht="15" customHeight="1" s="5">
      <c r="C507" s="7" t="n"/>
      <c r="E507" s="7" t="n"/>
      <c r="F507" s="7" t="n"/>
      <c r="G507" s="7" t="n"/>
      <c r="K507" s="7" t="n"/>
    </row>
    <row r="508" ht="15" customHeight="1" s="5">
      <c r="C508" s="7" t="n"/>
      <c r="E508" s="7" t="n"/>
      <c r="F508" s="7" t="n"/>
      <c r="G508" s="7" t="n"/>
      <c r="K508" s="7" t="n"/>
    </row>
    <row r="509" ht="15" customHeight="1" s="5">
      <c r="C509" s="7" t="n"/>
      <c r="E509" s="7" t="n"/>
      <c r="F509" s="7" t="n"/>
      <c r="G509" s="7" t="n"/>
      <c r="K509" s="7" t="n"/>
    </row>
    <row r="510" ht="15" customHeight="1" s="5">
      <c r="C510" s="7" t="n"/>
      <c r="E510" s="7" t="n"/>
      <c r="F510" s="7" t="n"/>
      <c r="G510" s="7" t="n"/>
      <c r="K510" s="7" t="n"/>
    </row>
    <row r="511" ht="15" customHeight="1" s="5">
      <c r="C511" s="7" t="n"/>
      <c r="E511" s="7" t="n"/>
      <c r="F511" s="7" t="n"/>
      <c r="G511" s="7" t="n"/>
      <c r="K511" s="7" t="n"/>
    </row>
    <row r="512" ht="15" customHeight="1" s="5">
      <c r="C512" s="7" t="n"/>
      <c r="E512" s="7" t="n"/>
      <c r="F512" s="7" t="n"/>
      <c r="G512" s="7" t="n"/>
      <c r="K512" s="7" t="n"/>
    </row>
    <row r="513" ht="15" customHeight="1" s="5">
      <c r="C513" s="7" t="n"/>
      <c r="E513" s="7" t="n"/>
      <c r="F513" s="7" t="n"/>
      <c r="G513" s="7" t="n"/>
      <c r="K513" s="7" t="n"/>
    </row>
    <row r="514" ht="15" customHeight="1" s="5">
      <c r="C514" s="7" t="n"/>
      <c r="E514" s="7" t="n"/>
      <c r="F514" s="7" t="n"/>
      <c r="G514" s="7" t="n"/>
      <c r="K514" s="7" t="n"/>
    </row>
    <row r="515" ht="15" customHeight="1" s="5">
      <c r="C515" s="7" t="n"/>
      <c r="E515" s="7" t="n"/>
      <c r="F515" s="7" t="n"/>
      <c r="G515" s="7" t="n"/>
      <c r="K515" s="7" t="n"/>
    </row>
    <row r="516" ht="15" customHeight="1" s="5">
      <c r="C516" s="7" t="n"/>
      <c r="E516" s="7" t="n"/>
      <c r="F516" s="7" t="n"/>
      <c r="G516" s="7" t="n"/>
      <c r="K516" s="7" t="n"/>
    </row>
    <row r="517" ht="15" customHeight="1" s="5">
      <c r="C517" s="7" t="n"/>
      <c r="E517" s="7" t="n"/>
      <c r="F517" s="7" t="n"/>
      <c r="G517" s="7" t="n"/>
      <c r="K517" s="7" t="n"/>
    </row>
    <row r="518" ht="15" customHeight="1" s="5">
      <c r="C518" s="7" t="n"/>
      <c r="E518" s="7" t="n"/>
      <c r="F518" s="7" t="n"/>
      <c r="G518" s="7" t="n"/>
      <c r="K518" s="7" t="n"/>
    </row>
    <row r="519" ht="15" customHeight="1" s="5">
      <c r="C519" s="7" t="n"/>
      <c r="E519" s="7" t="n"/>
      <c r="F519" s="7" t="n"/>
      <c r="G519" s="7" t="n"/>
      <c r="K519" s="7" t="n"/>
    </row>
    <row r="520" ht="15" customHeight="1" s="5">
      <c r="C520" s="7" t="n"/>
      <c r="E520" s="7" t="n"/>
      <c r="F520" s="7" t="n"/>
      <c r="G520" s="7" t="n"/>
      <c r="K520" s="7" t="n"/>
    </row>
    <row r="521" ht="15" customHeight="1" s="5">
      <c r="C521" s="7" t="n"/>
      <c r="E521" s="7" t="n"/>
      <c r="F521" s="7" t="n"/>
      <c r="G521" s="7" t="n"/>
      <c r="K521" s="7" t="n"/>
    </row>
    <row r="522" ht="15" customHeight="1" s="5">
      <c r="C522" s="7" t="n"/>
      <c r="E522" s="7" t="n"/>
      <c r="F522" s="7" t="n"/>
      <c r="G522" s="7" t="n"/>
      <c r="K522" s="7" t="n"/>
    </row>
    <row r="523" ht="15" customHeight="1" s="5">
      <c r="C523" s="7" t="n"/>
      <c r="E523" s="7" t="n"/>
      <c r="F523" s="7" t="n"/>
      <c r="G523" s="7" t="n"/>
      <c r="K523" s="7" t="n"/>
    </row>
    <row r="524" ht="15" customHeight="1" s="5">
      <c r="C524" s="7" t="n"/>
      <c r="E524" s="7" t="n"/>
      <c r="F524" s="7" t="n"/>
      <c r="G524" s="7" t="n"/>
      <c r="K524" s="7" t="n"/>
    </row>
    <row r="525" ht="15" customHeight="1" s="5">
      <c r="C525" s="7" t="n"/>
      <c r="E525" s="7" t="n"/>
      <c r="F525" s="7" t="n"/>
      <c r="G525" s="7" t="n"/>
      <c r="K525" s="7" t="n"/>
    </row>
    <row r="526" ht="15" customHeight="1" s="5">
      <c r="C526" s="7" t="n"/>
      <c r="E526" s="7" t="n"/>
      <c r="F526" s="7" t="n"/>
      <c r="G526" s="7" t="n"/>
      <c r="K526" s="7" t="n"/>
    </row>
    <row r="527" ht="15" customHeight="1" s="5">
      <c r="C527" s="7" t="n"/>
      <c r="E527" s="7" t="n"/>
      <c r="F527" s="7" t="n"/>
      <c r="G527" s="7" t="n"/>
      <c r="K527" s="7" t="n"/>
    </row>
    <row r="528" ht="15" customHeight="1" s="5">
      <c r="C528" s="7" t="n"/>
      <c r="E528" s="7" t="n"/>
      <c r="F528" s="7" t="n"/>
      <c r="G528" s="7" t="n"/>
      <c r="K528" s="7" t="n"/>
    </row>
    <row r="529" ht="15" customHeight="1" s="5">
      <c r="C529" s="7" t="n"/>
      <c r="E529" s="7" t="n"/>
      <c r="F529" s="7" t="n"/>
      <c r="G529" s="7" t="n"/>
      <c r="K529" s="7" t="n"/>
    </row>
    <row r="530" ht="15" customHeight="1" s="5">
      <c r="C530" s="7" t="n"/>
      <c r="E530" s="7" t="n"/>
      <c r="F530" s="7" t="n"/>
      <c r="G530" s="7" t="n"/>
      <c r="K530" s="7" t="n"/>
    </row>
    <row r="531" ht="15" customHeight="1" s="5">
      <c r="C531" s="7" t="n"/>
      <c r="E531" s="7" t="n"/>
      <c r="F531" s="7" t="n"/>
      <c r="G531" s="7" t="n"/>
      <c r="K531" s="7" t="n"/>
    </row>
    <row r="532" ht="15" customHeight="1" s="5">
      <c r="C532" s="7" t="n"/>
      <c r="E532" s="7" t="n"/>
      <c r="F532" s="7" t="n"/>
      <c r="G532" s="7" t="n"/>
      <c r="K532" s="7" t="n"/>
    </row>
    <row r="533" ht="15" customHeight="1" s="5">
      <c r="C533" s="7" t="n"/>
      <c r="E533" s="7" t="n"/>
      <c r="F533" s="7" t="n"/>
      <c r="G533" s="7" t="n"/>
      <c r="K533" s="7" t="n"/>
    </row>
    <row r="534" ht="15" customHeight="1" s="5">
      <c r="C534" s="7" t="n"/>
      <c r="E534" s="7" t="n"/>
      <c r="F534" s="7" t="n"/>
      <c r="G534" s="7" t="n"/>
      <c r="K534" s="7" t="n"/>
    </row>
    <row r="535" ht="15" customHeight="1" s="5">
      <c r="C535" s="7" t="n"/>
      <c r="E535" s="7" t="n"/>
      <c r="F535" s="7" t="n"/>
      <c r="G535" s="7" t="n"/>
      <c r="K535" s="7" t="n"/>
    </row>
    <row r="536" ht="15" customHeight="1" s="5">
      <c r="C536" s="7" t="n"/>
      <c r="E536" s="7" t="n"/>
      <c r="F536" s="7" t="n"/>
      <c r="G536" s="7" t="n"/>
      <c r="K536" s="7" t="n"/>
    </row>
    <row r="537" ht="15" customHeight="1" s="5">
      <c r="C537" s="7" t="n"/>
      <c r="E537" s="7" t="n"/>
      <c r="F537" s="7" t="n"/>
      <c r="G537" s="7" t="n"/>
      <c r="K537" s="7" t="n"/>
    </row>
    <row r="538" ht="15" customHeight="1" s="5">
      <c r="C538" s="7" t="n"/>
      <c r="E538" s="7" t="n"/>
      <c r="F538" s="7" t="n"/>
      <c r="G538" s="7" t="n"/>
      <c r="K538" s="7" t="n"/>
    </row>
    <row r="539" ht="15" customHeight="1" s="5">
      <c r="C539" s="7" t="n"/>
      <c r="E539" s="7" t="n"/>
      <c r="F539" s="7" t="n"/>
      <c r="G539" s="7" t="n"/>
      <c r="K539" s="7" t="n"/>
    </row>
    <row r="540" ht="15" customHeight="1" s="5">
      <c r="C540" s="7" t="n"/>
      <c r="E540" s="7" t="n"/>
      <c r="F540" s="7" t="n"/>
      <c r="G540" s="7" t="n"/>
      <c r="K540" s="7" t="n"/>
    </row>
    <row r="541" ht="15" customHeight="1" s="5">
      <c r="C541" s="7" t="n"/>
      <c r="E541" s="7" t="n"/>
      <c r="F541" s="7" t="n"/>
      <c r="G541" s="7" t="n"/>
      <c r="K541" s="7" t="n"/>
    </row>
    <row r="542" ht="15" customHeight="1" s="5">
      <c r="C542" s="7" t="n"/>
      <c r="E542" s="7" t="n"/>
      <c r="F542" s="7" t="n"/>
      <c r="G542" s="7" t="n"/>
      <c r="K542" s="7" t="n"/>
    </row>
    <row r="543" ht="15" customHeight="1" s="5">
      <c r="C543" s="7" t="n"/>
      <c r="E543" s="7" t="n"/>
      <c r="F543" s="7" t="n"/>
      <c r="G543" s="7" t="n"/>
      <c r="K543" s="7" t="n"/>
    </row>
    <row r="544" ht="15" customHeight="1" s="5">
      <c r="C544" s="7" t="n"/>
      <c r="E544" s="7" t="n"/>
      <c r="F544" s="7" t="n"/>
      <c r="G544" s="7" t="n"/>
      <c r="K544" s="7" t="n"/>
    </row>
    <row r="545" ht="15" customHeight="1" s="5">
      <c r="C545" s="7" t="n"/>
      <c r="E545" s="7" t="n"/>
      <c r="F545" s="7" t="n"/>
      <c r="G545" s="7" t="n"/>
      <c r="K545" s="7" t="n"/>
    </row>
    <row r="546" ht="15" customHeight="1" s="5">
      <c r="C546" s="7" t="n"/>
      <c r="E546" s="7" t="n"/>
      <c r="F546" s="7" t="n"/>
      <c r="G546" s="7" t="n"/>
      <c r="K546" s="7" t="n"/>
    </row>
    <row r="547" ht="15" customHeight="1" s="5">
      <c r="C547" s="7" t="n"/>
      <c r="E547" s="7" t="n"/>
      <c r="F547" s="7" t="n"/>
      <c r="G547" s="7" t="n"/>
      <c r="K547" s="7" t="n"/>
    </row>
    <row r="548" ht="15" customHeight="1" s="5">
      <c r="C548" s="7" t="n"/>
      <c r="E548" s="7" t="n"/>
      <c r="F548" s="7" t="n"/>
      <c r="G548" s="7" t="n"/>
      <c r="K548" s="7" t="n"/>
    </row>
    <row r="549" ht="15" customHeight="1" s="5">
      <c r="C549" s="7" t="n"/>
      <c r="E549" s="7" t="n"/>
      <c r="F549" s="7" t="n"/>
      <c r="G549" s="7" t="n"/>
      <c r="K549" s="7" t="n"/>
    </row>
    <row r="550" ht="15" customHeight="1" s="5">
      <c r="C550" s="7" t="n"/>
      <c r="E550" s="7" t="n"/>
      <c r="F550" s="7" t="n"/>
      <c r="G550" s="7" t="n"/>
      <c r="K550" s="7" t="n"/>
    </row>
    <row r="551" ht="15" customHeight="1" s="5">
      <c r="C551" s="7" t="n"/>
      <c r="E551" s="7" t="n"/>
      <c r="F551" s="7" t="n"/>
      <c r="G551" s="7" t="n"/>
      <c r="K551" s="7" t="n"/>
    </row>
    <row r="552" ht="15" customHeight="1" s="5">
      <c r="C552" s="7" t="n"/>
      <c r="E552" s="7" t="n"/>
      <c r="F552" s="7" t="n"/>
      <c r="G552" s="7" t="n"/>
      <c r="K552" s="7" t="n"/>
    </row>
    <row r="553" ht="15" customHeight="1" s="5">
      <c r="C553" s="7" t="n"/>
      <c r="E553" s="7" t="n"/>
      <c r="F553" s="7" t="n"/>
      <c r="G553" s="7" t="n"/>
      <c r="K553" s="7" t="n"/>
    </row>
    <row r="554" ht="15" customHeight="1" s="5">
      <c r="C554" s="7" t="n"/>
      <c r="E554" s="7" t="n"/>
      <c r="F554" s="7" t="n"/>
      <c r="G554" s="7" t="n"/>
      <c r="K554" s="7" t="n"/>
    </row>
    <row r="555" ht="15" customHeight="1" s="5">
      <c r="C555" s="7" t="n"/>
      <c r="E555" s="7" t="n"/>
      <c r="F555" s="7" t="n"/>
      <c r="G555" s="7" t="n"/>
      <c r="K555" s="7" t="n"/>
    </row>
    <row r="556" ht="15" customHeight="1" s="5">
      <c r="C556" s="7" t="n"/>
      <c r="E556" s="7" t="n"/>
      <c r="F556" s="7" t="n"/>
      <c r="G556" s="7" t="n"/>
      <c r="K556" s="7" t="n"/>
    </row>
    <row r="557" ht="15" customHeight="1" s="5">
      <c r="C557" s="7" t="n"/>
      <c r="E557" s="7" t="n"/>
      <c r="F557" s="7" t="n"/>
      <c r="G557" s="7" t="n"/>
      <c r="K557" s="7" t="n"/>
    </row>
    <row r="558" ht="15" customHeight="1" s="5">
      <c r="C558" s="7" t="n"/>
      <c r="E558" s="7" t="n"/>
      <c r="F558" s="7" t="n"/>
      <c r="G558" s="7" t="n"/>
      <c r="K558" s="7" t="n"/>
    </row>
    <row r="559" ht="15" customHeight="1" s="5">
      <c r="C559" s="7" t="n"/>
      <c r="E559" s="7" t="n"/>
      <c r="F559" s="7" t="n"/>
      <c r="G559" s="7" t="n"/>
      <c r="K559" s="7" t="n"/>
    </row>
    <row r="560" ht="15" customHeight="1" s="5">
      <c r="C560" s="7" t="n"/>
      <c r="E560" s="7" t="n"/>
      <c r="F560" s="7" t="n"/>
      <c r="G560" s="7" t="n"/>
      <c r="K560" s="7" t="n"/>
    </row>
    <row r="561" ht="15" customHeight="1" s="5">
      <c r="C561" s="7" t="n"/>
      <c r="E561" s="7" t="n"/>
      <c r="F561" s="7" t="n"/>
      <c r="G561" s="7" t="n"/>
      <c r="K561" s="7" t="n"/>
    </row>
    <row r="562" ht="15" customHeight="1" s="5">
      <c r="C562" s="7" t="n"/>
      <c r="E562" s="7" t="n"/>
      <c r="F562" s="7" t="n"/>
      <c r="G562" s="7" t="n"/>
      <c r="K562" s="7" t="n"/>
    </row>
    <row r="563" ht="15" customHeight="1" s="5">
      <c r="C563" s="7" t="n"/>
      <c r="E563" s="7" t="n"/>
      <c r="F563" s="7" t="n"/>
      <c r="G563" s="7" t="n"/>
      <c r="K563" s="7" t="n"/>
    </row>
    <row r="564" ht="15" customHeight="1" s="5">
      <c r="C564" s="7" t="n"/>
      <c r="E564" s="7" t="n"/>
      <c r="F564" s="7" t="n"/>
      <c r="G564" s="7" t="n"/>
      <c r="K564" s="7" t="n"/>
    </row>
    <row r="565" ht="15" customHeight="1" s="5">
      <c r="C565" s="7" t="n"/>
      <c r="E565" s="7" t="n"/>
      <c r="F565" s="7" t="n"/>
      <c r="G565" s="7" t="n"/>
      <c r="K565" s="7" t="n"/>
    </row>
    <row r="566" ht="15" customHeight="1" s="5">
      <c r="C566" s="7" t="n"/>
      <c r="E566" s="7" t="n"/>
      <c r="F566" s="7" t="n"/>
      <c r="G566" s="7" t="n"/>
      <c r="K566" s="7" t="n"/>
    </row>
    <row r="567" ht="15" customHeight="1" s="5">
      <c r="C567" s="7" t="n"/>
      <c r="E567" s="7" t="n"/>
      <c r="F567" s="7" t="n"/>
      <c r="G567" s="7" t="n"/>
      <c r="K567" s="7" t="n"/>
    </row>
    <row r="568" ht="15" customHeight="1" s="5">
      <c r="C568" s="7" t="n"/>
      <c r="E568" s="7" t="n"/>
      <c r="F568" s="7" t="n"/>
      <c r="G568" s="7" t="n"/>
      <c r="K568" s="7" t="n"/>
    </row>
    <row r="569" ht="15" customHeight="1" s="5">
      <c r="C569" s="7" t="n"/>
      <c r="E569" s="7" t="n"/>
      <c r="F569" s="7" t="n"/>
      <c r="G569" s="7" t="n"/>
      <c r="K569" s="7" t="n"/>
    </row>
    <row r="570" ht="15" customHeight="1" s="5">
      <c r="C570" s="7" t="n"/>
      <c r="E570" s="7" t="n"/>
      <c r="F570" s="7" t="n"/>
      <c r="G570" s="7" t="n"/>
      <c r="K570" s="7" t="n"/>
    </row>
    <row r="571" ht="15" customHeight="1" s="5">
      <c r="C571" s="7" t="n"/>
      <c r="E571" s="7" t="n"/>
      <c r="F571" s="7" t="n"/>
      <c r="G571" s="7" t="n"/>
      <c r="K571" s="7" t="n"/>
    </row>
    <row r="572" ht="15" customHeight="1" s="5">
      <c r="C572" s="7" t="n"/>
      <c r="E572" s="7" t="n"/>
      <c r="F572" s="7" t="n"/>
      <c r="G572" s="7" t="n"/>
      <c r="K572" s="7" t="n"/>
    </row>
    <row r="573" ht="15" customHeight="1" s="5">
      <c r="C573" s="7" t="n"/>
      <c r="E573" s="7" t="n"/>
      <c r="F573" s="7" t="n"/>
      <c r="G573" s="7" t="n"/>
      <c r="K573" s="7" t="n"/>
    </row>
    <row r="574" ht="15" customHeight="1" s="5">
      <c r="C574" s="7" t="n"/>
      <c r="E574" s="7" t="n"/>
      <c r="F574" s="7" t="n"/>
      <c r="G574" s="7" t="n"/>
      <c r="K574" s="7" t="n"/>
    </row>
    <row r="575" ht="15" customHeight="1" s="5">
      <c r="C575" s="7" t="n"/>
      <c r="E575" s="7" t="n"/>
      <c r="F575" s="7" t="n"/>
      <c r="G575" s="7" t="n"/>
      <c r="K575" s="7" t="n"/>
    </row>
    <row r="576" ht="15" customHeight="1" s="5">
      <c r="C576" s="7" t="n"/>
      <c r="E576" s="7" t="n"/>
      <c r="F576" s="7" t="n"/>
      <c r="G576" s="7" t="n"/>
      <c r="K576" s="7" t="n"/>
    </row>
    <row r="577" ht="15" customHeight="1" s="5">
      <c r="C577" s="7" t="n"/>
      <c r="E577" s="7" t="n"/>
      <c r="F577" s="7" t="n"/>
      <c r="G577" s="7" t="n"/>
      <c r="K577" s="7" t="n"/>
    </row>
    <row r="578" ht="15" customHeight="1" s="5">
      <c r="C578" s="7" t="n"/>
      <c r="E578" s="7" t="n"/>
      <c r="F578" s="7" t="n"/>
      <c r="G578" s="7" t="n"/>
      <c r="K578" s="7" t="n"/>
    </row>
    <row r="579" ht="15" customHeight="1" s="5">
      <c r="C579" s="7" t="n"/>
      <c r="E579" s="7" t="n"/>
      <c r="F579" s="7" t="n"/>
      <c r="G579" s="7" t="n"/>
      <c r="K579" s="7" t="n"/>
    </row>
    <row r="580" ht="15" customHeight="1" s="5">
      <c r="C580" s="7" t="n"/>
      <c r="E580" s="7" t="n"/>
      <c r="F580" s="7" t="n"/>
      <c r="G580" s="7" t="n"/>
      <c r="K580" s="7" t="n"/>
    </row>
    <row r="581" ht="15" customHeight="1" s="5">
      <c r="C581" s="7" t="n"/>
      <c r="E581" s="7" t="n"/>
      <c r="F581" s="7" t="n"/>
      <c r="G581" s="7" t="n"/>
      <c r="K581" s="7" t="n"/>
    </row>
  </sheetData>
  <dataValidations count="10">
    <dataValidation sqref="C2:C581" showDropDown="0" showInputMessage="0" showErrorMessage="0" allowBlank="1" errorTitle="Not in Config list" error="Value not in Config; will still be saved." promptTitle="RAID Type" prompt="Pick from Config → RAID Type" type="list" errorStyle="warning" operator="between">
      <formula1>"Risk,Issue,Assumption,Dependency"</formula1>
      <formula2>0</formula2>
    </dataValidation>
    <dataValidation sqref="E2:E581" showDropDown="0" showInputMessage="0" showErrorMessage="0" allowBlank="1" errorTitle="Not in Config list" error="Value not in Config; will still be saved." promptTitle="Risk Probability" prompt="Pick from Config → Risk Probability" type="list" errorStyle="warning" operator="between">
      <formula1>"Low,Medium,High"</formula1>
      <formula2>0</formula2>
    </dataValidation>
    <dataValidation sqref="F2:F581" showDropDown="0" showInputMessage="0" showErrorMessage="0" allowBlank="1" errorTitle="Not in Config list" error="Value not in Config; will still be saved." promptTitle="Risk Impact" prompt="Pick from Config → Risk Impact" type="list" errorStyle="warning" operator="between">
      <formula1>"Low,Medium,High,Critical"</formula1>
      <formula2>0</formula2>
    </dataValidation>
    <dataValidation sqref="G2:G581" showDropDown="0" showInputMessage="0" showErrorMessage="0" allowBlank="1" errorTitle="Not in Config list" error="Value not in Config; will still be saved." promptTitle="RAG" prompt="Pick from Config → RAG" type="list" errorStyle="warning" operator="between">
      <formula1>"Green,Amber,Red"</formula1>
      <formula2>0</formula2>
    </dataValidation>
    <dataValidation sqref="K2:K581" showDropDown="0" showInputMessage="0" showErrorMessage="0" allowBlank="1" errorTitle="Not in Config list" error="Value not in Config; will still be saved." promptTitle="Action Status" prompt="Pick from Config → Action Status" type="list" errorStyle="warning" operator="between">
      <formula1>"Open,In Progress,Complete,Overdue"</formula1>
      <formula2>0</formula2>
    </dataValidation>
    <dataValidation sqref="C2:C1081" showDropDown="0" showInputMessage="0" showErrorMessage="0" allowBlank="1" errorTitle="Not in Config list" error="Value not in Config; will still be saved." promptTitle="RAID Type" prompt="Pick from Config → RAID Type" type="list" errorStyle="warning">
      <formula1>"Risk,Issue,Assumption,Dependency"</formula1>
    </dataValidation>
    <dataValidation sqref="E2:E1081" showDropDown="0" showInputMessage="0" showErrorMessage="0" allowBlank="1" errorTitle="Not in Config list" error="Value not in Config; will still be saved." promptTitle="Risk Probability" prompt="Pick from Config → Risk Probability" type="list" errorStyle="warning">
      <formula1>"Low,Medium,High"</formula1>
    </dataValidation>
    <dataValidation sqref="F2:F1081" showDropDown="0" showInputMessage="0" showErrorMessage="0" allowBlank="1" errorTitle="Not in Config list" error="Value not in Config; will still be saved." promptTitle="Risk Impact" prompt="Pick from Config → Risk Impact" type="list" errorStyle="warning">
      <formula1>"Low,Medium,High,Critical"</formula1>
    </dataValidation>
    <dataValidation sqref="G2:G1081" showDropDown="0" showInputMessage="0" showErrorMessage="0" allowBlank="1" errorTitle="Not in Config list" error="Value not in Config; will still be saved." promptTitle="RAG" prompt="Pick from Config → RAG" type="list" errorStyle="warning">
      <formula1>"Green,Amber,Red"</formula1>
    </dataValidation>
    <dataValidation sqref="K2:K1081" showDropDown="0" showInputMessage="0" showErrorMessage="0" allowBlank="1" errorTitle="Not in Config list" error="Value not in Config; will still be saved." promptTitle="Action Status" prompt="Pick from Config → Action Status" type="list" errorStyle="warning">
      <formula1>"Open,In Progress,Complete,Overdue"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O8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hidden="1" width="13" customWidth="1" style="7" min="15" max="15"/>
  </cols>
  <sheetData>
    <row r="1" ht="15" customHeight="1" s="5">
      <c r="A1" s="6" t="inlineStr">
        <is>
          <t>Project ID</t>
        </is>
      </c>
      <c r="B1" s="6" t="inlineStr">
        <is>
          <t>Project Name</t>
        </is>
      </c>
      <c r="C1" s="6" t="inlineStr">
        <is>
          <t>Governance Channel</t>
        </is>
      </c>
      <c r="D1" s="6" t="inlineStr">
        <is>
          <t>Stage</t>
        </is>
      </c>
      <c r="E1" s="6" t="inlineStr">
        <is>
          <t>Next Gate</t>
        </is>
      </c>
      <c r="F1" s="6" t="inlineStr">
        <is>
          <t>Gate Status</t>
        </is>
      </c>
      <c r="G1" s="6" t="inlineStr">
        <is>
          <t>Status</t>
        </is>
      </c>
      <c r="H1" s="6" t="inlineStr">
        <is>
          <t>Gate Owner</t>
        </is>
      </c>
      <c r="I1" s="6" t="inlineStr">
        <is>
          <t>Planned Gate Date</t>
        </is>
      </c>
      <c r="J1" s="6" t="inlineStr">
        <is>
          <t>Actual Gate Date</t>
        </is>
      </c>
      <c r="K1" s="6" t="inlineStr">
        <is>
          <t>Gate Outcome</t>
        </is>
      </c>
      <c r="L1" s="6" t="inlineStr">
        <is>
          <t>Gate Comments</t>
        </is>
      </c>
      <c r="M1" s="6" t="inlineStr">
        <is>
          <t>Checklist Complete %</t>
        </is>
      </c>
      <c r="N1" s="6" t="inlineStr">
        <is>
          <t>Days Late</t>
        </is>
      </c>
      <c r="O1" s="6" t="inlineStr">
        <is>
          <t>_Key</t>
        </is>
      </c>
    </row>
    <row r="2" ht="15" customHeight="1" s="5">
      <c r="A2" s="7" t="inlineStr">
        <is>
          <t>PRJ001</t>
        </is>
      </c>
      <c r="B2" s="7">
        <f>IFERROR(VLOOKUP(A2,Projects!$A:$AK,2,FALSE()),"")</f>
        <v/>
      </c>
      <c r="C2" s="7">
        <f>IFERROR(VLOOKUP(A2,Projects!$A:$AK,14,FALSE()),"")</f>
        <v/>
      </c>
      <c r="D2" s="7" t="inlineStr">
        <is>
          <t>Discovery</t>
        </is>
      </c>
      <c r="E2" s="7">
        <f>IFERROR(INDEX(_Stages!$A$1:$A$8,MIN(MATCH(D2,_Stages!$A$1:$A$8,0)+1,8)),"")</f>
        <v/>
      </c>
      <c r="F2" s="7" t="inlineStr">
        <is>
          <t>Approved</t>
        </is>
      </c>
      <c r="G2" s="7" t="inlineStr">
        <is>
          <t>Complete</t>
        </is>
      </c>
      <c r="H2" s="7" t="inlineStr">
        <is>
          <t>CTO</t>
        </is>
      </c>
      <c r="I2" s="8" t="n">
        <v>45702</v>
      </c>
      <c r="J2" s="8" t="n">
        <v>45717</v>
      </c>
      <c r="K2" s="7" t="inlineStr">
        <is>
          <t>Conditional</t>
        </is>
      </c>
      <c r="L2" s="7" t="inlineStr">
        <is>
          <t>Approved with conditions</t>
        </is>
      </c>
      <c r="M2" s="7" t="n">
        <v>100</v>
      </c>
      <c r="N2" s="7" t="n">
        <v>15</v>
      </c>
      <c r="O2" s="7">
        <f>A2&amp;"|"&amp;D2</f>
        <v/>
      </c>
    </row>
    <row r="3" ht="15" customHeight="1" s="5">
      <c r="A3" s="7" t="inlineStr">
        <is>
          <t>PRJ001</t>
        </is>
      </c>
      <c r="B3" s="7">
        <f>IFERROR(VLOOKUP(A3,Projects!$A:$AK,2,FALSE()),"")</f>
        <v/>
      </c>
      <c r="C3" s="7">
        <f>IFERROR(VLOOKUP(A3,Projects!$A:$AK,14,FALSE()),"")</f>
        <v/>
      </c>
      <c r="D3" s="7" t="inlineStr">
        <is>
          <t>Business Case / Seed Funding</t>
        </is>
      </c>
      <c r="E3" s="7">
        <f>IFERROR(INDEX(_Stages!$A$1:$A$8,MIN(MATCH(D3,_Stages!$A$1:$A$8,0)+1,8)),"")</f>
        <v/>
      </c>
      <c r="F3" s="7" t="inlineStr">
        <is>
          <t>Pending Approval</t>
        </is>
      </c>
      <c r="G3" s="7" t="inlineStr">
        <is>
          <t>In Progress</t>
        </is>
      </c>
      <c r="H3" s="7" t="inlineStr">
        <is>
          <t>CTO</t>
        </is>
      </c>
      <c r="I3" s="8" t="n">
        <v>45762</v>
      </c>
      <c r="L3" s="7" t="inlineStr">
        <is>
          <t>Awaiting sponsor sign-off</t>
        </is>
      </c>
      <c r="M3" s="7" t="n">
        <v>89</v>
      </c>
      <c r="N3" s="7" t="n">
        <v>0</v>
      </c>
      <c r="O3" s="7">
        <f>A3&amp;"|"&amp;D3</f>
        <v/>
      </c>
    </row>
    <row r="4" ht="15" customHeight="1" s="5">
      <c r="A4" s="7" t="inlineStr">
        <is>
          <t>PRJ001</t>
        </is>
      </c>
      <c r="B4" s="7">
        <f>IFERROR(VLOOKUP(A4,Projects!$A:$AK,2,FALSE()),"")</f>
        <v/>
      </c>
      <c r="C4" s="7">
        <f>IFERROR(VLOOKUP(A4,Projects!$A:$AK,14,FALSE()),"")</f>
        <v/>
      </c>
      <c r="D4" s="7" t="inlineStr">
        <is>
          <t>Design</t>
        </is>
      </c>
      <c r="E4" s="7">
        <f>IFERROR(INDEX(_Stages!$A$1:$A$8,MIN(MATCH(D4,_Stages!$A$1:$A$8,0)+1,8)),"")</f>
        <v/>
      </c>
      <c r="F4" s="7" t="inlineStr">
        <is>
          <t>Not Started</t>
        </is>
      </c>
      <c r="G4" s="7" t="inlineStr">
        <is>
          <t>Not Started</t>
        </is>
      </c>
      <c r="H4" s="7" t="inlineStr">
        <is>
          <t>CTO</t>
        </is>
      </c>
      <c r="I4" s="8" t="n">
        <v>45822</v>
      </c>
      <c r="L4" s="7" t="inlineStr">
        <is>
          <t>On track</t>
        </is>
      </c>
      <c r="M4" s="7" t="n">
        <v>0</v>
      </c>
      <c r="N4" s="7" t="n">
        <v>0</v>
      </c>
      <c r="O4" s="7">
        <f>A4&amp;"|"&amp;D4</f>
        <v/>
      </c>
    </row>
    <row r="5" ht="15" customHeight="1" s="5">
      <c r="A5" s="7" t="inlineStr">
        <is>
          <t>PRJ001</t>
        </is>
      </c>
      <c r="B5" s="7">
        <f>IFERROR(VLOOKUP(A5,Projects!$A:$AK,2,FALSE()),"")</f>
        <v/>
      </c>
      <c r="C5" s="7">
        <f>IFERROR(VLOOKUP(A5,Projects!$A:$AK,14,FALSE()),"")</f>
        <v/>
      </c>
      <c r="D5" s="7" t="inlineStr">
        <is>
          <t>Business Case / Full Funding</t>
        </is>
      </c>
      <c r="E5" s="7">
        <f>IFERROR(INDEX(_Stages!$A$1:$A$8,MIN(MATCH(D5,_Stages!$A$1:$A$8,0)+1,8)),"")</f>
        <v/>
      </c>
      <c r="F5" s="7" t="inlineStr">
        <is>
          <t>Not Started</t>
        </is>
      </c>
      <c r="G5" s="7" t="inlineStr">
        <is>
          <t>Not Started</t>
        </is>
      </c>
      <c r="H5" s="7" t="inlineStr">
        <is>
          <t>CTO</t>
        </is>
      </c>
      <c r="I5" s="8" t="n">
        <v>45882</v>
      </c>
      <c r="L5" s="7" t="inlineStr">
        <is>
          <t>Awaiting sponsor sign-off</t>
        </is>
      </c>
      <c r="M5" s="7" t="n">
        <v>0</v>
      </c>
      <c r="N5" s="7" t="n">
        <v>0</v>
      </c>
      <c r="O5" s="7">
        <f>A5&amp;"|"&amp;D5</f>
        <v/>
      </c>
    </row>
    <row r="6" ht="15" customHeight="1" s="5">
      <c r="A6" s="7" t="inlineStr">
        <is>
          <t>PRJ001</t>
        </is>
      </c>
      <c r="B6" s="7">
        <f>IFERROR(VLOOKUP(A6,Projects!$A:$AK,2,FALSE()),"")</f>
        <v/>
      </c>
      <c r="C6" s="7">
        <f>IFERROR(VLOOKUP(A6,Projects!$A:$AK,14,FALSE()),"")</f>
        <v/>
      </c>
      <c r="D6" s="7" t="inlineStr">
        <is>
          <t>Build</t>
        </is>
      </c>
      <c r="E6" s="7">
        <f>IFERROR(INDEX(_Stages!$A$1:$A$8,MIN(MATCH(D6,_Stages!$A$1:$A$8,0)+1,8)),"")</f>
        <v/>
      </c>
      <c r="F6" s="7" t="inlineStr">
        <is>
          <t>Not Started</t>
        </is>
      </c>
      <c r="G6" s="7" t="inlineStr">
        <is>
          <t>Not Started</t>
        </is>
      </c>
      <c r="H6" s="7" t="inlineStr">
        <is>
          <t>CTO</t>
        </is>
      </c>
      <c r="I6" s="8" t="n">
        <v>45942</v>
      </c>
      <c r="L6" s="7" t="inlineStr">
        <is>
          <t>Awaiting sponsor sign-off</t>
        </is>
      </c>
      <c r="M6" s="7" t="n">
        <v>0</v>
      </c>
      <c r="N6" s="7" t="n">
        <v>0</v>
      </c>
      <c r="O6" s="7">
        <f>A6&amp;"|"&amp;D6</f>
        <v/>
      </c>
    </row>
    <row r="7" ht="15" customHeight="1" s="5">
      <c r="A7" s="7" t="inlineStr">
        <is>
          <t>PRJ001</t>
        </is>
      </c>
      <c r="B7" s="7">
        <f>IFERROR(VLOOKUP(A7,Projects!$A:$AK,2,FALSE()),"")</f>
        <v/>
      </c>
      <c r="C7" s="7">
        <f>IFERROR(VLOOKUP(A7,Projects!$A:$AK,14,FALSE()),"")</f>
        <v/>
      </c>
      <c r="D7" s="7" t="inlineStr">
        <is>
          <t>Testing</t>
        </is>
      </c>
      <c r="E7" s="7">
        <f>IFERROR(INDEX(_Stages!$A$1:$A$8,MIN(MATCH(D7,_Stages!$A$1:$A$8,0)+1,8)),"")</f>
        <v/>
      </c>
      <c r="F7" s="7" t="inlineStr">
        <is>
          <t>Not Started</t>
        </is>
      </c>
      <c r="G7" s="7" t="inlineStr">
        <is>
          <t>Not Started</t>
        </is>
      </c>
      <c r="H7" s="7" t="inlineStr">
        <is>
          <t>CTO</t>
        </is>
      </c>
      <c r="I7" s="8" t="n">
        <v>46002</v>
      </c>
      <c r="L7" s="7" t="inlineStr">
        <is>
          <t>On track</t>
        </is>
      </c>
      <c r="M7" s="7" t="n">
        <v>0</v>
      </c>
      <c r="N7" s="7" t="n">
        <v>0</v>
      </c>
      <c r="O7" s="7">
        <f>A7&amp;"|"&amp;D7</f>
        <v/>
      </c>
    </row>
    <row r="8" ht="15" customHeight="1" s="5">
      <c r="A8" s="7" t="inlineStr">
        <is>
          <t>PRJ001</t>
        </is>
      </c>
      <c r="B8" s="7">
        <f>IFERROR(VLOOKUP(A8,Projects!$A:$AK,2,FALSE()),"")</f>
        <v/>
      </c>
      <c r="C8" s="7">
        <f>IFERROR(VLOOKUP(A8,Projects!$A:$AK,14,FALSE()),"")</f>
        <v/>
      </c>
      <c r="D8" s="7" t="inlineStr">
        <is>
          <t>Deployment</t>
        </is>
      </c>
      <c r="E8" s="7">
        <f>IFERROR(INDEX(_Stages!$A$1:$A$8,MIN(MATCH(D8,_Stages!$A$1:$A$8,0)+1,8)),"")</f>
        <v/>
      </c>
      <c r="F8" s="7" t="inlineStr">
        <is>
          <t>Not Started</t>
        </is>
      </c>
      <c r="G8" s="7" t="inlineStr">
        <is>
          <t>Not Started</t>
        </is>
      </c>
      <c r="H8" s="7" t="inlineStr">
        <is>
          <t>CTO</t>
        </is>
      </c>
      <c r="I8" s="8" t="n">
        <v>46062</v>
      </c>
      <c r="M8" s="7" t="n">
        <v>0</v>
      </c>
      <c r="N8" s="7" t="n">
        <v>0</v>
      </c>
      <c r="O8" s="7">
        <f>A8&amp;"|"&amp;D8</f>
        <v/>
      </c>
    </row>
    <row r="9" ht="15" customHeight="1" s="5">
      <c r="A9" s="7" t="inlineStr">
        <is>
          <t>PRJ001</t>
        </is>
      </c>
      <c r="B9" s="7">
        <f>IFERROR(VLOOKUP(A9,Projects!$A:$AK,2,FALSE()),"")</f>
        <v/>
      </c>
      <c r="C9" s="7">
        <f>IFERROR(VLOOKUP(A9,Projects!$A:$AK,14,FALSE()),"")</f>
        <v/>
      </c>
      <c r="D9" s="7" t="inlineStr">
        <is>
          <t>Handover</t>
        </is>
      </c>
      <c r="E9" s="7">
        <f>IFERROR(INDEX(_Stages!$A$1:$A$8,MIN(MATCH(D9,_Stages!$A$1:$A$8,0)+1,8)),"")</f>
        <v/>
      </c>
      <c r="F9" s="7" t="inlineStr">
        <is>
          <t>Not Started</t>
        </is>
      </c>
      <c r="G9" s="7" t="inlineStr">
        <is>
          <t>Not Started</t>
        </is>
      </c>
      <c r="H9" s="7" t="inlineStr">
        <is>
          <t>CTO</t>
        </is>
      </c>
      <c r="I9" s="8" t="n">
        <v>46122</v>
      </c>
      <c r="L9" s="7" t="inlineStr">
        <is>
          <t>Awaiting sponsor sign-off</t>
        </is>
      </c>
      <c r="M9" s="7" t="n">
        <v>0</v>
      </c>
      <c r="N9" s="7" t="n">
        <v>0</v>
      </c>
      <c r="O9" s="7">
        <f>A9&amp;"|"&amp;D9</f>
        <v/>
      </c>
    </row>
    <row r="10" ht="15" customHeight="1" s="5">
      <c r="A10" s="7" t="inlineStr">
        <is>
          <t>PRJ002</t>
        </is>
      </c>
      <c r="B10" s="7">
        <f>IFERROR(VLOOKUP(A10,Projects!$A:$AK,2,FALSE()),"")</f>
        <v/>
      </c>
      <c r="C10" s="7">
        <f>IFERROR(VLOOKUP(A10,Projects!$A:$AK,14,FALSE()),"")</f>
        <v/>
      </c>
      <c r="D10" s="7" t="inlineStr">
        <is>
          <t>Discovery</t>
        </is>
      </c>
      <c r="E10" s="7">
        <f>IFERROR(INDEX(_Stages!$A$1:$A$8,MIN(MATCH(D10,_Stages!$A$1:$A$8,0)+1,8)),"")</f>
        <v/>
      </c>
      <c r="F10" s="7" t="inlineStr">
        <is>
          <t>Approved</t>
        </is>
      </c>
      <c r="G10" s="7" t="inlineStr">
        <is>
          <t>Complete</t>
        </is>
      </c>
      <c r="H10" s="7" t="inlineStr">
        <is>
          <t>COO</t>
        </is>
      </c>
      <c r="I10" s="8" t="n">
        <v>45737</v>
      </c>
      <c r="J10" s="8" t="n">
        <v>45745</v>
      </c>
      <c r="K10" s="7" t="inlineStr">
        <is>
          <t>Rework</t>
        </is>
      </c>
      <c r="L10" s="7" t="inlineStr">
        <is>
          <t>On track</t>
        </is>
      </c>
      <c r="M10" s="7" t="n">
        <v>100</v>
      </c>
      <c r="N10" s="7" t="n">
        <v>8</v>
      </c>
      <c r="O10" s="7">
        <f>A10&amp;"|"&amp;D10</f>
        <v/>
      </c>
    </row>
    <row r="11" ht="15" customHeight="1" s="5">
      <c r="A11" s="7" t="inlineStr">
        <is>
          <t>PRJ002</t>
        </is>
      </c>
      <c r="B11" s="7">
        <f>IFERROR(VLOOKUP(A11,Projects!$A:$AK,2,FALSE()),"")</f>
        <v/>
      </c>
      <c r="C11" s="7">
        <f>IFERROR(VLOOKUP(A11,Projects!$A:$AK,14,FALSE()),"")</f>
        <v/>
      </c>
      <c r="D11" s="7" t="inlineStr">
        <is>
          <t>Business Case / Seed Funding</t>
        </is>
      </c>
      <c r="E11" s="7">
        <f>IFERROR(INDEX(_Stages!$A$1:$A$8,MIN(MATCH(D11,_Stages!$A$1:$A$8,0)+1,8)),"")</f>
        <v/>
      </c>
      <c r="F11" s="7" t="inlineStr">
        <is>
          <t>Approved</t>
        </is>
      </c>
      <c r="G11" s="7" t="inlineStr">
        <is>
          <t>Complete</t>
        </is>
      </c>
      <c r="H11" s="7" t="inlineStr">
        <is>
          <t>COO</t>
        </is>
      </c>
      <c r="I11" s="8" t="n">
        <v>45797</v>
      </c>
      <c r="J11" s="8" t="n">
        <v>45784</v>
      </c>
      <c r="K11" s="7" t="inlineStr">
        <is>
          <t>Conditional</t>
        </is>
      </c>
      <c r="L11" s="7" t="inlineStr">
        <is>
          <t>Approved with conditions</t>
        </is>
      </c>
      <c r="M11" s="7" t="n">
        <v>100</v>
      </c>
      <c r="N11" s="7" t="n">
        <v>0</v>
      </c>
      <c r="O11" s="7">
        <f>A11&amp;"|"&amp;D11</f>
        <v/>
      </c>
    </row>
    <row r="12" ht="15" customHeight="1" s="5">
      <c r="A12" s="7" t="inlineStr">
        <is>
          <t>PRJ002</t>
        </is>
      </c>
      <c r="B12" s="7">
        <f>IFERROR(VLOOKUP(A12,Projects!$A:$AK,2,FALSE()),"")</f>
        <v/>
      </c>
      <c r="C12" s="7">
        <f>IFERROR(VLOOKUP(A12,Projects!$A:$AK,14,FALSE()),"")</f>
        <v/>
      </c>
      <c r="D12" s="7" t="inlineStr">
        <is>
          <t>Design</t>
        </is>
      </c>
      <c r="E12" s="7">
        <f>IFERROR(INDEX(_Stages!$A$1:$A$8,MIN(MATCH(D12,_Stages!$A$1:$A$8,0)+1,8)),"")</f>
        <v/>
      </c>
      <c r="F12" s="7" t="inlineStr">
        <is>
          <t>Approved</t>
        </is>
      </c>
      <c r="G12" s="7" t="inlineStr">
        <is>
          <t>Complete</t>
        </is>
      </c>
      <c r="H12" s="7" t="inlineStr">
        <is>
          <t>COO</t>
        </is>
      </c>
      <c r="I12" s="8" t="n">
        <v>45857</v>
      </c>
      <c r="J12" s="8" t="n">
        <v>45843</v>
      </c>
      <c r="K12" s="7" t="inlineStr">
        <is>
          <t>Rework</t>
        </is>
      </c>
      <c r="L12" s="7" t="inlineStr">
        <is>
          <t>On track</t>
        </is>
      </c>
      <c r="M12" s="7" t="n">
        <v>100</v>
      </c>
      <c r="N12" s="7" t="n">
        <v>0</v>
      </c>
      <c r="O12" s="7">
        <f>A12&amp;"|"&amp;D12</f>
        <v/>
      </c>
    </row>
    <row r="13" ht="15" customHeight="1" s="5">
      <c r="A13" s="7" t="inlineStr">
        <is>
          <t>PRJ002</t>
        </is>
      </c>
      <c r="B13" s="7">
        <f>IFERROR(VLOOKUP(A13,Projects!$A:$AK,2,FALSE()),"")</f>
        <v/>
      </c>
      <c r="C13" s="7">
        <f>IFERROR(VLOOKUP(A13,Projects!$A:$AK,14,FALSE()),"")</f>
        <v/>
      </c>
      <c r="D13" s="7" t="inlineStr">
        <is>
          <t>Business Case / Full Funding</t>
        </is>
      </c>
      <c r="E13" s="7">
        <f>IFERROR(INDEX(_Stages!$A$1:$A$8,MIN(MATCH(D13,_Stages!$A$1:$A$8,0)+1,8)),"")</f>
        <v/>
      </c>
      <c r="F13" s="7" t="inlineStr">
        <is>
          <t>Pending Approval</t>
        </is>
      </c>
      <c r="G13" s="7" t="inlineStr">
        <is>
          <t>In Progress</t>
        </is>
      </c>
      <c r="H13" s="7" t="inlineStr">
        <is>
          <t>COO</t>
        </is>
      </c>
      <c r="I13" s="8" t="n">
        <v>45917</v>
      </c>
      <c r="L13" s="7" t="inlineStr">
        <is>
          <t>Approved with conditions</t>
        </is>
      </c>
      <c r="M13" s="7" t="n">
        <v>61</v>
      </c>
      <c r="N13" s="7" t="n">
        <v>0</v>
      </c>
      <c r="O13" s="7">
        <f>A13&amp;"|"&amp;D13</f>
        <v/>
      </c>
    </row>
    <row r="14" ht="15" customHeight="1" s="5">
      <c r="A14" s="7" t="inlineStr">
        <is>
          <t>PRJ002</t>
        </is>
      </c>
      <c r="B14" s="7">
        <f>IFERROR(VLOOKUP(A14,Projects!$A:$AK,2,FALSE()),"")</f>
        <v/>
      </c>
      <c r="C14" s="7">
        <f>IFERROR(VLOOKUP(A14,Projects!$A:$AK,14,FALSE()),"")</f>
        <v/>
      </c>
      <c r="D14" s="7" t="inlineStr">
        <is>
          <t>Build</t>
        </is>
      </c>
      <c r="E14" s="7">
        <f>IFERROR(INDEX(_Stages!$A$1:$A$8,MIN(MATCH(D14,_Stages!$A$1:$A$8,0)+1,8)),"")</f>
        <v/>
      </c>
      <c r="F14" s="7" t="inlineStr">
        <is>
          <t>Not Started</t>
        </is>
      </c>
      <c r="G14" s="7" t="inlineStr">
        <is>
          <t>Not Started</t>
        </is>
      </c>
      <c r="H14" s="7" t="inlineStr">
        <is>
          <t>COO</t>
        </is>
      </c>
      <c r="I14" s="8" t="n">
        <v>45977</v>
      </c>
      <c r="L14" s="7" t="inlineStr">
        <is>
          <t>On track</t>
        </is>
      </c>
      <c r="M14" s="7" t="n">
        <v>0</v>
      </c>
      <c r="N14" s="7" t="n">
        <v>0</v>
      </c>
      <c r="O14" s="7">
        <f>A14&amp;"|"&amp;D14</f>
        <v/>
      </c>
    </row>
    <row r="15" ht="15" customHeight="1" s="5">
      <c r="A15" s="7" t="inlineStr">
        <is>
          <t>PRJ002</t>
        </is>
      </c>
      <c r="B15" s="7">
        <f>IFERROR(VLOOKUP(A15,Projects!$A:$AK,2,FALSE()),"")</f>
        <v/>
      </c>
      <c r="C15" s="7">
        <f>IFERROR(VLOOKUP(A15,Projects!$A:$AK,14,FALSE()),"")</f>
        <v/>
      </c>
      <c r="D15" s="7" t="inlineStr">
        <is>
          <t>Testing</t>
        </is>
      </c>
      <c r="E15" s="7">
        <f>IFERROR(INDEX(_Stages!$A$1:$A$8,MIN(MATCH(D15,_Stages!$A$1:$A$8,0)+1,8)),"")</f>
        <v/>
      </c>
      <c r="F15" s="7" t="inlineStr">
        <is>
          <t>Not Started</t>
        </is>
      </c>
      <c r="G15" s="7" t="inlineStr">
        <is>
          <t>Not Started</t>
        </is>
      </c>
      <c r="H15" s="7" t="inlineStr">
        <is>
          <t>COO</t>
        </is>
      </c>
      <c r="I15" s="8" t="n">
        <v>46037</v>
      </c>
      <c r="L15" s="7" t="inlineStr">
        <is>
          <t>Approved with conditions</t>
        </is>
      </c>
      <c r="M15" s="7" t="n">
        <v>0</v>
      </c>
      <c r="N15" s="7" t="n">
        <v>0</v>
      </c>
      <c r="O15" s="7">
        <f>A15&amp;"|"&amp;D15</f>
        <v/>
      </c>
    </row>
    <row r="16" ht="15" customHeight="1" s="5">
      <c r="A16" s="7" t="inlineStr">
        <is>
          <t>PRJ002</t>
        </is>
      </c>
      <c r="B16" s="7">
        <f>IFERROR(VLOOKUP(A16,Projects!$A:$AK,2,FALSE()),"")</f>
        <v/>
      </c>
      <c r="C16" s="7">
        <f>IFERROR(VLOOKUP(A16,Projects!$A:$AK,14,FALSE()),"")</f>
        <v/>
      </c>
      <c r="D16" s="7" t="inlineStr">
        <is>
          <t>Deployment</t>
        </is>
      </c>
      <c r="E16" s="7">
        <f>IFERROR(INDEX(_Stages!$A$1:$A$8,MIN(MATCH(D16,_Stages!$A$1:$A$8,0)+1,8)),"")</f>
        <v/>
      </c>
      <c r="F16" s="7" t="inlineStr">
        <is>
          <t>Not Started</t>
        </is>
      </c>
      <c r="G16" s="7" t="inlineStr">
        <is>
          <t>Not Started</t>
        </is>
      </c>
      <c r="H16" s="7" t="inlineStr">
        <is>
          <t>COO</t>
        </is>
      </c>
      <c r="I16" s="8" t="n">
        <v>46097</v>
      </c>
      <c r="L16" s="7" t="inlineStr">
        <is>
          <t>Awaiting sponsor sign-off</t>
        </is>
      </c>
      <c r="M16" s="7" t="n">
        <v>0</v>
      </c>
      <c r="N16" s="7" t="n">
        <v>0</v>
      </c>
      <c r="O16" s="7">
        <f>A16&amp;"|"&amp;D16</f>
        <v/>
      </c>
    </row>
    <row r="17" ht="15" customHeight="1" s="5">
      <c r="A17" s="7" t="inlineStr">
        <is>
          <t>PRJ002</t>
        </is>
      </c>
      <c r="B17" s="7">
        <f>IFERROR(VLOOKUP(A17,Projects!$A:$AK,2,FALSE()),"")</f>
        <v/>
      </c>
      <c r="C17" s="7">
        <f>IFERROR(VLOOKUP(A17,Projects!$A:$AK,14,FALSE()),"")</f>
        <v/>
      </c>
      <c r="D17" s="7" t="inlineStr">
        <is>
          <t>Handover</t>
        </is>
      </c>
      <c r="E17" s="7">
        <f>IFERROR(INDEX(_Stages!$A$1:$A$8,MIN(MATCH(D17,_Stages!$A$1:$A$8,0)+1,8)),"")</f>
        <v/>
      </c>
      <c r="F17" s="7" t="inlineStr">
        <is>
          <t>Not Started</t>
        </is>
      </c>
      <c r="G17" s="7" t="inlineStr">
        <is>
          <t>Not Started</t>
        </is>
      </c>
      <c r="H17" s="7" t="inlineStr">
        <is>
          <t>COO</t>
        </is>
      </c>
      <c r="I17" s="8" t="n">
        <v>46157</v>
      </c>
      <c r="L17" s="7" t="inlineStr">
        <is>
          <t>On track</t>
        </is>
      </c>
      <c r="M17" s="7" t="n">
        <v>0</v>
      </c>
      <c r="N17" s="7" t="n">
        <v>0</v>
      </c>
      <c r="O17" s="7">
        <f>A17&amp;"|"&amp;D17</f>
        <v/>
      </c>
    </row>
    <row r="18" ht="15" customHeight="1" s="5">
      <c r="A18" s="7" t="inlineStr">
        <is>
          <t>PRJ003</t>
        </is>
      </c>
      <c r="B18" s="7">
        <f>IFERROR(VLOOKUP(A18,Projects!$A:$AK,2,FALSE()),"")</f>
        <v/>
      </c>
      <c r="C18" s="7">
        <f>IFERROR(VLOOKUP(A18,Projects!$A:$AK,14,FALSE()),"")</f>
        <v/>
      </c>
      <c r="D18" s="7" t="inlineStr">
        <is>
          <t>Discovery</t>
        </is>
      </c>
      <c r="E18" s="7">
        <f>IFERROR(INDEX(_Stages!$A$1:$A$8,MIN(MATCH(D18,_Stages!$A$1:$A$8,0)+1,8)),"")</f>
        <v/>
      </c>
      <c r="F18" s="7" t="inlineStr">
        <is>
          <t>Approved</t>
        </is>
      </c>
      <c r="G18" s="7" t="inlineStr">
        <is>
          <t>Complete</t>
        </is>
      </c>
      <c r="H18" s="7" t="inlineStr">
        <is>
          <t>CFO</t>
        </is>
      </c>
      <c r="I18" s="8" t="n">
        <v>45756</v>
      </c>
      <c r="J18" s="8" t="n">
        <v>45770</v>
      </c>
      <c r="K18" s="7" t="inlineStr">
        <is>
          <t>Conditional</t>
        </is>
      </c>
      <c r="L18" s="7" t="inlineStr">
        <is>
          <t>Awaiting sponsor sign-off</t>
        </is>
      </c>
      <c r="M18" s="7" t="n">
        <v>100</v>
      </c>
      <c r="N18" s="7" t="n">
        <v>14</v>
      </c>
      <c r="O18" s="7">
        <f>A18&amp;"|"&amp;D18</f>
        <v/>
      </c>
    </row>
    <row r="19" ht="15" customHeight="1" s="5">
      <c r="A19" s="7" t="inlineStr">
        <is>
          <t>PRJ003</t>
        </is>
      </c>
      <c r="B19" s="7">
        <f>IFERROR(VLOOKUP(A19,Projects!$A:$AK,2,FALSE()),"")</f>
        <v/>
      </c>
      <c r="C19" s="7">
        <f>IFERROR(VLOOKUP(A19,Projects!$A:$AK,14,FALSE()),"")</f>
        <v/>
      </c>
      <c r="D19" s="7" t="inlineStr">
        <is>
          <t>Business Case / Seed Funding</t>
        </is>
      </c>
      <c r="E19" s="7">
        <f>IFERROR(INDEX(_Stages!$A$1:$A$8,MIN(MATCH(D19,_Stages!$A$1:$A$8,0)+1,8)),"")</f>
        <v/>
      </c>
      <c r="F19" s="7" t="inlineStr">
        <is>
          <t>Approved</t>
        </is>
      </c>
      <c r="G19" s="7" t="inlineStr">
        <is>
          <t>Complete</t>
        </is>
      </c>
      <c r="H19" s="7" t="inlineStr">
        <is>
          <t>CFO</t>
        </is>
      </c>
      <c r="I19" s="8" t="n">
        <v>45816</v>
      </c>
      <c r="J19" s="8" t="n">
        <v>45811</v>
      </c>
      <c r="K19" s="7" t="inlineStr">
        <is>
          <t>Conditional</t>
        </is>
      </c>
      <c r="L19" s="7" t="inlineStr">
        <is>
          <t>On track</t>
        </is>
      </c>
      <c r="M19" s="7" t="n">
        <v>100</v>
      </c>
      <c r="N19" s="7" t="n">
        <v>0</v>
      </c>
      <c r="O19" s="7">
        <f>A19&amp;"|"&amp;D19</f>
        <v/>
      </c>
    </row>
    <row r="20" ht="15" customHeight="1" s="5">
      <c r="A20" s="7" t="inlineStr">
        <is>
          <t>PRJ003</t>
        </is>
      </c>
      <c r="B20" s="7">
        <f>IFERROR(VLOOKUP(A20,Projects!$A:$AK,2,FALSE()),"")</f>
        <v/>
      </c>
      <c r="C20" s="7">
        <f>IFERROR(VLOOKUP(A20,Projects!$A:$AK,14,FALSE()),"")</f>
        <v/>
      </c>
      <c r="D20" s="7" t="inlineStr">
        <is>
          <t>Design</t>
        </is>
      </c>
      <c r="E20" s="7">
        <f>IFERROR(INDEX(_Stages!$A$1:$A$8,MIN(MATCH(D20,_Stages!$A$1:$A$8,0)+1,8)),"")</f>
        <v/>
      </c>
      <c r="F20" s="7" t="inlineStr">
        <is>
          <t>Approved</t>
        </is>
      </c>
      <c r="G20" s="7" t="inlineStr">
        <is>
          <t>Complete</t>
        </is>
      </c>
      <c r="H20" s="7" t="inlineStr">
        <is>
          <t>CFO</t>
        </is>
      </c>
      <c r="I20" s="8" t="n">
        <v>45876</v>
      </c>
      <c r="J20" s="8" t="n">
        <v>45872</v>
      </c>
      <c r="K20" s="7" t="inlineStr">
        <is>
          <t>Proceed</t>
        </is>
      </c>
      <c r="M20" s="7" t="n">
        <v>100</v>
      </c>
      <c r="N20" s="7" t="n">
        <v>0</v>
      </c>
      <c r="O20" s="7">
        <f>A20&amp;"|"&amp;D20</f>
        <v/>
      </c>
    </row>
    <row r="21" ht="15" customHeight="1" s="5">
      <c r="A21" s="7" t="inlineStr">
        <is>
          <t>PRJ003</t>
        </is>
      </c>
      <c r="B21" s="7">
        <f>IFERROR(VLOOKUP(A21,Projects!$A:$AK,2,FALSE()),"")</f>
        <v/>
      </c>
      <c r="C21" s="7">
        <f>IFERROR(VLOOKUP(A21,Projects!$A:$AK,14,FALSE()),"")</f>
        <v/>
      </c>
      <c r="D21" s="7" t="inlineStr">
        <is>
          <t>Business Case / Full Funding</t>
        </is>
      </c>
      <c r="E21" s="7">
        <f>IFERROR(INDEX(_Stages!$A$1:$A$8,MIN(MATCH(D21,_Stages!$A$1:$A$8,0)+1,8)),"")</f>
        <v/>
      </c>
      <c r="F21" s="7" t="inlineStr">
        <is>
          <t>Approved</t>
        </is>
      </c>
      <c r="G21" s="7" t="inlineStr">
        <is>
          <t>Complete</t>
        </is>
      </c>
      <c r="H21" s="7" t="inlineStr">
        <is>
          <t>CFO</t>
        </is>
      </c>
      <c r="I21" s="8" t="n">
        <v>45936</v>
      </c>
      <c r="J21" s="8" t="n">
        <v>45925</v>
      </c>
      <c r="K21" s="7" t="inlineStr">
        <is>
          <t>Proceed</t>
        </is>
      </c>
      <c r="M21" s="7" t="n">
        <v>100</v>
      </c>
      <c r="N21" s="7" t="n">
        <v>0</v>
      </c>
      <c r="O21" s="7">
        <f>A21&amp;"|"&amp;D21</f>
        <v/>
      </c>
    </row>
    <row r="22" ht="15" customHeight="1" s="5">
      <c r="A22" s="7" t="inlineStr">
        <is>
          <t>PRJ003</t>
        </is>
      </c>
      <c r="B22" s="7">
        <f>IFERROR(VLOOKUP(A22,Projects!$A:$AK,2,FALSE()),"")</f>
        <v/>
      </c>
      <c r="C22" s="7">
        <f>IFERROR(VLOOKUP(A22,Projects!$A:$AK,14,FALSE()),"")</f>
        <v/>
      </c>
      <c r="D22" s="7" t="inlineStr">
        <is>
          <t>Build</t>
        </is>
      </c>
      <c r="E22" s="7">
        <f>IFERROR(INDEX(_Stages!$A$1:$A$8,MIN(MATCH(D22,_Stages!$A$1:$A$8,0)+1,8)),"")</f>
        <v/>
      </c>
      <c r="F22" s="7" t="inlineStr">
        <is>
          <t>Approved</t>
        </is>
      </c>
      <c r="G22" s="7" t="inlineStr">
        <is>
          <t>Complete</t>
        </is>
      </c>
      <c r="H22" s="7" t="inlineStr">
        <is>
          <t>CFO</t>
        </is>
      </c>
      <c r="I22" s="8" t="n">
        <v>45996</v>
      </c>
      <c r="J22" s="8" t="n">
        <v>46007</v>
      </c>
      <c r="K22" s="7" t="inlineStr">
        <is>
          <t>Conditional</t>
        </is>
      </c>
      <c r="L22" s="7" t="inlineStr">
        <is>
          <t>Approved with conditions</t>
        </is>
      </c>
      <c r="M22" s="7" t="n">
        <v>100</v>
      </c>
      <c r="N22" s="7" t="n">
        <v>11</v>
      </c>
      <c r="O22" s="7">
        <f>A22&amp;"|"&amp;D22</f>
        <v/>
      </c>
    </row>
    <row r="23" ht="15" customHeight="1" s="5">
      <c r="A23" s="7" t="inlineStr">
        <is>
          <t>PRJ003</t>
        </is>
      </c>
      <c r="B23" s="7">
        <f>IFERROR(VLOOKUP(A23,Projects!$A:$AK,2,FALSE()),"")</f>
        <v/>
      </c>
      <c r="C23" s="7">
        <f>IFERROR(VLOOKUP(A23,Projects!$A:$AK,14,FALSE()),"")</f>
        <v/>
      </c>
      <c r="D23" s="7" t="inlineStr">
        <is>
          <t>Testing</t>
        </is>
      </c>
      <c r="E23" s="7">
        <f>IFERROR(INDEX(_Stages!$A$1:$A$8,MIN(MATCH(D23,_Stages!$A$1:$A$8,0)+1,8)),"")</f>
        <v/>
      </c>
      <c r="F23" s="7" t="inlineStr">
        <is>
          <t>Approved</t>
        </is>
      </c>
      <c r="G23" s="7" t="inlineStr">
        <is>
          <t>Complete</t>
        </is>
      </c>
      <c r="H23" s="7" t="inlineStr">
        <is>
          <t>CFO</t>
        </is>
      </c>
      <c r="I23" s="8" t="n">
        <v>46056</v>
      </c>
      <c r="J23" s="8" t="n">
        <v>46045</v>
      </c>
      <c r="K23" s="7" t="inlineStr">
        <is>
          <t>Conditional</t>
        </is>
      </c>
      <c r="M23" s="7" t="n">
        <v>100</v>
      </c>
      <c r="N23" s="7" t="n">
        <v>0</v>
      </c>
      <c r="O23" s="7">
        <f>A23&amp;"|"&amp;D23</f>
        <v/>
      </c>
    </row>
    <row r="24" ht="15" customHeight="1" s="5">
      <c r="A24" s="7" t="inlineStr">
        <is>
          <t>PRJ003</t>
        </is>
      </c>
      <c r="B24" s="7">
        <f>IFERROR(VLOOKUP(A24,Projects!$A:$AK,2,FALSE()),"")</f>
        <v/>
      </c>
      <c r="C24" s="7">
        <f>IFERROR(VLOOKUP(A24,Projects!$A:$AK,14,FALSE()),"")</f>
        <v/>
      </c>
      <c r="D24" s="7" t="inlineStr">
        <is>
          <t>Deployment</t>
        </is>
      </c>
      <c r="E24" s="7">
        <f>IFERROR(INDEX(_Stages!$A$1:$A$8,MIN(MATCH(D24,_Stages!$A$1:$A$8,0)+1,8)),"")</f>
        <v/>
      </c>
      <c r="F24" s="7" t="inlineStr">
        <is>
          <t>Approved</t>
        </is>
      </c>
      <c r="G24" s="7" t="inlineStr">
        <is>
          <t>Complete</t>
        </is>
      </c>
      <c r="H24" s="7" t="inlineStr">
        <is>
          <t>CFO</t>
        </is>
      </c>
      <c r="I24" s="8" t="n">
        <v>46116</v>
      </c>
      <c r="J24" s="8" t="n">
        <v>46114</v>
      </c>
      <c r="K24" s="7" t="inlineStr">
        <is>
          <t>Held</t>
        </is>
      </c>
      <c r="L24" s="7" t="inlineStr">
        <is>
          <t>Awaiting sponsor sign-off</t>
        </is>
      </c>
      <c r="M24" s="7" t="n">
        <v>100</v>
      </c>
      <c r="N24" s="7" t="n">
        <v>0</v>
      </c>
      <c r="O24" s="7">
        <f>A24&amp;"|"&amp;D24</f>
        <v/>
      </c>
    </row>
    <row r="25" ht="15" customHeight="1" s="5">
      <c r="A25" s="7" t="inlineStr">
        <is>
          <t>PRJ003</t>
        </is>
      </c>
      <c r="B25" s="7">
        <f>IFERROR(VLOOKUP(A25,Projects!$A:$AK,2,FALSE()),"")</f>
        <v/>
      </c>
      <c r="C25" s="7">
        <f>IFERROR(VLOOKUP(A25,Projects!$A:$AK,14,FALSE()),"")</f>
        <v/>
      </c>
      <c r="D25" s="7" t="inlineStr">
        <is>
          <t>Handover</t>
        </is>
      </c>
      <c r="E25" s="7">
        <f>IFERROR(INDEX(_Stages!$A$1:$A$8,MIN(MATCH(D25,_Stages!$A$1:$A$8,0)+1,8)),"")</f>
        <v/>
      </c>
      <c r="F25" s="7" t="inlineStr">
        <is>
          <t>In Progress</t>
        </is>
      </c>
      <c r="G25" s="7" t="inlineStr">
        <is>
          <t>In Progress</t>
        </is>
      </c>
      <c r="H25" s="7" t="inlineStr">
        <is>
          <t>CFO</t>
        </is>
      </c>
      <c r="I25" s="8" t="n">
        <v>46176</v>
      </c>
      <c r="L25" s="7" t="inlineStr">
        <is>
          <t>On track</t>
        </is>
      </c>
      <c r="M25" s="7" t="n">
        <v>41</v>
      </c>
      <c r="N25" s="7" t="n">
        <v>0</v>
      </c>
      <c r="O25" s="7">
        <f>A25&amp;"|"&amp;D25</f>
        <v/>
      </c>
    </row>
    <row r="26" ht="15" customHeight="1" s="5">
      <c r="A26" s="7" t="inlineStr">
        <is>
          <t>PRJ004</t>
        </is>
      </c>
      <c r="B26" s="7">
        <f>IFERROR(VLOOKUP(A26,Projects!$A:$AK,2,FALSE()),"")</f>
        <v/>
      </c>
      <c r="C26" s="7">
        <f>IFERROR(VLOOKUP(A26,Projects!$A:$AK,14,FALSE()),"")</f>
        <v/>
      </c>
      <c r="D26" s="7" t="inlineStr">
        <is>
          <t>Discovery</t>
        </is>
      </c>
      <c r="E26" s="7">
        <f>IFERROR(INDEX(_Stages!$A$1:$A$8,MIN(MATCH(D26,_Stages!$A$1:$A$8,0)+1,8)),"")</f>
        <v/>
      </c>
      <c r="F26" s="7" t="inlineStr">
        <is>
          <t>In Progress</t>
        </is>
      </c>
      <c r="G26" s="7" t="inlineStr">
        <is>
          <t>In Progress</t>
        </is>
      </c>
      <c r="H26" s="7" t="inlineStr">
        <is>
          <t>CTO</t>
        </is>
      </c>
      <c r="I26" s="8" t="n">
        <v>45931</v>
      </c>
      <c r="M26" s="7" t="n">
        <v>41</v>
      </c>
      <c r="N26" s="7" t="n">
        <v>0</v>
      </c>
      <c r="O26" s="7">
        <f>A26&amp;"|"&amp;D26</f>
        <v/>
      </c>
    </row>
    <row r="27" ht="15" customHeight="1" s="5">
      <c r="A27" s="7" t="inlineStr">
        <is>
          <t>PRJ004</t>
        </is>
      </c>
      <c r="B27" s="7">
        <f>IFERROR(VLOOKUP(A27,Projects!$A:$AK,2,FALSE()),"")</f>
        <v/>
      </c>
      <c r="C27" s="7">
        <f>IFERROR(VLOOKUP(A27,Projects!$A:$AK,14,FALSE()),"")</f>
        <v/>
      </c>
      <c r="D27" s="7" t="inlineStr">
        <is>
          <t>Business Case / Seed Funding</t>
        </is>
      </c>
      <c r="E27" s="7">
        <f>IFERROR(INDEX(_Stages!$A$1:$A$8,MIN(MATCH(D27,_Stages!$A$1:$A$8,0)+1,8)),"")</f>
        <v/>
      </c>
      <c r="F27" s="7" t="inlineStr">
        <is>
          <t>Not Started</t>
        </is>
      </c>
      <c r="G27" s="7" t="inlineStr">
        <is>
          <t>Not Started</t>
        </is>
      </c>
      <c r="H27" s="7" t="inlineStr">
        <is>
          <t>CTO</t>
        </is>
      </c>
      <c r="I27" s="8" t="n">
        <v>45991</v>
      </c>
      <c r="L27" s="7" t="inlineStr">
        <is>
          <t>Awaiting sponsor sign-off</t>
        </is>
      </c>
      <c r="M27" s="7" t="n">
        <v>0</v>
      </c>
      <c r="N27" s="7" t="n">
        <v>0</v>
      </c>
      <c r="O27" s="7">
        <f>A27&amp;"|"&amp;D27</f>
        <v/>
      </c>
    </row>
    <row r="28" ht="15" customHeight="1" s="5">
      <c r="A28" s="7" t="inlineStr">
        <is>
          <t>PRJ004</t>
        </is>
      </c>
      <c r="B28" s="7">
        <f>IFERROR(VLOOKUP(A28,Projects!$A:$AK,2,FALSE()),"")</f>
        <v/>
      </c>
      <c r="C28" s="7">
        <f>IFERROR(VLOOKUP(A28,Projects!$A:$AK,14,FALSE()),"")</f>
        <v/>
      </c>
      <c r="D28" s="7" t="inlineStr">
        <is>
          <t>Design</t>
        </is>
      </c>
      <c r="E28" s="7">
        <f>IFERROR(INDEX(_Stages!$A$1:$A$8,MIN(MATCH(D28,_Stages!$A$1:$A$8,0)+1,8)),"")</f>
        <v/>
      </c>
      <c r="F28" s="7" t="inlineStr">
        <is>
          <t>Not Started</t>
        </is>
      </c>
      <c r="G28" s="7" t="inlineStr">
        <is>
          <t>Not Started</t>
        </is>
      </c>
      <c r="H28" s="7" t="inlineStr">
        <is>
          <t>CTO</t>
        </is>
      </c>
      <c r="I28" s="8" t="n">
        <v>46051</v>
      </c>
      <c r="L28" s="7" t="inlineStr">
        <is>
          <t>Awaiting sponsor sign-off</t>
        </is>
      </c>
      <c r="M28" s="7" t="n">
        <v>0</v>
      </c>
      <c r="N28" s="7" t="n">
        <v>0</v>
      </c>
      <c r="O28" s="7">
        <f>A28&amp;"|"&amp;D28</f>
        <v/>
      </c>
    </row>
    <row r="29" ht="15" customHeight="1" s="5">
      <c r="A29" s="7" t="inlineStr">
        <is>
          <t>PRJ004</t>
        </is>
      </c>
      <c r="B29" s="7">
        <f>IFERROR(VLOOKUP(A29,Projects!$A:$AK,2,FALSE()),"")</f>
        <v/>
      </c>
      <c r="C29" s="7">
        <f>IFERROR(VLOOKUP(A29,Projects!$A:$AK,14,FALSE()),"")</f>
        <v/>
      </c>
      <c r="D29" s="7" t="inlineStr">
        <is>
          <t>Business Case / Full Funding</t>
        </is>
      </c>
      <c r="E29" s="7">
        <f>IFERROR(INDEX(_Stages!$A$1:$A$8,MIN(MATCH(D29,_Stages!$A$1:$A$8,0)+1,8)),"")</f>
        <v/>
      </c>
      <c r="F29" s="7" t="inlineStr">
        <is>
          <t>Not Started</t>
        </is>
      </c>
      <c r="G29" s="7" t="inlineStr">
        <is>
          <t>Not Started</t>
        </is>
      </c>
      <c r="H29" s="7" t="inlineStr">
        <is>
          <t>CTO</t>
        </is>
      </c>
      <c r="I29" s="8" t="n">
        <v>46111</v>
      </c>
      <c r="L29" s="7" t="inlineStr">
        <is>
          <t>On track</t>
        </is>
      </c>
      <c r="M29" s="7" t="n">
        <v>0</v>
      </c>
      <c r="N29" s="7" t="n">
        <v>0</v>
      </c>
      <c r="O29" s="7">
        <f>A29&amp;"|"&amp;D29</f>
        <v/>
      </c>
    </row>
    <row r="30" ht="15" customHeight="1" s="5">
      <c r="A30" s="7" t="inlineStr">
        <is>
          <t>PRJ004</t>
        </is>
      </c>
      <c r="B30" s="7">
        <f>IFERROR(VLOOKUP(A30,Projects!$A:$AK,2,FALSE()),"")</f>
        <v/>
      </c>
      <c r="C30" s="7">
        <f>IFERROR(VLOOKUP(A30,Projects!$A:$AK,14,FALSE()),"")</f>
        <v/>
      </c>
      <c r="D30" s="7" t="inlineStr">
        <is>
          <t>Build</t>
        </is>
      </c>
      <c r="E30" s="7">
        <f>IFERROR(INDEX(_Stages!$A$1:$A$8,MIN(MATCH(D30,_Stages!$A$1:$A$8,0)+1,8)),"")</f>
        <v/>
      </c>
      <c r="F30" s="7" t="inlineStr">
        <is>
          <t>Not Started</t>
        </is>
      </c>
      <c r="G30" s="7" t="inlineStr">
        <is>
          <t>Not Started</t>
        </is>
      </c>
      <c r="H30" s="7" t="inlineStr">
        <is>
          <t>CTO</t>
        </is>
      </c>
      <c r="I30" s="8" t="n">
        <v>46171</v>
      </c>
      <c r="M30" s="7" t="n">
        <v>0</v>
      </c>
      <c r="N30" s="7" t="n">
        <v>0</v>
      </c>
      <c r="O30" s="7">
        <f>A30&amp;"|"&amp;D30</f>
        <v/>
      </c>
    </row>
    <row r="31" ht="15" customHeight="1" s="5">
      <c r="A31" s="7" t="inlineStr">
        <is>
          <t>PRJ004</t>
        </is>
      </c>
      <c r="B31" s="7">
        <f>IFERROR(VLOOKUP(A31,Projects!$A:$AK,2,FALSE()),"")</f>
        <v/>
      </c>
      <c r="C31" s="7">
        <f>IFERROR(VLOOKUP(A31,Projects!$A:$AK,14,FALSE()),"")</f>
        <v/>
      </c>
      <c r="D31" s="7" t="inlineStr">
        <is>
          <t>Testing</t>
        </is>
      </c>
      <c r="E31" s="7">
        <f>IFERROR(INDEX(_Stages!$A$1:$A$8,MIN(MATCH(D31,_Stages!$A$1:$A$8,0)+1,8)),"")</f>
        <v/>
      </c>
      <c r="F31" s="7" t="inlineStr">
        <is>
          <t>Not Started</t>
        </is>
      </c>
      <c r="G31" s="7" t="inlineStr">
        <is>
          <t>Not Started</t>
        </is>
      </c>
      <c r="H31" s="7" t="inlineStr">
        <is>
          <t>CTO</t>
        </is>
      </c>
      <c r="I31" s="8" t="n">
        <v>46231</v>
      </c>
      <c r="L31" s="7" t="inlineStr">
        <is>
          <t>Approved with conditions</t>
        </is>
      </c>
      <c r="M31" s="7" t="n">
        <v>0</v>
      </c>
      <c r="N31" s="7" t="n">
        <v>0</v>
      </c>
      <c r="O31" s="7">
        <f>A31&amp;"|"&amp;D31</f>
        <v/>
      </c>
    </row>
    <row r="32" ht="15" customHeight="1" s="5">
      <c r="A32" s="7" t="inlineStr">
        <is>
          <t>PRJ004</t>
        </is>
      </c>
      <c r="B32" s="7">
        <f>IFERROR(VLOOKUP(A32,Projects!$A:$AK,2,FALSE()),"")</f>
        <v/>
      </c>
      <c r="C32" s="7">
        <f>IFERROR(VLOOKUP(A32,Projects!$A:$AK,14,FALSE()),"")</f>
        <v/>
      </c>
      <c r="D32" s="7" t="inlineStr">
        <is>
          <t>Deployment</t>
        </is>
      </c>
      <c r="E32" s="7">
        <f>IFERROR(INDEX(_Stages!$A$1:$A$8,MIN(MATCH(D32,_Stages!$A$1:$A$8,0)+1,8)),"")</f>
        <v/>
      </c>
      <c r="F32" s="7" t="inlineStr">
        <is>
          <t>Not Started</t>
        </is>
      </c>
      <c r="G32" s="7" t="inlineStr">
        <is>
          <t>Not Started</t>
        </is>
      </c>
      <c r="H32" s="7" t="inlineStr">
        <is>
          <t>CTO</t>
        </is>
      </c>
      <c r="I32" s="8" t="n">
        <v>46291</v>
      </c>
      <c r="L32" s="7" t="inlineStr">
        <is>
          <t>Approved with conditions</t>
        </is>
      </c>
      <c r="M32" s="7" t="n">
        <v>0</v>
      </c>
      <c r="N32" s="7" t="n">
        <v>0</v>
      </c>
      <c r="O32" s="7">
        <f>A32&amp;"|"&amp;D32</f>
        <v/>
      </c>
    </row>
    <row r="33" ht="15" customHeight="1" s="5">
      <c r="A33" s="7" t="inlineStr">
        <is>
          <t>PRJ004</t>
        </is>
      </c>
      <c r="B33" s="7">
        <f>IFERROR(VLOOKUP(A33,Projects!$A:$AK,2,FALSE()),"")</f>
        <v/>
      </c>
      <c r="C33" s="7">
        <f>IFERROR(VLOOKUP(A33,Projects!$A:$AK,14,FALSE()),"")</f>
        <v/>
      </c>
      <c r="D33" s="7" t="inlineStr">
        <is>
          <t>Handover</t>
        </is>
      </c>
      <c r="E33" s="7">
        <f>IFERROR(INDEX(_Stages!$A$1:$A$8,MIN(MATCH(D33,_Stages!$A$1:$A$8,0)+1,8)),"")</f>
        <v/>
      </c>
      <c r="F33" s="7" t="inlineStr">
        <is>
          <t>Not Started</t>
        </is>
      </c>
      <c r="G33" s="7" t="inlineStr">
        <is>
          <t>Not Started</t>
        </is>
      </c>
      <c r="H33" s="7" t="inlineStr">
        <is>
          <t>CTO</t>
        </is>
      </c>
      <c r="I33" s="8" t="n">
        <v>46351</v>
      </c>
      <c r="L33" s="7" t="inlineStr">
        <is>
          <t>Awaiting sponsor sign-off</t>
        </is>
      </c>
      <c r="M33" s="7" t="n">
        <v>0</v>
      </c>
      <c r="N33" s="7" t="n">
        <v>0</v>
      </c>
      <c r="O33" s="7">
        <f>A33&amp;"|"&amp;D33</f>
        <v/>
      </c>
    </row>
    <row r="34" ht="15" customHeight="1" s="5">
      <c r="A34" s="7" t="inlineStr">
        <is>
          <t>PRJ005</t>
        </is>
      </c>
      <c r="B34" s="7">
        <f>IFERROR(VLOOKUP(A34,Projects!$A:$AK,2,FALSE()),"")</f>
        <v/>
      </c>
      <c r="C34" s="7">
        <f>IFERROR(VLOOKUP(A34,Projects!$A:$AK,14,FALSE()),"")</f>
        <v/>
      </c>
      <c r="D34" s="7" t="inlineStr">
        <is>
          <t>Discovery</t>
        </is>
      </c>
      <c r="E34" s="7">
        <f>IFERROR(INDEX(_Stages!$A$1:$A$8,MIN(MATCH(D34,_Stages!$A$1:$A$8,0)+1,8)),"")</f>
        <v/>
      </c>
      <c r="F34" s="7" t="inlineStr">
        <is>
          <t>Approved</t>
        </is>
      </c>
      <c r="G34" s="7" t="inlineStr">
        <is>
          <t>Complete</t>
        </is>
      </c>
      <c r="H34" s="7" t="inlineStr">
        <is>
          <t>CFO</t>
        </is>
      </c>
      <c r="I34" s="8" t="n">
        <v>45860</v>
      </c>
      <c r="J34" s="8" t="n">
        <v>45862</v>
      </c>
      <c r="K34" s="7" t="inlineStr">
        <is>
          <t>Held</t>
        </is>
      </c>
      <c r="M34" s="7" t="n">
        <v>100</v>
      </c>
      <c r="N34" s="7" t="n">
        <v>2</v>
      </c>
      <c r="O34" s="7">
        <f>A34&amp;"|"&amp;D34</f>
        <v/>
      </c>
    </row>
    <row r="35" ht="15" customHeight="1" s="5">
      <c r="A35" s="7" t="inlineStr">
        <is>
          <t>PRJ005</t>
        </is>
      </c>
      <c r="B35" s="7">
        <f>IFERROR(VLOOKUP(A35,Projects!$A:$AK,2,FALSE()),"")</f>
        <v/>
      </c>
      <c r="C35" s="7">
        <f>IFERROR(VLOOKUP(A35,Projects!$A:$AK,14,FALSE()),"")</f>
        <v/>
      </c>
      <c r="D35" s="7" t="inlineStr">
        <is>
          <t>Business Case / Seed Funding</t>
        </is>
      </c>
      <c r="E35" s="7">
        <f>IFERROR(INDEX(_Stages!$A$1:$A$8,MIN(MATCH(D35,_Stages!$A$1:$A$8,0)+1,8)),"")</f>
        <v/>
      </c>
      <c r="F35" s="7" t="inlineStr">
        <is>
          <t>Approved</t>
        </is>
      </c>
      <c r="G35" s="7" t="inlineStr">
        <is>
          <t>Complete</t>
        </is>
      </c>
      <c r="H35" s="7" t="inlineStr">
        <is>
          <t>CFO</t>
        </is>
      </c>
      <c r="I35" s="8" t="n">
        <v>45920</v>
      </c>
      <c r="J35" s="8" t="n">
        <v>45928</v>
      </c>
      <c r="K35" s="7" t="inlineStr">
        <is>
          <t>Held</t>
        </is>
      </c>
      <c r="L35" s="7" t="inlineStr">
        <is>
          <t>On track</t>
        </is>
      </c>
      <c r="M35" s="7" t="n">
        <v>100</v>
      </c>
      <c r="N35" s="7" t="n">
        <v>8</v>
      </c>
      <c r="O35" s="7">
        <f>A35&amp;"|"&amp;D35</f>
        <v/>
      </c>
    </row>
    <row r="36" ht="15" customHeight="1" s="5">
      <c r="A36" s="7" t="inlineStr">
        <is>
          <t>PRJ005</t>
        </is>
      </c>
      <c r="B36" s="7">
        <f>IFERROR(VLOOKUP(A36,Projects!$A:$AK,2,FALSE()),"")</f>
        <v/>
      </c>
      <c r="C36" s="7">
        <f>IFERROR(VLOOKUP(A36,Projects!$A:$AK,14,FALSE()),"")</f>
        <v/>
      </c>
      <c r="D36" s="7" t="inlineStr">
        <is>
          <t>Design</t>
        </is>
      </c>
      <c r="E36" s="7">
        <f>IFERROR(INDEX(_Stages!$A$1:$A$8,MIN(MATCH(D36,_Stages!$A$1:$A$8,0)+1,8)),"")</f>
        <v/>
      </c>
      <c r="F36" s="7" t="inlineStr">
        <is>
          <t>Approved</t>
        </is>
      </c>
      <c r="G36" s="7" t="inlineStr">
        <is>
          <t>Complete</t>
        </is>
      </c>
      <c r="H36" s="7" t="inlineStr">
        <is>
          <t>CFO</t>
        </is>
      </c>
      <c r="I36" s="8" t="n">
        <v>45980</v>
      </c>
      <c r="J36" s="8" t="n">
        <v>46001</v>
      </c>
      <c r="K36" s="7" t="inlineStr">
        <is>
          <t>Conditional</t>
        </is>
      </c>
      <c r="L36" s="7" t="inlineStr">
        <is>
          <t>Approved with conditions</t>
        </is>
      </c>
      <c r="M36" s="7" t="n">
        <v>100</v>
      </c>
      <c r="N36" s="7" t="n">
        <v>21</v>
      </c>
      <c r="O36" s="7">
        <f>A36&amp;"|"&amp;D36</f>
        <v/>
      </c>
    </row>
    <row r="37" ht="15" customHeight="1" s="5">
      <c r="A37" s="7" t="inlineStr">
        <is>
          <t>PRJ005</t>
        </is>
      </c>
      <c r="B37" s="7">
        <f>IFERROR(VLOOKUP(A37,Projects!$A:$AK,2,FALSE()),"")</f>
        <v/>
      </c>
      <c r="C37" s="7">
        <f>IFERROR(VLOOKUP(A37,Projects!$A:$AK,14,FALSE()),"")</f>
        <v/>
      </c>
      <c r="D37" s="7" t="inlineStr">
        <is>
          <t>Business Case / Full Funding</t>
        </is>
      </c>
      <c r="E37" s="7">
        <f>IFERROR(INDEX(_Stages!$A$1:$A$8,MIN(MATCH(D37,_Stages!$A$1:$A$8,0)+1,8)),"")</f>
        <v/>
      </c>
      <c r="F37" s="7" t="inlineStr">
        <is>
          <t>Approved</t>
        </is>
      </c>
      <c r="G37" s="7" t="inlineStr">
        <is>
          <t>Complete</t>
        </is>
      </c>
      <c r="H37" s="7" t="inlineStr">
        <is>
          <t>CFO</t>
        </is>
      </c>
      <c r="I37" s="8" t="n">
        <v>46040</v>
      </c>
      <c r="J37" s="8" t="n">
        <v>46044</v>
      </c>
      <c r="K37" s="7" t="inlineStr">
        <is>
          <t>Proceed</t>
        </is>
      </c>
      <c r="M37" s="7" t="n">
        <v>100</v>
      </c>
      <c r="N37" s="7" t="n">
        <v>4</v>
      </c>
      <c r="O37" s="7">
        <f>A37&amp;"|"&amp;D37</f>
        <v/>
      </c>
    </row>
    <row r="38" ht="15" customHeight="1" s="5">
      <c r="A38" s="7" t="inlineStr">
        <is>
          <t>PRJ005</t>
        </is>
      </c>
      <c r="B38" s="7">
        <f>IFERROR(VLOOKUP(A38,Projects!$A:$AK,2,FALSE()),"")</f>
        <v/>
      </c>
      <c r="C38" s="7">
        <f>IFERROR(VLOOKUP(A38,Projects!$A:$AK,14,FALSE()),"")</f>
        <v/>
      </c>
      <c r="D38" s="7" t="inlineStr">
        <is>
          <t>Build</t>
        </is>
      </c>
      <c r="E38" s="7">
        <f>IFERROR(INDEX(_Stages!$A$1:$A$8,MIN(MATCH(D38,_Stages!$A$1:$A$8,0)+1,8)),"")</f>
        <v/>
      </c>
      <c r="F38" s="7" t="inlineStr">
        <is>
          <t>Approved</t>
        </is>
      </c>
      <c r="G38" s="7" t="inlineStr">
        <is>
          <t>Complete</t>
        </is>
      </c>
      <c r="H38" s="7" t="inlineStr">
        <is>
          <t>CFO</t>
        </is>
      </c>
      <c r="I38" s="8" t="n">
        <v>46100</v>
      </c>
      <c r="J38" s="8" t="n">
        <v>46090</v>
      </c>
      <c r="K38" s="7" t="inlineStr">
        <is>
          <t>Held</t>
        </is>
      </c>
      <c r="L38" s="7" t="inlineStr">
        <is>
          <t>On track</t>
        </is>
      </c>
      <c r="M38" s="7" t="n">
        <v>100</v>
      </c>
      <c r="N38" s="7" t="n">
        <v>0</v>
      </c>
      <c r="O38" s="7">
        <f>A38&amp;"|"&amp;D38</f>
        <v/>
      </c>
    </row>
    <row r="39" ht="15" customHeight="1" s="5">
      <c r="A39" s="7" t="inlineStr">
        <is>
          <t>PRJ005</t>
        </is>
      </c>
      <c r="B39" s="7">
        <f>IFERROR(VLOOKUP(A39,Projects!$A:$AK,2,FALSE()),"")</f>
        <v/>
      </c>
      <c r="C39" s="7">
        <f>IFERROR(VLOOKUP(A39,Projects!$A:$AK,14,FALSE()),"")</f>
        <v/>
      </c>
      <c r="D39" s="7" t="inlineStr">
        <is>
          <t>Testing</t>
        </is>
      </c>
      <c r="E39" s="7">
        <f>IFERROR(INDEX(_Stages!$A$1:$A$8,MIN(MATCH(D39,_Stages!$A$1:$A$8,0)+1,8)),"")</f>
        <v/>
      </c>
      <c r="F39" s="7" t="inlineStr">
        <is>
          <t>In Progress</t>
        </is>
      </c>
      <c r="G39" s="7" t="inlineStr">
        <is>
          <t>In Progress</t>
        </is>
      </c>
      <c r="H39" s="7" t="inlineStr">
        <is>
          <t>CFO</t>
        </is>
      </c>
      <c r="I39" s="8" t="n">
        <v>46160</v>
      </c>
      <c r="M39" s="7" t="n">
        <v>80</v>
      </c>
      <c r="N39" s="7" t="n">
        <v>0</v>
      </c>
      <c r="O39" s="7">
        <f>A39&amp;"|"&amp;D39</f>
        <v/>
      </c>
    </row>
    <row r="40" ht="15" customHeight="1" s="5">
      <c r="A40" s="7" t="inlineStr">
        <is>
          <t>PRJ005</t>
        </is>
      </c>
      <c r="B40" s="7">
        <f>IFERROR(VLOOKUP(A40,Projects!$A:$AK,2,FALSE()),"")</f>
        <v/>
      </c>
      <c r="C40" s="7">
        <f>IFERROR(VLOOKUP(A40,Projects!$A:$AK,14,FALSE()),"")</f>
        <v/>
      </c>
      <c r="D40" s="7" t="inlineStr">
        <is>
          <t>Deployment</t>
        </is>
      </c>
      <c r="E40" s="7">
        <f>IFERROR(INDEX(_Stages!$A$1:$A$8,MIN(MATCH(D40,_Stages!$A$1:$A$8,0)+1,8)),"")</f>
        <v/>
      </c>
      <c r="F40" s="7" t="inlineStr">
        <is>
          <t>Not Started</t>
        </is>
      </c>
      <c r="G40" s="7" t="inlineStr">
        <is>
          <t>Not Started</t>
        </is>
      </c>
      <c r="H40" s="7" t="inlineStr">
        <is>
          <t>CFO</t>
        </is>
      </c>
      <c r="I40" s="8" t="n">
        <v>46220</v>
      </c>
      <c r="L40" s="7" t="inlineStr">
        <is>
          <t>Approved with conditions</t>
        </is>
      </c>
      <c r="M40" s="7" t="n">
        <v>0</v>
      </c>
      <c r="N40" s="7" t="n">
        <v>0</v>
      </c>
      <c r="O40" s="7">
        <f>A40&amp;"|"&amp;D40</f>
        <v/>
      </c>
    </row>
    <row r="41" ht="15" customHeight="1" s="5">
      <c r="A41" s="7" t="inlineStr">
        <is>
          <t>PRJ005</t>
        </is>
      </c>
      <c r="B41" s="7">
        <f>IFERROR(VLOOKUP(A41,Projects!$A:$AK,2,FALSE()),"")</f>
        <v/>
      </c>
      <c r="C41" s="7">
        <f>IFERROR(VLOOKUP(A41,Projects!$A:$AK,14,FALSE()),"")</f>
        <v/>
      </c>
      <c r="D41" s="7" t="inlineStr">
        <is>
          <t>Handover</t>
        </is>
      </c>
      <c r="E41" s="7">
        <f>IFERROR(INDEX(_Stages!$A$1:$A$8,MIN(MATCH(D41,_Stages!$A$1:$A$8,0)+1,8)),"")</f>
        <v/>
      </c>
      <c r="F41" s="7" t="inlineStr">
        <is>
          <t>Not Started</t>
        </is>
      </c>
      <c r="G41" s="7" t="inlineStr">
        <is>
          <t>Not Started</t>
        </is>
      </c>
      <c r="H41" s="7" t="inlineStr">
        <is>
          <t>CFO</t>
        </is>
      </c>
      <c r="I41" s="8" t="n">
        <v>46280</v>
      </c>
      <c r="L41" s="7" t="inlineStr">
        <is>
          <t>On track</t>
        </is>
      </c>
      <c r="M41" s="7" t="n">
        <v>0</v>
      </c>
      <c r="N41" s="7" t="n">
        <v>0</v>
      </c>
      <c r="O41" s="7">
        <f>A41&amp;"|"&amp;D41</f>
        <v/>
      </c>
    </row>
    <row r="42" ht="15" customHeight="1" s="5">
      <c r="A42" s="7" t="inlineStr">
        <is>
          <t>PRJ006</t>
        </is>
      </c>
      <c r="B42" s="7">
        <f>IFERROR(VLOOKUP(A42,Projects!$A:$AK,2,FALSE()),"")</f>
        <v/>
      </c>
      <c r="C42" s="7">
        <f>IFERROR(VLOOKUP(A42,Projects!$A:$AK,14,FALSE()),"")</f>
        <v/>
      </c>
      <c r="D42" s="7" t="inlineStr">
        <is>
          <t>Discovery</t>
        </is>
      </c>
      <c r="E42" s="7">
        <f>IFERROR(INDEX(_Stages!$A$1:$A$8,MIN(MATCH(D42,_Stages!$A$1:$A$8,0)+1,8)),"")</f>
        <v/>
      </c>
      <c r="F42" s="7" t="inlineStr">
        <is>
          <t>Approved</t>
        </is>
      </c>
      <c r="G42" s="7" t="inlineStr">
        <is>
          <t>Complete</t>
        </is>
      </c>
      <c r="H42" s="7" t="inlineStr">
        <is>
          <t>CMO</t>
        </is>
      </c>
      <c r="I42" s="8" t="n">
        <v>45736</v>
      </c>
      <c r="J42" s="8" t="n">
        <v>45762</v>
      </c>
      <c r="K42" s="7" t="inlineStr">
        <is>
          <t>Rework</t>
        </is>
      </c>
      <c r="M42" s="7" t="n">
        <v>100</v>
      </c>
      <c r="N42" s="7" t="n">
        <v>26</v>
      </c>
      <c r="O42" s="7">
        <f>A42&amp;"|"&amp;D42</f>
        <v/>
      </c>
    </row>
    <row r="43" ht="15" customHeight="1" s="5">
      <c r="A43" s="7" t="inlineStr">
        <is>
          <t>PRJ006</t>
        </is>
      </c>
      <c r="B43" s="7">
        <f>IFERROR(VLOOKUP(A43,Projects!$A:$AK,2,FALSE()),"")</f>
        <v/>
      </c>
      <c r="C43" s="7">
        <f>IFERROR(VLOOKUP(A43,Projects!$A:$AK,14,FALSE()),"")</f>
        <v/>
      </c>
      <c r="D43" s="7" t="inlineStr">
        <is>
          <t>Business Case / Seed Funding</t>
        </is>
      </c>
      <c r="E43" s="7">
        <f>IFERROR(INDEX(_Stages!$A$1:$A$8,MIN(MATCH(D43,_Stages!$A$1:$A$8,0)+1,8)),"")</f>
        <v/>
      </c>
      <c r="F43" s="7" t="inlineStr">
        <is>
          <t>Approved</t>
        </is>
      </c>
      <c r="G43" s="7" t="inlineStr">
        <is>
          <t>Complete</t>
        </is>
      </c>
      <c r="H43" s="7" t="inlineStr">
        <is>
          <t>CMO</t>
        </is>
      </c>
      <c r="I43" s="8" t="n">
        <v>45796</v>
      </c>
      <c r="J43" s="8" t="n">
        <v>45814</v>
      </c>
      <c r="K43" s="7" t="inlineStr">
        <is>
          <t>Proceed</t>
        </is>
      </c>
      <c r="L43" s="7" t="inlineStr">
        <is>
          <t>Approved with conditions</t>
        </is>
      </c>
      <c r="M43" s="7" t="n">
        <v>100</v>
      </c>
      <c r="N43" s="7" t="n">
        <v>18</v>
      </c>
      <c r="O43" s="7">
        <f>A43&amp;"|"&amp;D43</f>
        <v/>
      </c>
    </row>
    <row r="44" ht="15" customHeight="1" s="5">
      <c r="A44" s="7" t="inlineStr">
        <is>
          <t>PRJ006</t>
        </is>
      </c>
      <c r="B44" s="7">
        <f>IFERROR(VLOOKUP(A44,Projects!$A:$AK,2,FALSE()),"")</f>
        <v/>
      </c>
      <c r="C44" s="7">
        <f>IFERROR(VLOOKUP(A44,Projects!$A:$AK,14,FALSE()),"")</f>
        <v/>
      </c>
      <c r="D44" s="7" t="inlineStr">
        <is>
          <t>Design</t>
        </is>
      </c>
      <c r="E44" s="7">
        <f>IFERROR(INDEX(_Stages!$A$1:$A$8,MIN(MATCH(D44,_Stages!$A$1:$A$8,0)+1,8)),"")</f>
        <v/>
      </c>
      <c r="F44" s="7" t="inlineStr">
        <is>
          <t>Approved</t>
        </is>
      </c>
      <c r="G44" s="7" t="inlineStr">
        <is>
          <t>Complete</t>
        </is>
      </c>
      <c r="H44" s="7" t="inlineStr">
        <is>
          <t>CMO</t>
        </is>
      </c>
      <c r="I44" s="8" t="n">
        <v>45856</v>
      </c>
      <c r="J44" s="8" t="n">
        <v>45854</v>
      </c>
      <c r="K44" s="7" t="inlineStr">
        <is>
          <t>Held</t>
        </is>
      </c>
      <c r="L44" s="7" t="inlineStr">
        <is>
          <t>Awaiting sponsor sign-off</t>
        </is>
      </c>
      <c r="M44" s="7" t="n">
        <v>100</v>
      </c>
      <c r="N44" s="7" t="n">
        <v>0</v>
      </c>
      <c r="O44" s="7">
        <f>A44&amp;"|"&amp;D44</f>
        <v/>
      </c>
    </row>
    <row r="45" ht="15" customHeight="1" s="5">
      <c r="A45" s="7" t="inlineStr">
        <is>
          <t>PRJ006</t>
        </is>
      </c>
      <c r="B45" s="7">
        <f>IFERROR(VLOOKUP(A45,Projects!$A:$AK,2,FALSE()),"")</f>
        <v/>
      </c>
      <c r="C45" s="7">
        <f>IFERROR(VLOOKUP(A45,Projects!$A:$AK,14,FALSE()),"")</f>
        <v/>
      </c>
      <c r="D45" s="7" t="inlineStr">
        <is>
          <t>Business Case / Full Funding</t>
        </is>
      </c>
      <c r="E45" s="7">
        <f>IFERROR(INDEX(_Stages!$A$1:$A$8,MIN(MATCH(D45,_Stages!$A$1:$A$8,0)+1,8)),"")</f>
        <v/>
      </c>
      <c r="F45" s="7" t="inlineStr">
        <is>
          <t>Approved</t>
        </is>
      </c>
      <c r="G45" s="7" t="inlineStr">
        <is>
          <t>Complete</t>
        </is>
      </c>
      <c r="H45" s="7" t="inlineStr">
        <is>
          <t>CMO</t>
        </is>
      </c>
      <c r="I45" s="8" t="n">
        <v>45916</v>
      </c>
      <c r="J45" s="8" t="n">
        <v>45903</v>
      </c>
      <c r="K45" s="7" t="inlineStr">
        <is>
          <t>Proceed</t>
        </is>
      </c>
      <c r="L45" s="7" t="inlineStr">
        <is>
          <t>Awaiting sponsor sign-off</t>
        </is>
      </c>
      <c r="M45" s="7" t="n">
        <v>100</v>
      </c>
      <c r="N45" s="7" t="n">
        <v>0</v>
      </c>
      <c r="O45" s="7">
        <f>A45&amp;"|"&amp;D45</f>
        <v/>
      </c>
    </row>
    <row r="46" ht="15" customHeight="1" s="5">
      <c r="A46" s="7" t="inlineStr">
        <is>
          <t>PRJ006</t>
        </is>
      </c>
      <c r="B46" s="7">
        <f>IFERROR(VLOOKUP(A46,Projects!$A:$AK,2,FALSE()),"")</f>
        <v/>
      </c>
      <c r="C46" s="7">
        <f>IFERROR(VLOOKUP(A46,Projects!$A:$AK,14,FALSE()),"")</f>
        <v/>
      </c>
      <c r="D46" s="7" t="inlineStr">
        <is>
          <t>Build</t>
        </is>
      </c>
      <c r="E46" s="7">
        <f>IFERROR(INDEX(_Stages!$A$1:$A$8,MIN(MATCH(D46,_Stages!$A$1:$A$8,0)+1,8)),"")</f>
        <v/>
      </c>
      <c r="F46" s="7" t="inlineStr">
        <is>
          <t>Approved</t>
        </is>
      </c>
      <c r="G46" s="7" t="inlineStr">
        <is>
          <t>Complete</t>
        </is>
      </c>
      <c r="H46" s="7" t="inlineStr">
        <is>
          <t>CMO</t>
        </is>
      </c>
      <c r="I46" s="8" t="n">
        <v>45976</v>
      </c>
      <c r="J46" s="8" t="n">
        <v>45995</v>
      </c>
      <c r="K46" s="7" t="inlineStr">
        <is>
          <t>Proceed</t>
        </is>
      </c>
      <c r="L46" s="7" t="inlineStr">
        <is>
          <t>Approved with conditions</t>
        </is>
      </c>
      <c r="M46" s="7" t="n">
        <v>100</v>
      </c>
      <c r="N46" s="7" t="n">
        <v>19</v>
      </c>
      <c r="O46" s="7">
        <f>A46&amp;"|"&amp;D46</f>
        <v/>
      </c>
    </row>
    <row r="47" ht="15" customHeight="1" s="5">
      <c r="A47" s="7" t="inlineStr">
        <is>
          <t>PRJ006</t>
        </is>
      </c>
      <c r="B47" s="7">
        <f>IFERROR(VLOOKUP(A47,Projects!$A:$AK,2,FALSE()),"")</f>
        <v/>
      </c>
      <c r="C47" s="7">
        <f>IFERROR(VLOOKUP(A47,Projects!$A:$AK,14,FALSE()),"")</f>
        <v/>
      </c>
      <c r="D47" s="7" t="inlineStr">
        <is>
          <t>Testing</t>
        </is>
      </c>
      <c r="E47" s="7">
        <f>IFERROR(INDEX(_Stages!$A$1:$A$8,MIN(MATCH(D47,_Stages!$A$1:$A$8,0)+1,8)),"")</f>
        <v/>
      </c>
      <c r="F47" s="7" t="inlineStr">
        <is>
          <t>Approved</t>
        </is>
      </c>
      <c r="G47" s="7" t="inlineStr">
        <is>
          <t>Complete</t>
        </is>
      </c>
      <c r="H47" s="7" t="inlineStr">
        <is>
          <t>CMO</t>
        </is>
      </c>
      <c r="I47" s="8" t="n">
        <v>46036</v>
      </c>
      <c r="J47" s="8" t="n">
        <v>46041</v>
      </c>
      <c r="K47" s="7" t="inlineStr">
        <is>
          <t>Proceed</t>
        </is>
      </c>
      <c r="L47" s="7" t="inlineStr">
        <is>
          <t>Approved with conditions</t>
        </is>
      </c>
      <c r="M47" s="7" t="n">
        <v>100</v>
      </c>
      <c r="N47" s="7" t="n">
        <v>5</v>
      </c>
      <c r="O47" s="7">
        <f>A47&amp;"|"&amp;D47</f>
        <v/>
      </c>
    </row>
    <row r="48" ht="15" customHeight="1" s="5">
      <c r="A48" s="7" t="inlineStr">
        <is>
          <t>PRJ006</t>
        </is>
      </c>
      <c r="B48" s="7">
        <f>IFERROR(VLOOKUP(A48,Projects!$A:$AK,2,FALSE()),"")</f>
        <v/>
      </c>
      <c r="C48" s="7">
        <f>IFERROR(VLOOKUP(A48,Projects!$A:$AK,14,FALSE()),"")</f>
        <v/>
      </c>
      <c r="D48" s="7" t="inlineStr">
        <is>
          <t>Deployment</t>
        </is>
      </c>
      <c r="E48" s="7">
        <f>IFERROR(INDEX(_Stages!$A$1:$A$8,MIN(MATCH(D48,_Stages!$A$1:$A$8,0)+1,8)),"")</f>
        <v/>
      </c>
      <c r="F48" s="7" t="inlineStr">
        <is>
          <t>Pending Approval</t>
        </is>
      </c>
      <c r="G48" s="7" t="inlineStr">
        <is>
          <t>In Progress</t>
        </is>
      </c>
      <c r="H48" s="7" t="inlineStr">
        <is>
          <t>CMO</t>
        </is>
      </c>
      <c r="I48" s="8" t="n">
        <v>46096</v>
      </c>
      <c r="L48" s="7" t="inlineStr">
        <is>
          <t>On track</t>
        </is>
      </c>
      <c r="M48" s="7" t="n">
        <v>44</v>
      </c>
      <c r="N48" s="7" t="n">
        <v>0</v>
      </c>
      <c r="O48" s="7">
        <f>A48&amp;"|"&amp;D48</f>
        <v/>
      </c>
    </row>
    <row r="49" ht="15" customHeight="1" s="5">
      <c r="A49" s="7" t="inlineStr">
        <is>
          <t>PRJ006</t>
        </is>
      </c>
      <c r="B49" s="7">
        <f>IFERROR(VLOOKUP(A49,Projects!$A:$AK,2,FALSE()),"")</f>
        <v/>
      </c>
      <c r="C49" s="7">
        <f>IFERROR(VLOOKUP(A49,Projects!$A:$AK,14,FALSE()),"")</f>
        <v/>
      </c>
      <c r="D49" s="7" t="inlineStr">
        <is>
          <t>Handover</t>
        </is>
      </c>
      <c r="E49" s="7">
        <f>IFERROR(INDEX(_Stages!$A$1:$A$8,MIN(MATCH(D49,_Stages!$A$1:$A$8,0)+1,8)),"")</f>
        <v/>
      </c>
      <c r="F49" s="7" t="inlineStr">
        <is>
          <t>Not Started</t>
        </is>
      </c>
      <c r="G49" s="7" t="inlineStr">
        <is>
          <t>Not Started</t>
        </is>
      </c>
      <c r="H49" s="7" t="inlineStr">
        <is>
          <t>CMO</t>
        </is>
      </c>
      <c r="I49" s="8" t="n">
        <v>46156</v>
      </c>
      <c r="L49" s="7" t="inlineStr">
        <is>
          <t>Approved with conditions</t>
        </is>
      </c>
      <c r="M49" s="7" t="n">
        <v>0</v>
      </c>
      <c r="N49" s="7" t="n">
        <v>0</v>
      </c>
      <c r="O49" s="7">
        <f>A49&amp;"|"&amp;D49</f>
        <v/>
      </c>
    </row>
    <row r="50" ht="15" customHeight="1" s="5">
      <c r="A50" s="7" t="inlineStr">
        <is>
          <t>PRJ007</t>
        </is>
      </c>
      <c r="B50" s="7">
        <f>IFERROR(VLOOKUP(A50,Projects!$A:$AK,2,FALSE()),"")</f>
        <v/>
      </c>
      <c r="C50" s="7">
        <f>IFERROR(VLOOKUP(A50,Projects!$A:$AK,14,FALSE()),"")</f>
        <v/>
      </c>
      <c r="D50" s="7" t="inlineStr">
        <is>
          <t>Discovery</t>
        </is>
      </c>
      <c r="E50" s="7">
        <f>IFERROR(INDEX(_Stages!$A$1:$A$8,MIN(MATCH(D50,_Stages!$A$1:$A$8,0)+1,8)),"")</f>
        <v/>
      </c>
      <c r="F50" s="7" t="inlineStr">
        <is>
          <t>Approved</t>
        </is>
      </c>
      <c r="G50" s="7" t="inlineStr">
        <is>
          <t>Complete</t>
        </is>
      </c>
      <c r="H50" s="7" t="inlineStr">
        <is>
          <t>CTO</t>
        </is>
      </c>
      <c r="I50" s="8" t="n">
        <v>45792</v>
      </c>
      <c r="J50" s="8" t="n">
        <v>45813</v>
      </c>
      <c r="K50" s="7" t="inlineStr">
        <is>
          <t>Held</t>
        </is>
      </c>
      <c r="L50" s="7" t="inlineStr">
        <is>
          <t>Awaiting sponsor sign-off</t>
        </is>
      </c>
      <c r="M50" s="7" t="n">
        <v>100</v>
      </c>
      <c r="N50" s="7" t="n">
        <v>21</v>
      </c>
      <c r="O50" s="7">
        <f>A50&amp;"|"&amp;D50</f>
        <v/>
      </c>
    </row>
    <row r="51" ht="15" customHeight="1" s="5">
      <c r="A51" s="7" t="inlineStr">
        <is>
          <t>PRJ007</t>
        </is>
      </c>
      <c r="B51" s="7">
        <f>IFERROR(VLOOKUP(A51,Projects!$A:$AK,2,FALSE()),"")</f>
        <v/>
      </c>
      <c r="C51" s="7">
        <f>IFERROR(VLOOKUP(A51,Projects!$A:$AK,14,FALSE()),"")</f>
        <v/>
      </c>
      <c r="D51" s="7" t="inlineStr">
        <is>
          <t>Business Case / Seed Funding</t>
        </is>
      </c>
      <c r="E51" s="7">
        <f>IFERROR(INDEX(_Stages!$A$1:$A$8,MIN(MATCH(D51,_Stages!$A$1:$A$8,0)+1,8)),"")</f>
        <v/>
      </c>
      <c r="F51" s="7" t="inlineStr">
        <is>
          <t>Approved</t>
        </is>
      </c>
      <c r="G51" s="7" t="inlineStr">
        <is>
          <t>Complete</t>
        </is>
      </c>
      <c r="H51" s="7" t="inlineStr">
        <is>
          <t>CTO</t>
        </is>
      </c>
      <c r="I51" s="8" t="n">
        <v>45852</v>
      </c>
      <c r="J51" s="8" t="n">
        <v>45861</v>
      </c>
      <c r="K51" s="7" t="inlineStr">
        <is>
          <t>Conditional</t>
        </is>
      </c>
      <c r="M51" s="7" t="n">
        <v>100</v>
      </c>
      <c r="N51" s="7" t="n">
        <v>9</v>
      </c>
      <c r="O51" s="7">
        <f>A51&amp;"|"&amp;D51</f>
        <v/>
      </c>
    </row>
    <row r="52" ht="15" customHeight="1" s="5">
      <c r="A52" s="7" t="inlineStr">
        <is>
          <t>PRJ007</t>
        </is>
      </c>
      <c r="B52" s="7">
        <f>IFERROR(VLOOKUP(A52,Projects!$A:$AK,2,FALSE()),"")</f>
        <v/>
      </c>
      <c r="C52" s="7">
        <f>IFERROR(VLOOKUP(A52,Projects!$A:$AK,14,FALSE()),"")</f>
        <v/>
      </c>
      <c r="D52" s="7" t="inlineStr">
        <is>
          <t>Design</t>
        </is>
      </c>
      <c r="E52" s="7">
        <f>IFERROR(INDEX(_Stages!$A$1:$A$8,MIN(MATCH(D52,_Stages!$A$1:$A$8,0)+1,8)),"")</f>
        <v/>
      </c>
      <c r="F52" s="7" t="inlineStr">
        <is>
          <t>Approved</t>
        </is>
      </c>
      <c r="G52" s="7" t="inlineStr">
        <is>
          <t>Complete</t>
        </is>
      </c>
      <c r="H52" s="7" t="inlineStr">
        <is>
          <t>CTO</t>
        </is>
      </c>
      <c r="I52" s="8" t="n">
        <v>45912</v>
      </c>
      <c r="J52" s="8" t="n">
        <v>45929</v>
      </c>
      <c r="K52" s="7" t="inlineStr">
        <is>
          <t>Rework</t>
        </is>
      </c>
      <c r="M52" s="7" t="n">
        <v>100</v>
      </c>
      <c r="N52" s="7" t="n">
        <v>17</v>
      </c>
      <c r="O52" s="7">
        <f>A52&amp;"|"&amp;D52</f>
        <v/>
      </c>
    </row>
    <row r="53" ht="15" customHeight="1" s="5">
      <c r="A53" s="7" t="inlineStr">
        <is>
          <t>PRJ007</t>
        </is>
      </c>
      <c r="B53" s="7">
        <f>IFERROR(VLOOKUP(A53,Projects!$A:$AK,2,FALSE()),"")</f>
        <v/>
      </c>
      <c r="C53" s="7">
        <f>IFERROR(VLOOKUP(A53,Projects!$A:$AK,14,FALSE()),"")</f>
        <v/>
      </c>
      <c r="D53" s="7" t="inlineStr">
        <is>
          <t>Business Case / Full Funding</t>
        </is>
      </c>
      <c r="E53" s="7">
        <f>IFERROR(INDEX(_Stages!$A$1:$A$8,MIN(MATCH(D53,_Stages!$A$1:$A$8,0)+1,8)),"")</f>
        <v/>
      </c>
      <c r="F53" s="7" t="inlineStr">
        <is>
          <t>In Progress</t>
        </is>
      </c>
      <c r="G53" s="7" t="inlineStr">
        <is>
          <t>In Progress</t>
        </is>
      </c>
      <c r="H53" s="7" t="inlineStr">
        <is>
          <t>CTO</t>
        </is>
      </c>
      <c r="I53" s="8" t="n">
        <v>45972</v>
      </c>
      <c r="L53" s="7" t="inlineStr">
        <is>
          <t>Approved with conditions</t>
        </is>
      </c>
      <c r="M53" s="7" t="n">
        <v>93</v>
      </c>
      <c r="N53" s="7" t="n">
        <v>0</v>
      </c>
      <c r="O53" s="7">
        <f>A53&amp;"|"&amp;D53</f>
        <v/>
      </c>
    </row>
    <row r="54" ht="15" customHeight="1" s="5">
      <c r="A54" s="7" t="inlineStr">
        <is>
          <t>PRJ007</t>
        </is>
      </c>
      <c r="B54" s="7">
        <f>IFERROR(VLOOKUP(A54,Projects!$A:$AK,2,FALSE()),"")</f>
        <v/>
      </c>
      <c r="C54" s="7">
        <f>IFERROR(VLOOKUP(A54,Projects!$A:$AK,14,FALSE()),"")</f>
        <v/>
      </c>
      <c r="D54" s="7" t="inlineStr">
        <is>
          <t>Build</t>
        </is>
      </c>
      <c r="E54" s="7">
        <f>IFERROR(INDEX(_Stages!$A$1:$A$8,MIN(MATCH(D54,_Stages!$A$1:$A$8,0)+1,8)),"")</f>
        <v/>
      </c>
      <c r="F54" s="7" t="inlineStr">
        <is>
          <t>Not Started</t>
        </is>
      </c>
      <c r="G54" s="7" t="inlineStr">
        <is>
          <t>Not Started</t>
        </is>
      </c>
      <c r="H54" s="7" t="inlineStr">
        <is>
          <t>CTO</t>
        </is>
      </c>
      <c r="I54" s="8" t="n">
        <v>46032</v>
      </c>
      <c r="L54" s="7" t="inlineStr">
        <is>
          <t>Awaiting sponsor sign-off</t>
        </is>
      </c>
      <c r="M54" s="7" t="n">
        <v>0</v>
      </c>
      <c r="N54" s="7" t="n">
        <v>0</v>
      </c>
      <c r="O54" s="7">
        <f>A54&amp;"|"&amp;D54</f>
        <v/>
      </c>
    </row>
    <row r="55" ht="15" customHeight="1" s="5">
      <c r="A55" s="7" t="inlineStr">
        <is>
          <t>PRJ007</t>
        </is>
      </c>
      <c r="B55" s="7">
        <f>IFERROR(VLOOKUP(A55,Projects!$A:$AK,2,FALSE()),"")</f>
        <v/>
      </c>
      <c r="C55" s="7">
        <f>IFERROR(VLOOKUP(A55,Projects!$A:$AK,14,FALSE()),"")</f>
        <v/>
      </c>
      <c r="D55" s="7" t="inlineStr">
        <is>
          <t>Testing</t>
        </is>
      </c>
      <c r="E55" s="7">
        <f>IFERROR(INDEX(_Stages!$A$1:$A$8,MIN(MATCH(D55,_Stages!$A$1:$A$8,0)+1,8)),"")</f>
        <v/>
      </c>
      <c r="F55" s="7" t="inlineStr">
        <is>
          <t>Not Started</t>
        </is>
      </c>
      <c r="G55" s="7" t="inlineStr">
        <is>
          <t>Not Started</t>
        </is>
      </c>
      <c r="H55" s="7" t="inlineStr">
        <is>
          <t>CTO</t>
        </is>
      </c>
      <c r="I55" s="8" t="n">
        <v>46092</v>
      </c>
      <c r="L55" s="7" t="inlineStr">
        <is>
          <t>On track</t>
        </is>
      </c>
      <c r="M55" s="7" t="n">
        <v>0</v>
      </c>
      <c r="N55" s="7" t="n">
        <v>0</v>
      </c>
      <c r="O55" s="7">
        <f>A55&amp;"|"&amp;D55</f>
        <v/>
      </c>
    </row>
    <row r="56" ht="15" customHeight="1" s="5">
      <c r="A56" s="7" t="inlineStr">
        <is>
          <t>PRJ007</t>
        </is>
      </c>
      <c r="B56" s="7">
        <f>IFERROR(VLOOKUP(A56,Projects!$A:$AK,2,FALSE()),"")</f>
        <v/>
      </c>
      <c r="C56" s="7">
        <f>IFERROR(VLOOKUP(A56,Projects!$A:$AK,14,FALSE()),"")</f>
        <v/>
      </c>
      <c r="D56" s="7" t="inlineStr">
        <is>
          <t>Deployment</t>
        </is>
      </c>
      <c r="E56" s="7">
        <f>IFERROR(INDEX(_Stages!$A$1:$A$8,MIN(MATCH(D56,_Stages!$A$1:$A$8,0)+1,8)),"")</f>
        <v/>
      </c>
      <c r="F56" s="7" t="inlineStr">
        <is>
          <t>Not Started</t>
        </is>
      </c>
      <c r="G56" s="7" t="inlineStr">
        <is>
          <t>Not Started</t>
        </is>
      </c>
      <c r="H56" s="7" t="inlineStr">
        <is>
          <t>CTO</t>
        </is>
      </c>
      <c r="I56" s="8" t="n">
        <v>46152</v>
      </c>
      <c r="M56" s="7" t="n">
        <v>0</v>
      </c>
      <c r="N56" s="7" t="n">
        <v>0</v>
      </c>
      <c r="O56" s="7">
        <f>A56&amp;"|"&amp;D56</f>
        <v/>
      </c>
    </row>
    <row r="57" ht="15" customHeight="1" s="5">
      <c r="A57" s="7" t="inlineStr">
        <is>
          <t>PRJ007</t>
        </is>
      </c>
      <c r="B57" s="7">
        <f>IFERROR(VLOOKUP(A57,Projects!$A:$AK,2,FALSE()),"")</f>
        <v/>
      </c>
      <c r="C57" s="7">
        <f>IFERROR(VLOOKUP(A57,Projects!$A:$AK,14,FALSE()),"")</f>
        <v/>
      </c>
      <c r="D57" s="7" t="inlineStr">
        <is>
          <t>Handover</t>
        </is>
      </c>
      <c r="E57" s="7">
        <f>IFERROR(INDEX(_Stages!$A$1:$A$8,MIN(MATCH(D57,_Stages!$A$1:$A$8,0)+1,8)),"")</f>
        <v/>
      </c>
      <c r="F57" s="7" t="inlineStr">
        <is>
          <t>Not Started</t>
        </is>
      </c>
      <c r="G57" s="7" t="inlineStr">
        <is>
          <t>Not Started</t>
        </is>
      </c>
      <c r="H57" s="7" t="inlineStr">
        <is>
          <t>CTO</t>
        </is>
      </c>
      <c r="I57" s="8" t="n">
        <v>46212</v>
      </c>
      <c r="L57" s="7" t="inlineStr">
        <is>
          <t>Awaiting sponsor sign-off</t>
        </is>
      </c>
      <c r="M57" s="7" t="n">
        <v>0</v>
      </c>
      <c r="N57" s="7" t="n">
        <v>0</v>
      </c>
      <c r="O57" s="7">
        <f>A57&amp;"|"&amp;D57</f>
        <v/>
      </c>
    </row>
    <row r="58" ht="15" customHeight="1" s="5">
      <c r="A58" s="7" t="inlineStr">
        <is>
          <t>PRJ008</t>
        </is>
      </c>
      <c r="B58" s="7">
        <f>IFERROR(VLOOKUP(A58,Projects!$A:$AK,2,FALSE()),"")</f>
        <v/>
      </c>
      <c r="C58" s="7">
        <f>IFERROR(VLOOKUP(A58,Projects!$A:$AK,14,FALSE()),"")</f>
        <v/>
      </c>
      <c r="D58" s="7" t="inlineStr">
        <is>
          <t>Discovery</t>
        </is>
      </c>
      <c r="E58" s="7">
        <f>IFERROR(INDEX(_Stages!$A$1:$A$8,MIN(MATCH(D58,_Stages!$A$1:$A$8,0)+1,8)),"")</f>
        <v/>
      </c>
      <c r="F58" s="7" t="inlineStr">
        <is>
          <t>Approved</t>
        </is>
      </c>
      <c r="G58" s="7" t="inlineStr">
        <is>
          <t>Complete</t>
        </is>
      </c>
      <c r="H58" s="7" t="inlineStr">
        <is>
          <t>CTO</t>
        </is>
      </c>
      <c r="I58" s="8" t="n">
        <v>45780</v>
      </c>
      <c r="J58" s="8" t="n">
        <v>45796</v>
      </c>
      <c r="K58" s="7" t="inlineStr">
        <is>
          <t>Conditional</t>
        </is>
      </c>
      <c r="L58" s="7" t="inlineStr">
        <is>
          <t>Awaiting sponsor sign-off</t>
        </is>
      </c>
      <c r="M58" s="7" t="n">
        <v>100</v>
      </c>
      <c r="N58" s="7" t="n">
        <v>16</v>
      </c>
      <c r="O58" s="7">
        <f>A58&amp;"|"&amp;D58</f>
        <v/>
      </c>
    </row>
    <row r="59" ht="15" customHeight="1" s="5">
      <c r="A59" s="7" t="inlineStr">
        <is>
          <t>PRJ008</t>
        </is>
      </c>
      <c r="B59" s="7">
        <f>IFERROR(VLOOKUP(A59,Projects!$A:$AK,2,FALSE()),"")</f>
        <v/>
      </c>
      <c r="C59" s="7">
        <f>IFERROR(VLOOKUP(A59,Projects!$A:$AK,14,FALSE()),"")</f>
        <v/>
      </c>
      <c r="D59" s="7" t="inlineStr">
        <is>
          <t>Business Case / Seed Funding</t>
        </is>
      </c>
      <c r="E59" s="7">
        <f>IFERROR(INDEX(_Stages!$A$1:$A$8,MIN(MATCH(D59,_Stages!$A$1:$A$8,0)+1,8)),"")</f>
        <v/>
      </c>
      <c r="F59" s="7" t="inlineStr">
        <is>
          <t>Approved</t>
        </is>
      </c>
      <c r="G59" s="7" t="inlineStr">
        <is>
          <t>Complete</t>
        </is>
      </c>
      <c r="H59" s="7" t="inlineStr">
        <is>
          <t>CTO</t>
        </is>
      </c>
      <c r="I59" s="8" t="n">
        <v>45840</v>
      </c>
      <c r="J59" s="8" t="n">
        <v>45860</v>
      </c>
      <c r="K59" s="7" t="inlineStr">
        <is>
          <t>Held</t>
        </is>
      </c>
      <c r="L59" s="7" t="inlineStr">
        <is>
          <t>On track</t>
        </is>
      </c>
      <c r="M59" s="7" t="n">
        <v>100</v>
      </c>
      <c r="N59" s="7" t="n">
        <v>20</v>
      </c>
      <c r="O59" s="7">
        <f>A59&amp;"|"&amp;D59</f>
        <v/>
      </c>
    </row>
    <row r="60" ht="15" customHeight="1" s="5">
      <c r="A60" s="7" t="inlineStr">
        <is>
          <t>PRJ008</t>
        </is>
      </c>
      <c r="B60" s="7">
        <f>IFERROR(VLOOKUP(A60,Projects!$A:$AK,2,FALSE()),"")</f>
        <v/>
      </c>
      <c r="C60" s="7">
        <f>IFERROR(VLOOKUP(A60,Projects!$A:$AK,14,FALSE()),"")</f>
        <v/>
      </c>
      <c r="D60" s="7" t="inlineStr">
        <is>
          <t>Design</t>
        </is>
      </c>
      <c r="E60" s="7">
        <f>IFERROR(INDEX(_Stages!$A$1:$A$8,MIN(MATCH(D60,_Stages!$A$1:$A$8,0)+1,8)),"")</f>
        <v/>
      </c>
      <c r="F60" s="7" t="inlineStr">
        <is>
          <t>Approved</t>
        </is>
      </c>
      <c r="G60" s="7" t="inlineStr">
        <is>
          <t>Complete</t>
        </is>
      </c>
      <c r="H60" s="7" t="inlineStr">
        <is>
          <t>CTO</t>
        </is>
      </c>
      <c r="I60" s="8" t="n">
        <v>45900</v>
      </c>
      <c r="J60" s="8" t="n">
        <v>45896</v>
      </c>
      <c r="K60" s="7" t="inlineStr">
        <is>
          <t>Held</t>
        </is>
      </c>
      <c r="M60" s="7" t="n">
        <v>100</v>
      </c>
      <c r="N60" s="7" t="n">
        <v>0</v>
      </c>
      <c r="O60" s="7">
        <f>A60&amp;"|"&amp;D60</f>
        <v/>
      </c>
    </row>
    <row r="61" ht="15" customHeight="1" s="5">
      <c r="A61" s="7" t="inlineStr">
        <is>
          <t>PRJ008</t>
        </is>
      </c>
      <c r="B61" s="7">
        <f>IFERROR(VLOOKUP(A61,Projects!$A:$AK,2,FALSE()),"")</f>
        <v/>
      </c>
      <c r="C61" s="7">
        <f>IFERROR(VLOOKUP(A61,Projects!$A:$AK,14,FALSE()),"")</f>
        <v/>
      </c>
      <c r="D61" s="7" t="inlineStr">
        <is>
          <t>Business Case / Full Funding</t>
        </is>
      </c>
      <c r="E61" s="7">
        <f>IFERROR(INDEX(_Stages!$A$1:$A$8,MIN(MATCH(D61,_Stages!$A$1:$A$8,0)+1,8)),"")</f>
        <v/>
      </c>
      <c r="F61" s="7" t="inlineStr">
        <is>
          <t>Approved</t>
        </is>
      </c>
      <c r="G61" s="7" t="inlineStr">
        <is>
          <t>Complete</t>
        </is>
      </c>
      <c r="H61" s="7" t="inlineStr">
        <is>
          <t>CTO</t>
        </is>
      </c>
      <c r="I61" s="8" t="n">
        <v>45960</v>
      </c>
      <c r="J61" s="8" t="n">
        <v>45984</v>
      </c>
      <c r="K61" s="7" t="inlineStr">
        <is>
          <t>Rework</t>
        </is>
      </c>
      <c r="L61" s="7" t="inlineStr">
        <is>
          <t>Approved with conditions</t>
        </is>
      </c>
      <c r="M61" s="7" t="n">
        <v>100</v>
      </c>
      <c r="N61" s="7" t="n">
        <v>24</v>
      </c>
      <c r="O61" s="7">
        <f>A61&amp;"|"&amp;D61</f>
        <v/>
      </c>
    </row>
    <row r="62" ht="15" customHeight="1" s="5">
      <c r="A62" s="7" t="inlineStr">
        <is>
          <t>PRJ008</t>
        </is>
      </c>
      <c r="B62" s="7">
        <f>IFERROR(VLOOKUP(A62,Projects!$A:$AK,2,FALSE()),"")</f>
        <v/>
      </c>
      <c r="C62" s="7">
        <f>IFERROR(VLOOKUP(A62,Projects!$A:$AK,14,FALSE()),"")</f>
        <v/>
      </c>
      <c r="D62" s="7" t="inlineStr">
        <is>
          <t>Build</t>
        </is>
      </c>
      <c r="E62" s="7">
        <f>IFERROR(INDEX(_Stages!$A$1:$A$8,MIN(MATCH(D62,_Stages!$A$1:$A$8,0)+1,8)),"")</f>
        <v/>
      </c>
      <c r="F62" s="7" t="inlineStr">
        <is>
          <t>Approved</t>
        </is>
      </c>
      <c r="G62" s="7" t="inlineStr">
        <is>
          <t>Complete</t>
        </is>
      </c>
      <c r="H62" s="7" t="inlineStr">
        <is>
          <t>CTO</t>
        </is>
      </c>
      <c r="I62" s="8" t="n">
        <v>46020</v>
      </c>
      <c r="J62" s="8" t="n">
        <v>46050</v>
      </c>
      <c r="K62" s="7" t="inlineStr">
        <is>
          <t>Proceed</t>
        </is>
      </c>
      <c r="M62" s="7" t="n">
        <v>100</v>
      </c>
      <c r="N62" s="7" t="n">
        <v>30</v>
      </c>
      <c r="O62" s="7">
        <f>A62&amp;"|"&amp;D62</f>
        <v/>
      </c>
    </row>
    <row r="63" ht="15" customHeight="1" s="5">
      <c r="A63" s="7" t="inlineStr">
        <is>
          <t>PRJ008</t>
        </is>
      </c>
      <c r="B63" s="7">
        <f>IFERROR(VLOOKUP(A63,Projects!$A:$AK,2,FALSE()),"")</f>
        <v/>
      </c>
      <c r="C63" s="7">
        <f>IFERROR(VLOOKUP(A63,Projects!$A:$AK,14,FALSE()),"")</f>
        <v/>
      </c>
      <c r="D63" s="7" t="inlineStr">
        <is>
          <t>Testing</t>
        </is>
      </c>
      <c r="E63" s="7">
        <f>IFERROR(INDEX(_Stages!$A$1:$A$8,MIN(MATCH(D63,_Stages!$A$1:$A$8,0)+1,8)),"")</f>
        <v/>
      </c>
      <c r="F63" s="7" t="inlineStr">
        <is>
          <t>Approved</t>
        </is>
      </c>
      <c r="G63" s="7" t="inlineStr">
        <is>
          <t>Complete</t>
        </is>
      </c>
      <c r="H63" s="7" t="inlineStr">
        <is>
          <t>CTO</t>
        </is>
      </c>
      <c r="I63" s="8" t="n">
        <v>46080</v>
      </c>
      <c r="J63" s="8" t="n">
        <v>46082</v>
      </c>
      <c r="K63" s="7" t="inlineStr">
        <is>
          <t>Conditional</t>
        </is>
      </c>
      <c r="L63" s="7" t="inlineStr">
        <is>
          <t>On track</t>
        </is>
      </c>
      <c r="M63" s="7" t="n">
        <v>100</v>
      </c>
      <c r="N63" s="7" t="n">
        <v>2</v>
      </c>
      <c r="O63" s="7">
        <f>A63&amp;"|"&amp;D63</f>
        <v/>
      </c>
    </row>
    <row r="64" ht="15" customHeight="1" s="5">
      <c r="A64" s="7" t="inlineStr">
        <is>
          <t>PRJ008</t>
        </is>
      </c>
      <c r="B64" s="7">
        <f>IFERROR(VLOOKUP(A64,Projects!$A:$AK,2,FALSE()),"")</f>
        <v/>
      </c>
      <c r="C64" s="7">
        <f>IFERROR(VLOOKUP(A64,Projects!$A:$AK,14,FALSE()),"")</f>
        <v/>
      </c>
      <c r="D64" s="7" t="inlineStr">
        <is>
          <t>Deployment</t>
        </is>
      </c>
      <c r="E64" s="7">
        <f>IFERROR(INDEX(_Stages!$A$1:$A$8,MIN(MATCH(D64,_Stages!$A$1:$A$8,0)+1,8)),"")</f>
        <v/>
      </c>
      <c r="F64" s="7" t="inlineStr">
        <is>
          <t>Approved</t>
        </is>
      </c>
      <c r="G64" s="7" t="inlineStr">
        <is>
          <t>Complete</t>
        </is>
      </c>
      <c r="H64" s="7" t="inlineStr">
        <is>
          <t>CTO</t>
        </is>
      </c>
      <c r="I64" s="8" t="n">
        <v>46140</v>
      </c>
      <c r="J64" s="8" t="n">
        <v>46170</v>
      </c>
      <c r="K64" s="7" t="inlineStr">
        <is>
          <t>Conditional</t>
        </is>
      </c>
      <c r="L64" s="7" t="inlineStr">
        <is>
          <t>On track</t>
        </is>
      </c>
      <c r="M64" s="7" t="n">
        <v>100</v>
      </c>
      <c r="N64" s="7" t="n">
        <v>30</v>
      </c>
      <c r="O64" s="7">
        <f>A64&amp;"|"&amp;D64</f>
        <v/>
      </c>
    </row>
    <row r="65" ht="15" customHeight="1" s="5">
      <c r="A65" s="7" t="inlineStr">
        <is>
          <t>PRJ008</t>
        </is>
      </c>
      <c r="B65" s="7">
        <f>IFERROR(VLOOKUP(A65,Projects!$A:$AK,2,FALSE()),"")</f>
        <v/>
      </c>
      <c r="C65" s="7">
        <f>IFERROR(VLOOKUP(A65,Projects!$A:$AK,14,FALSE()),"")</f>
        <v/>
      </c>
      <c r="D65" s="7" t="inlineStr">
        <is>
          <t>Handover</t>
        </is>
      </c>
      <c r="E65" s="7">
        <f>IFERROR(INDEX(_Stages!$A$1:$A$8,MIN(MATCH(D65,_Stages!$A$1:$A$8,0)+1,8)),"")</f>
        <v/>
      </c>
      <c r="F65" s="7" t="inlineStr">
        <is>
          <t>In Progress</t>
        </is>
      </c>
      <c r="G65" s="7" t="inlineStr">
        <is>
          <t>In Progress</t>
        </is>
      </c>
      <c r="H65" s="7" t="inlineStr">
        <is>
          <t>CTO</t>
        </is>
      </c>
      <c r="I65" s="8" t="n">
        <v>46200</v>
      </c>
      <c r="M65" s="7" t="n">
        <v>45</v>
      </c>
      <c r="N65" s="7" t="n">
        <v>0</v>
      </c>
      <c r="O65" s="7">
        <f>A65&amp;"|"&amp;D65</f>
        <v/>
      </c>
    </row>
    <row r="66" ht="15" customHeight="1" s="5">
      <c r="A66" s="7" t="inlineStr">
        <is>
          <t>PRJ009</t>
        </is>
      </c>
      <c r="B66" s="7">
        <f>IFERROR(VLOOKUP(A66,Projects!$A:$AK,2,FALSE()),"")</f>
        <v/>
      </c>
      <c r="C66" s="7">
        <f>IFERROR(VLOOKUP(A66,Projects!$A:$AK,14,FALSE()),"")</f>
        <v/>
      </c>
      <c r="D66" s="7" t="inlineStr">
        <is>
          <t>Discovery</t>
        </is>
      </c>
      <c r="E66" s="7">
        <f>IFERROR(INDEX(_Stages!$A$1:$A$8,MIN(MATCH(D66,_Stages!$A$1:$A$8,0)+1,8)),"")</f>
        <v/>
      </c>
      <c r="F66" s="7" t="inlineStr">
        <is>
          <t>In Progress</t>
        </is>
      </c>
      <c r="G66" s="7" t="inlineStr">
        <is>
          <t>In Progress</t>
        </is>
      </c>
      <c r="H66" s="7" t="inlineStr">
        <is>
          <t>CFO</t>
        </is>
      </c>
      <c r="I66" s="8" t="n">
        <v>46023</v>
      </c>
      <c r="L66" s="7" t="inlineStr">
        <is>
          <t>Awaiting sponsor sign-off</t>
        </is>
      </c>
      <c r="M66" s="7" t="n">
        <v>88</v>
      </c>
      <c r="N66" s="7" t="n">
        <v>0</v>
      </c>
      <c r="O66" s="7">
        <f>A66&amp;"|"&amp;D66</f>
        <v/>
      </c>
    </row>
    <row r="67" ht="15" customHeight="1" s="5">
      <c r="A67" s="7" t="inlineStr">
        <is>
          <t>PRJ009</t>
        </is>
      </c>
      <c r="B67" s="7">
        <f>IFERROR(VLOOKUP(A67,Projects!$A:$AK,2,FALSE()),"")</f>
        <v/>
      </c>
      <c r="C67" s="7">
        <f>IFERROR(VLOOKUP(A67,Projects!$A:$AK,14,FALSE()),"")</f>
        <v/>
      </c>
      <c r="D67" s="7" t="inlineStr">
        <is>
          <t>Business Case / Seed Funding</t>
        </is>
      </c>
      <c r="E67" s="7">
        <f>IFERROR(INDEX(_Stages!$A$1:$A$8,MIN(MATCH(D67,_Stages!$A$1:$A$8,0)+1,8)),"")</f>
        <v/>
      </c>
      <c r="F67" s="7" t="inlineStr">
        <is>
          <t>Not Started</t>
        </is>
      </c>
      <c r="G67" s="7" t="inlineStr">
        <is>
          <t>Not Started</t>
        </is>
      </c>
      <c r="H67" s="7" t="inlineStr">
        <is>
          <t>CFO</t>
        </is>
      </c>
      <c r="I67" s="8" t="n">
        <v>46083</v>
      </c>
      <c r="M67" s="7" t="n">
        <v>0</v>
      </c>
      <c r="N67" s="7" t="n">
        <v>0</v>
      </c>
      <c r="O67" s="7">
        <f>A67&amp;"|"&amp;D67</f>
        <v/>
      </c>
    </row>
    <row r="68" ht="15" customHeight="1" s="5">
      <c r="A68" s="7" t="inlineStr">
        <is>
          <t>PRJ009</t>
        </is>
      </c>
      <c r="B68" s="7">
        <f>IFERROR(VLOOKUP(A68,Projects!$A:$AK,2,FALSE()),"")</f>
        <v/>
      </c>
      <c r="C68" s="7">
        <f>IFERROR(VLOOKUP(A68,Projects!$A:$AK,14,FALSE()),"")</f>
        <v/>
      </c>
      <c r="D68" s="7" t="inlineStr">
        <is>
          <t>Design</t>
        </is>
      </c>
      <c r="E68" s="7">
        <f>IFERROR(INDEX(_Stages!$A$1:$A$8,MIN(MATCH(D68,_Stages!$A$1:$A$8,0)+1,8)),"")</f>
        <v/>
      </c>
      <c r="F68" s="7" t="inlineStr">
        <is>
          <t>Not Started</t>
        </is>
      </c>
      <c r="G68" s="7" t="inlineStr">
        <is>
          <t>Not Started</t>
        </is>
      </c>
      <c r="H68" s="7" t="inlineStr">
        <is>
          <t>CFO</t>
        </is>
      </c>
      <c r="I68" s="8" t="n">
        <v>46143</v>
      </c>
      <c r="M68" s="7" t="n">
        <v>0</v>
      </c>
      <c r="N68" s="7" t="n">
        <v>0</v>
      </c>
      <c r="O68" s="7">
        <f>A68&amp;"|"&amp;D68</f>
        <v/>
      </c>
    </row>
    <row r="69" ht="15" customHeight="1" s="5">
      <c r="A69" s="7" t="inlineStr">
        <is>
          <t>PRJ009</t>
        </is>
      </c>
      <c r="B69" s="7">
        <f>IFERROR(VLOOKUP(A69,Projects!$A:$AK,2,FALSE()),"")</f>
        <v/>
      </c>
      <c r="C69" s="7">
        <f>IFERROR(VLOOKUP(A69,Projects!$A:$AK,14,FALSE()),"")</f>
        <v/>
      </c>
      <c r="D69" s="7" t="inlineStr">
        <is>
          <t>Business Case / Full Funding</t>
        </is>
      </c>
      <c r="E69" s="7">
        <f>IFERROR(INDEX(_Stages!$A$1:$A$8,MIN(MATCH(D69,_Stages!$A$1:$A$8,0)+1,8)),"")</f>
        <v/>
      </c>
      <c r="F69" s="7" t="inlineStr">
        <is>
          <t>Not Started</t>
        </is>
      </c>
      <c r="G69" s="7" t="inlineStr">
        <is>
          <t>Not Started</t>
        </is>
      </c>
      <c r="H69" s="7" t="inlineStr">
        <is>
          <t>CFO</t>
        </is>
      </c>
      <c r="I69" s="8" t="n">
        <v>46203</v>
      </c>
      <c r="L69" s="7" t="inlineStr">
        <is>
          <t>On track</t>
        </is>
      </c>
      <c r="M69" s="7" t="n">
        <v>0</v>
      </c>
      <c r="N69" s="7" t="n">
        <v>0</v>
      </c>
      <c r="O69" s="7">
        <f>A69&amp;"|"&amp;D69</f>
        <v/>
      </c>
    </row>
    <row r="70" ht="15" customHeight="1" s="5">
      <c r="A70" s="7" t="inlineStr">
        <is>
          <t>PRJ009</t>
        </is>
      </c>
      <c r="B70" s="7">
        <f>IFERROR(VLOOKUP(A70,Projects!$A:$AK,2,FALSE()),"")</f>
        <v/>
      </c>
      <c r="C70" s="7">
        <f>IFERROR(VLOOKUP(A70,Projects!$A:$AK,14,FALSE()),"")</f>
        <v/>
      </c>
      <c r="D70" s="7" t="inlineStr">
        <is>
          <t>Build</t>
        </is>
      </c>
      <c r="E70" s="7">
        <f>IFERROR(INDEX(_Stages!$A$1:$A$8,MIN(MATCH(D70,_Stages!$A$1:$A$8,0)+1,8)),"")</f>
        <v/>
      </c>
      <c r="F70" s="7" t="inlineStr">
        <is>
          <t>Not Started</t>
        </is>
      </c>
      <c r="G70" s="7" t="inlineStr">
        <is>
          <t>Not Started</t>
        </is>
      </c>
      <c r="H70" s="7" t="inlineStr">
        <is>
          <t>CFO</t>
        </is>
      </c>
      <c r="I70" s="8" t="n">
        <v>46263</v>
      </c>
      <c r="L70" s="7" t="inlineStr">
        <is>
          <t>On track</t>
        </is>
      </c>
      <c r="M70" s="7" t="n">
        <v>0</v>
      </c>
      <c r="N70" s="7" t="n">
        <v>0</v>
      </c>
      <c r="O70" s="7">
        <f>A70&amp;"|"&amp;D70</f>
        <v/>
      </c>
    </row>
    <row r="71" ht="15" customHeight="1" s="5">
      <c r="A71" s="7" t="inlineStr">
        <is>
          <t>PRJ009</t>
        </is>
      </c>
      <c r="B71" s="7">
        <f>IFERROR(VLOOKUP(A71,Projects!$A:$AK,2,FALSE()),"")</f>
        <v/>
      </c>
      <c r="C71" s="7">
        <f>IFERROR(VLOOKUP(A71,Projects!$A:$AK,14,FALSE()),"")</f>
        <v/>
      </c>
      <c r="D71" s="7" t="inlineStr">
        <is>
          <t>Testing</t>
        </is>
      </c>
      <c r="E71" s="7">
        <f>IFERROR(INDEX(_Stages!$A$1:$A$8,MIN(MATCH(D71,_Stages!$A$1:$A$8,0)+1,8)),"")</f>
        <v/>
      </c>
      <c r="F71" s="7" t="inlineStr">
        <is>
          <t>Not Started</t>
        </is>
      </c>
      <c r="G71" s="7" t="inlineStr">
        <is>
          <t>Not Started</t>
        </is>
      </c>
      <c r="H71" s="7" t="inlineStr">
        <is>
          <t>CFO</t>
        </is>
      </c>
      <c r="I71" s="8" t="n">
        <v>46323</v>
      </c>
      <c r="M71" s="7" t="n">
        <v>0</v>
      </c>
      <c r="N71" s="7" t="n">
        <v>0</v>
      </c>
      <c r="O71" s="7">
        <f>A71&amp;"|"&amp;D71</f>
        <v/>
      </c>
    </row>
    <row r="72" ht="15" customHeight="1" s="5">
      <c r="A72" s="7" t="inlineStr">
        <is>
          <t>PRJ009</t>
        </is>
      </c>
      <c r="B72" s="7">
        <f>IFERROR(VLOOKUP(A72,Projects!$A:$AK,2,FALSE()),"")</f>
        <v/>
      </c>
      <c r="C72" s="7">
        <f>IFERROR(VLOOKUP(A72,Projects!$A:$AK,14,FALSE()),"")</f>
        <v/>
      </c>
      <c r="D72" s="7" t="inlineStr">
        <is>
          <t>Deployment</t>
        </is>
      </c>
      <c r="E72" s="7">
        <f>IFERROR(INDEX(_Stages!$A$1:$A$8,MIN(MATCH(D72,_Stages!$A$1:$A$8,0)+1,8)),"")</f>
        <v/>
      </c>
      <c r="F72" s="7" t="inlineStr">
        <is>
          <t>Not Started</t>
        </is>
      </c>
      <c r="G72" s="7" t="inlineStr">
        <is>
          <t>Not Started</t>
        </is>
      </c>
      <c r="H72" s="7" t="inlineStr">
        <is>
          <t>CFO</t>
        </is>
      </c>
      <c r="I72" s="8" t="n">
        <v>46383</v>
      </c>
      <c r="L72" s="7" t="inlineStr">
        <is>
          <t>Awaiting sponsor sign-off</t>
        </is>
      </c>
      <c r="M72" s="7" t="n">
        <v>0</v>
      </c>
      <c r="N72" s="7" t="n">
        <v>0</v>
      </c>
      <c r="O72" s="7">
        <f>A72&amp;"|"&amp;D72</f>
        <v/>
      </c>
    </row>
    <row r="73" ht="15" customHeight="1" s="5">
      <c r="A73" s="7" t="inlineStr">
        <is>
          <t>PRJ009</t>
        </is>
      </c>
      <c r="B73" s="7">
        <f>IFERROR(VLOOKUP(A73,Projects!$A:$AK,2,FALSE()),"")</f>
        <v/>
      </c>
      <c r="C73" s="7">
        <f>IFERROR(VLOOKUP(A73,Projects!$A:$AK,14,FALSE()),"")</f>
        <v/>
      </c>
      <c r="D73" s="7" t="inlineStr">
        <is>
          <t>Handover</t>
        </is>
      </c>
      <c r="E73" s="7">
        <f>IFERROR(INDEX(_Stages!$A$1:$A$8,MIN(MATCH(D73,_Stages!$A$1:$A$8,0)+1,8)),"")</f>
        <v/>
      </c>
      <c r="F73" s="7" t="inlineStr">
        <is>
          <t>Not Started</t>
        </is>
      </c>
      <c r="G73" s="7" t="inlineStr">
        <is>
          <t>Not Started</t>
        </is>
      </c>
      <c r="H73" s="7" t="inlineStr">
        <is>
          <t>CFO</t>
        </is>
      </c>
      <c r="I73" s="8" t="n">
        <v>46443</v>
      </c>
      <c r="M73" s="7" t="n">
        <v>0</v>
      </c>
      <c r="N73" s="7" t="n">
        <v>0</v>
      </c>
      <c r="O73" s="7">
        <f>A73&amp;"|"&amp;D73</f>
        <v/>
      </c>
    </row>
    <row r="74" ht="15" customHeight="1" s="5">
      <c r="A74" s="7" t="inlineStr">
        <is>
          <t>PRJ010</t>
        </is>
      </c>
      <c r="B74" s="7">
        <f>IFERROR(VLOOKUP(A74,Projects!$A:$AK,2,FALSE()),"")</f>
        <v/>
      </c>
      <c r="C74" s="7">
        <f>IFERROR(VLOOKUP(A74,Projects!$A:$AK,14,FALSE()),"")</f>
        <v/>
      </c>
      <c r="D74" s="7" t="inlineStr">
        <is>
          <t>Discovery</t>
        </is>
      </c>
      <c r="E74" s="7">
        <f>IFERROR(INDEX(_Stages!$A$1:$A$8,MIN(MATCH(D74,_Stages!$A$1:$A$8,0)+1,8)),"")</f>
        <v/>
      </c>
      <c r="F74" s="7" t="inlineStr">
        <is>
          <t>Approved</t>
        </is>
      </c>
      <c r="G74" s="7" t="inlineStr">
        <is>
          <t>Complete</t>
        </is>
      </c>
      <c r="H74" s="7" t="inlineStr">
        <is>
          <t>CFO</t>
        </is>
      </c>
      <c r="I74" s="8" t="n">
        <v>45694</v>
      </c>
      <c r="J74" s="8" t="n">
        <v>45703</v>
      </c>
      <c r="K74" s="7" t="inlineStr">
        <is>
          <t>Proceed</t>
        </is>
      </c>
      <c r="L74" s="7" t="inlineStr">
        <is>
          <t>Awaiting sponsor sign-off</t>
        </is>
      </c>
      <c r="M74" s="7" t="n">
        <v>100</v>
      </c>
      <c r="N74" s="7" t="n">
        <v>9</v>
      </c>
      <c r="O74" s="7">
        <f>A74&amp;"|"&amp;D74</f>
        <v/>
      </c>
    </row>
    <row r="75" ht="15" customHeight="1" s="5">
      <c r="A75" s="7" t="inlineStr">
        <is>
          <t>PRJ010</t>
        </is>
      </c>
      <c r="B75" s="7">
        <f>IFERROR(VLOOKUP(A75,Projects!$A:$AK,2,FALSE()),"")</f>
        <v/>
      </c>
      <c r="C75" s="7">
        <f>IFERROR(VLOOKUP(A75,Projects!$A:$AK,14,FALSE()),"")</f>
        <v/>
      </c>
      <c r="D75" s="7" t="inlineStr">
        <is>
          <t>Business Case / Seed Funding</t>
        </is>
      </c>
      <c r="E75" s="7">
        <f>IFERROR(INDEX(_Stages!$A$1:$A$8,MIN(MATCH(D75,_Stages!$A$1:$A$8,0)+1,8)),"")</f>
        <v/>
      </c>
      <c r="F75" s="7" t="inlineStr">
        <is>
          <t>Approved</t>
        </is>
      </c>
      <c r="G75" s="7" t="inlineStr">
        <is>
          <t>Complete</t>
        </is>
      </c>
      <c r="H75" s="7" t="inlineStr">
        <is>
          <t>CFO</t>
        </is>
      </c>
      <c r="I75" s="8" t="n">
        <v>45754</v>
      </c>
      <c r="J75" s="8" t="n">
        <v>45765</v>
      </c>
      <c r="K75" s="7" t="inlineStr">
        <is>
          <t>Held</t>
        </is>
      </c>
      <c r="M75" s="7" t="n">
        <v>100</v>
      </c>
      <c r="N75" s="7" t="n">
        <v>11</v>
      </c>
      <c r="O75" s="7">
        <f>A75&amp;"|"&amp;D75</f>
        <v/>
      </c>
    </row>
    <row r="76" ht="15" customHeight="1" s="5">
      <c r="A76" s="7" t="inlineStr">
        <is>
          <t>PRJ010</t>
        </is>
      </c>
      <c r="B76" s="7">
        <f>IFERROR(VLOOKUP(A76,Projects!$A:$AK,2,FALSE()),"")</f>
        <v/>
      </c>
      <c r="C76" s="7">
        <f>IFERROR(VLOOKUP(A76,Projects!$A:$AK,14,FALSE()),"")</f>
        <v/>
      </c>
      <c r="D76" s="7" t="inlineStr">
        <is>
          <t>Design</t>
        </is>
      </c>
      <c r="E76" s="7">
        <f>IFERROR(INDEX(_Stages!$A$1:$A$8,MIN(MATCH(D76,_Stages!$A$1:$A$8,0)+1,8)),"")</f>
        <v/>
      </c>
      <c r="F76" s="7" t="inlineStr">
        <is>
          <t>Approved</t>
        </is>
      </c>
      <c r="G76" s="7" t="inlineStr">
        <is>
          <t>Complete</t>
        </is>
      </c>
      <c r="H76" s="7" t="inlineStr">
        <is>
          <t>CFO</t>
        </is>
      </c>
      <c r="I76" s="8" t="n">
        <v>45814</v>
      </c>
      <c r="J76" s="8" t="n">
        <v>45834</v>
      </c>
      <c r="K76" s="7" t="inlineStr">
        <is>
          <t>Conditional</t>
        </is>
      </c>
      <c r="L76" s="7" t="inlineStr">
        <is>
          <t>Approved with conditions</t>
        </is>
      </c>
      <c r="M76" s="7" t="n">
        <v>100</v>
      </c>
      <c r="N76" s="7" t="n">
        <v>20</v>
      </c>
      <c r="O76" s="7">
        <f>A76&amp;"|"&amp;D76</f>
        <v/>
      </c>
    </row>
    <row r="77" ht="15" customHeight="1" s="5">
      <c r="A77" s="7" t="inlineStr">
        <is>
          <t>PRJ010</t>
        </is>
      </c>
      <c r="B77" s="7">
        <f>IFERROR(VLOOKUP(A77,Projects!$A:$AK,2,FALSE()),"")</f>
        <v/>
      </c>
      <c r="C77" s="7">
        <f>IFERROR(VLOOKUP(A77,Projects!$A:$AK,14,FALSE()),"")</f>
        <v/>
      </c>
      <c r="D77" s="7" t="inlineStr">
        <is>
          <t>Business Case / Full Funding</t>
        </is>
      </c>
      <c r="E77" s="7">
        <f>IFERROR(INDEX(_Stages!$A$1:$A$8,MIN(MATCH(D77,_Stages!$A$1:$A$8,0)+1,8)),"")</f>
        <v/>
      </c>
      <c r="F77" s="7" t="inlineStr">
        <is>
          <t>Approved</t>
        </is>
      </c>
      <c r="G77" s="7" t="inlineStr">
        <is>
          <t>Complete</t>
        </is>
      </c>
      <c r="H77" s="7" t="inlineStr">
        <is>
          <t>CFO</t>
        </is>
      </c>
      <c r="I77" s="8" t="n">
        <v>45874</v>
      </c>
      <c r="J77" s="8" t="n">
        <v>45902</v>
      </c>
      <c r="K77" s="7" t="inlineStr">
        <is>
          <t>Held</t>
        </is>
      </c>
      <c r="L77" s="7" t="inlineStr">
        <is>
          <t>Approved with conditions</t>
        </is>
      </c>
      <c r="M77" s="7" t="n">
        <v>100</v>
      </c>
      <c r="N77" s="7" t="n">
        <v>28</v>
      </c>
      <c r="O77" s="7">
        <f>A77&amp;"|"&amp;D77</f>
        <v/>
      </c>
    </row>
    <row r="78" ht="15" customHeight="1" s="5">
      <c r="A78" s="7" t="inlineStr">
        <is>
          <t>PRJ010</t>
        </is>
      </c>
      <c r="B78" s="7">
        <f>IFERROR(VLOOKUP(A78,Projects!$A:$AK,2,FALSE()),"")</f>
        <v/>
      </c>
      <c r="C78" s="7">
        <f>IFERROR(VLOOKUP(A78,Projects!$A:$AK,14,FALSE()),"")</f>
        <v/>
      </c>
      <c r="D78" s="7" t="inlineStr">
        <is>
          <t>Build</t>
        </is>
      </c>
      <c r="E78" s="7">
        <f>IFERROR(INDEX(_Stages!$A$1:$A$8,MIN(MATCH(D78,_Stages!$A$1:$A$8,0)+1,8)),"")</f>
        <v/>
      </c>
      <c r="F78" s="7" t="inlineStr">
        <is>
          <t>Approved</t>
        </is>
      </c>
      <c r="G78" s="7" t="inlineStr">
        <is>
          <t>Complete</t>
        </is>
      </c>
      <c r="H78" s="7" t="inlineStr">
        <is>
          <t>CFO</t>
        </is>
      </c>
      <c r="I78" s="8" t="n">
        <v>45934</v>
      </c>
      <c r="J78" s="8" t="n">
        <v>45927</v>
      </c>
      <c r="K78" s="7" t="inlineStr">
        <is>
          <t>Rework</t>
        </is>
      </c>
      <c r="L78" s="7" t="inlineStr">
        <is>
          <t>Awaiting sponsor sign-off</t>
        </is>
      </c>
      <c r="M78" s="7" t="n">
        <v>100</v>
      </c>
      <c r="N78" s="7" t="n">
        <v>0</v>
      </c>
      <c r="O78" s="7">
        <f>A78&amp;"|"&amp;D78</f>
        <v/>
      </c>
    </row>
    <row r="79" ht="15" customHeight="1" s="5">
      <c r="A79" s="7" t="inlineStr">
        <is>
          <t>PRJ010</t>
        </is>
      </c>
      <c r="B79" s="7">
        <f>IFERROR(VLOOKUP(A79,Projects!$A:$AK,2,FALSE()),"")</f>
        <v/>
      </c>
      <c r="C79" s="7">
        <f>IFERROR(VLOOKUP(A79,Projects!$A:$AK,14,FALSE()),"")</f>
        <v/>
      </c>
      <c r="D79" s="7" t="inlineStr">
        <is>
          <t>Testing</t>
        </is>
      </c>
      <c r="E79" s="7">
        <f>IFERROR(INDEX(_Stages!$A$1:$A$8,MIN(MATCH(D79,_Stages!$A$1:$A$8,0)+1,8)),"")</f>
        <v/>
      </c>
      <c r="F79" s="7" t="inlineStr">
        <is>
          <t>In Progress</t>
        </is>
      </c>
      <c r="G79" s="7" t="inlineStr">
        <is>
          <t>In Progress</t>
        </is>
      </c>
      <c r="H79" s="7" t="inlineStr">
        <is>
          <t>CFO</t>
        </is>
      </c>
      <c r="I79" s="8" t="n">
        <v>45994</v>
      </c>
      <c r="L79" s="7" t="inlineStr">
        <is>
          <t>Approved with conditions</t>
        </is>
      </c>
      <c r="M79" s="7" t="n">
        <v>44</v>
      </c>
      <c r="N79" s="7" t="n">
        <v>0</v>
      </c>
      <c r="O79" s="7">
        <f>A79&amp;"|"&amp;D79</f>
        <v/>
      </c>
    </row>
    <row r="80" ht="15" customHeight="1" s="5">
      <c r="A80" s="7" t="inlineStr">
        <is>
          <t>PRJ010</t>
        </is>
      </c>
      <c r="B80" s="7">
        <f>IFERROR(VLOOKUP(A80,Projects!$A:$AK,2,FALSE()),"")</f>
        <v/>
      </c>
      <c r="C80" s="7">
        <f>IFERROR(VLOOKUP(A80,Projects!$A:$AK,14,FALSE()),"")</f>
        <v/>
      </c>
      <c r="D80" s="7" t="inlineStr">
        <is>
          <t>Deployment</t>
        </is>
      </c>
      <c r="E80" s="7">
        <f>IFERROR(INDEX(_Stages!$A$1:$A$8,MIN(MATCH(D80,_Stages!$A$1:$A$8,0)+1,8)),"")</f>
        <v/>
      </c>
      <c r="F80" s="7" t="inlineStr">
        <is>
          <t>Not Started</t>
        </is>
      </c>
      <c r="G80" s="7" t="inlineStr">
        <is>
          <t>Not Started</t>
        </is>
      </c>
      <c r="H80" s="7" t="inlineStr">
        <is>
          <t>CFO</t>
        </is>
      </c>
      <c r="I80" s="8" t="n">
        <v>46054</v>
      </c>
      <c r="L80" s="7" t="inlineStr">
        <is>
          <t>On track</t>
        </is>
      </c>
      <c r="M80" s="7" t="n">
        <v>0</v>
      </c>
      <c r="N80" s="7" t="n">
        <v>0</v>
      </c>
      <c r="O80" s="7">
        <f>A80&amp;"|"&amp;D80</f>
        <v/>
      </c>
    </row>
    <row r="81" ht="15" customHeight="1" s="5">
      <c r="A81" s="7" t="inlineStr">
        <is>
          <t>PRJ010</t>
        </is>
      </c>
      <c r="B81" s="7">
        <f>IFERROR(VLOOKUP(A81,Projects!$A:$AK,2,FALSE()),"")</f>
        <v/>
      </c>
      <c r="C81" s="7">
        <f>IFERROR(VLOOKUP(A81,Projects!$A:$AK,14,FALSE()),"")</f>
        <v/>
      </c>
      <c r="D81" s="7" t="inlineStr">
        <is>
          <t>Handover</t>
        </is>
      </c>
      <c r="E81" s="7">
        <f>IFERROR(INDEX(_Stages!$A$1:$A$8,MIN(MATCH(D81,_Stages!$A$1:$A$8,0)+1,8)),"")</f>
        <v/>
      </c>
      <c r="F81" s="7" t="inlineStr">
        <is>
          <t>Not Started</t>
        </is>
      </c>
      <c r="G81" s="7" t="inlineStr">
        <is>
          <t>Not Started</t>
        </is>
      </c>
      <c r="H81" s="7" t="inlineStr">
        <is>
          <t>CFO</t>
        </is>
      </c>
      <c r="I81" s="8" t="n">
        <v>46114</v>
      </c>
      <c r="L81" s="7" t="inlineStr">
        <is>
          <t>On track</t>
        </is>
      </c>
      <c r="M81" s="7" t="n">
        <v>0</v>
      </c>
      <c r="N81" s="7" t="n">
        <v>0</v>
      </c>
      <c r="O81" s="7">
        <f>A81&amp;"|"&amp;D81</f>
        <v/>
      </c>
    </row>
    <row r="82" ht="15" customHeight="1" s="5">
      <c r="A82" s="7" t="inlineStr">
        <is>
          <t>PRJ011</t>
        </is>
      </c>
      <c r="B82" s="7">
        <f>IFERROR(VLOOKUP(A82,Projects!$A:$AK,2,FALSE()),"")</f>
        <v/>
      </c>
      <c r="C82" s="7">
        <f>IFERROR(VLOOKUP(A82,Projects!$A:$AK,14,FALSE()),"")</f>
        <v/>
      </c>
      <c r="D82" s="7" t="inlineStr">
        <is>
          <t>Discovery</t>
        </is>
      </c>
      <c r="E82" s="7">
        <f>IFERROR(INDEX(_Stages!$A$1:$A$8,MIN(MATCH(D82,_Stages!$A$1:$A$8,0)+1,8)),"")</f>
        <v/>
      </c>
      <c r="F82" s="7" t="inlineStr">
        <is>
          <t>Approved</t>
        </is>
      </c>
      <c r="G82" s="7" t="inlineStr">
        <is>
          <t>Complete</t>
        </is>
      </c>
      <c r="H82" s="7" t="inlineStr">
        <is>
          <t>CFO</t>
        </is>
      </c>
      <c r="I82" s="8" t="n">
        <v>45988</v>
      </c>
      <c r="J82" s="8" t="n">
        <v>46003</v>
      </c>
      <c r="K82" s="7" t="inlineStr">
        <is>
          <t>Proceed</t>
        </is>
      </c>
      <c r="L82" s="7" t="inlineStr">
        <is>
          <t>Awaiting sponsor sign-off</t>
        </is>
      </c>
      <c r="M82" s="7" t="n">
        <v>100</v>
      </c>
      <c r="N82" s="7" t="n">
        <v>15</v>
      </c>
      <c r="O82" s="7">
        <f>A82&amp;"|"&amp;D82</f>
        <v/>
      </c>
    </row>
    <row r="83" ht="15" customHeight="1" s="5">
      <c r="A83" s="7" t="inlineStr">
        <is>
          <t>PRJ011</t>
        </is>
      </c>
      <c r="B83" s="7">
        <f>IFERROR(VLOOKUP(A83,Projects!$A:$AK,2,FALSE()),"")</f>
        <v/>
      </c>
      <c r="C83" s="7">
        <f>IFERROR(VLOOKUP(A83,Projects!$A:$AK,14,FALSE()),"")</f>
        <v/>
      </c>
      <c r="D83" s="7" t="inlineStr">
        <is>
          <t>Business Case / Seed Funding</t>
        </is>
      </c>
      <c r="E83" s="7">
        <f>IFERROR(INDEX(_Stages!$A$1:$A$8,MIN(MATCH(D83,_Stages!$A$1:$A$8,0)+1,8)),"")</f>
        <v/>
      </c>
      <c r="F83" s="7" t="inlineStr">
        <is>
          <t>Approved</t>
        </is>
      </c>
      <c r="G83" s="7" t="inlineStr">
        <is>
          <t>Complete</t>
        </is>
      </c>
      <c r="H83" s="7" t="inlineStr">
        <is>
          <t>CFO</t>
        </is>
      </c>
      <c r="I83" s="8" t="n">
        <v>46048</v>
      </c>
      <c r="J83" s="8" t="n">
        <v>46049</v>
      </c>
      <c r="K83" s="7" t="inlineStr">
        <is>
          <t>Conditional</t>
        </is>
      </c>
      <c r="L83" s="7" t="inlineStr">
        <is>
          <t>On track</t>
        </is>
      </c>
      <c r="M83" s="7" t="n">
        <v>100</v>
      </c>
      <c r="N83" s="7" t="n">
        <v>1</v>
      </c>
      <c r="O83" s="7">
        <f>A83&amp;"|"&amp;D83</f>
        <v/>
      </c>
    </row>
    <row r="84" ht="15" customHeight="1" s="5">
      <c r="A84" s="7" t="inlineStr">
        <is>
          <t>PRJ011</t>
        </is>
      </c>
      <c r="B84" s="7">
        <f>IFERROR(VLOOKUP(A84,Projects!$A:$AK,2,FALSE()),"")</f>
        <v/>
      </c>
      <c r="C84" s="7">
        <f>IFERROR(VLOOKUP(A84,Projects!$A:$AK,14,FALSE()),"")</f>
        <v/>
      </c>
      <c r="D84" s="7" t="inlineStr">
        <is>
          <t>Design</t>
        </is>
      </c>
      <c r="E84" s="7">
        <f>IFERROR(INDEX(_Stages!$A$1:$A$8,MIN(MATCH(D84,_Stages!$A$1:$A$8,0)+1,8)),"")</f>
        <v/>
      </c>
      <c r="F84" s="7" t="inlineStr">
        <is>
          <t>Approved</t>
        </is>
      </c>
      <c r="G84" s="7" t="inlineStr">
        <is>
          <t>Complete</t>
        </is>
      </c>
      <c r="H84" s="7" t="inlineStr">
        <is>
          <t>CFO</t>
        </is>
      </c>
      <c r="I84" s="8" t="n">
        <v>46108</v>
      </c>
      <c r="J84" s="8" t="n">
        <v>46131</v>
      </c>
      <c r="K84" s="7" t="inlineStr">
        <is>
          <t>Conditional</t>
        </is>
      </c>
      <c r="L84" s="7" t="inlineStr">
        <is>
          <t>On track</t>
        </is>
      </c>
      <c r="M84" s="7" t="n">
        <v>100</v>
      </c>
      <c r="N84" s="7" t="n">
        <v>23</v>
      </c>
      <c r="O84" s="7">
        <f>A84&amp;"|"&amp;D84</f>
        <v/>
      </c>
    </row>
    <row r="85" ht="15" customHeight="1" s="5">
      <c r="A85" s="7" t="inlineStr">
        <is>
          <t>PRJ011</t>
        </is>
      </c>
      <c r="B85" s="7">
        <f>IFERROR(VLOOKUP(A85,Projects!$A:$AK,2,FALSE()),"")</f>
        <v/>
      </c>
      <c r="C85" s="7">
        <f>IFERROR(VLOOKUP(A85,Projects!$A:$AK,14,FALSE()),"")</f>
        <v/>
      </c>
      <c r="D85" s="7" t="inlineStr">
        <is>
          <t>Business Case / Full Funding</t>
        </is>
      </c>
      <c r="E85" s="7">
        <f>IFERROR(INDEX(_Stages!$A$1:$A$8,MIN(MATCH(D85,_Stages!$A$1:$A$8,0)+1,8)),"")</f>
        <v/>
      </c>
      <c r="F85" s="7" t="inlineStr">
        <is>
          <t>Approved</t>
        </is>
      </c>
      <c r="G85" s="7" t="inlineStr">
        <is>
          <t>Complete</t>
        </is>
      </c>
      <c r="H85" s="7" t="inlineStr">
        <is>
          <t>CFO</t>
        </is>
      </c>
      <c r="I85" s="8" t="n">
        <v>46168</v>
      </c>
      <c r="J85" s="8" t="n">
        <v>46159</v>
      </c>
      <c r="K85" s="7" t="inlineStr">
        <is>
          <t>Conditional</t>
        </is>
      </c>
      <c r="L85" s="7" t="inlineStr">
        <is>
          <t>Awaiting sponsor sign-off</t>
        </is>
      </c>
      <c r="M85" s="7" t="n">
        <v>100</v>
      </c>
      <c r="N85" s="7" t="n">
        <v>0</v>
      </c>
      <c r="O85" s="7">
        <f>A85&amp;"|"&amp;D85</f>
        <v/>
      </c>
    </row>
    <row r="86" ht="15" customHeight="1" s="5">
      <c r="A86" s="7" t="inlineStr">
        <is>
          <t>PRJ011</t>
        </is>
      </c>
      <c r="B86" s="7">
        <f>IFERROR(VLOOKUP(A86,Projects!$A:$AK,2,FALSE()),"")</f>
        <v/>
      </c>
      <c r="C86" s="7">
        <f>IFERROR(VLOOKUP(A86,Projects!$A:$AK,14,FALSE()),"")</f>
        <v/>
      </c>
      <c r="D86" s="7" t="inlineStr">
        <is>
          <t>Build</t>
        </is>
      </c>
      <c r="E86" s="7">
        <f>IFERROR(INDEX(_Stages!$A$1:$A$8,MIN(MATCH(D86,_Stages!$A$1:$A$8,0)+1,8)),"")</f>
        <v/>
      </c>
      <c r="F86" s="7" t="inlineStr">
        <is>
          <t>In Progress</t>
        </is>
      </c>
      <c r="G86" s="7" t="inlineStr">
        <is>
          <t>In Progress</t>
        </is>
      </c>
      <c r="H86" s="7" t="inlineStr">
        <is>
          <t>CFO</t>
        </is>
      </c>
      <c r="I86" s="8" t="n">
        <v>46228</v>
      </c>
      <c r="L86" s="7" t="inlineStr">
        <is>
          <t>Awaiting sponsor sign-off</t>
        </is>
      </c>
      <c r="M86" s="7" t="n">
        <v>93</v>
      </c>
      <c r="N86" s="7" t="n">
        <v>0</v>
      </c>
      <c r="O86" s="7">
        <f>A86&amp;"|"&amp;D86</f>
        <v/>
      </c>
    </row>
    <row r="87" ht="15" customHeight="1" s="5">
      <c r="A87" s="7" t="inlineStr">
        <is>
          <t>PRJ011</t>
        </is>
      </c>
      <c r="B87" s="7">
        <f>IFERROR(VLOOKUP(A87,Projects!$A:$AK,2,FALSE()),"")</f>
        <v/>
      </c>
      <c r="C87" s="7">
        <f>IFERROR(VLOOKUP(A87,Projects!$A:$AK,14,FALSE()),"")</f>
        <v/>
      </c>
      <c r="D87" s="7" t="inlineStr">
        <is>
          <t>Testing</t>
        </is>
      </c>
      <c r="E87" s="7">
        <f>IFERROR(INDEX(_Stages!$A$1:$A$8,MIN(MATCH(D87,_Stages!$A$1:$A$8,0)+1,8)),"")</f>
        <v/>
      </c>
      <c r="F87" s="7" t="inlineStr">
        <is>
          <t>Not Started</t>
        </is>
      </c>
      <c r="G87" s="7" t="inlineStr">
        <is>
          <t>Not Started</t>
        </is>
      </c>
      <c r="H87" s="7" t="inlineStr">
        <is>
          <t>CFO</t>
        </is>
      </c>
      <c r="I87" s="8" t="n">
        <v>46288</v>
      </c>
      <c r="L87" s="7" t="inlineStr">
        <is>
          <t>On track</t>
        </is>
      </c>
      <c r="M87" s="7" t="n">
        <v>0</v>
      </c>
      <c r="N87" s="7" t="n">
        <v>0</v>
      </c>
      <c r="O87" s="7">
        <f>A87&amp;"|"&amp;D87</f>
        <v/>
      </c>
    </row>
    <row r="88" ht="15" customHeight="1" s="5">
      <c r="A88" s="7" t="inlineStr">
        <is>
          <t>PRJ011</t>
        </is>
      </c>
      <c r="B88" s="7">
        <f>IFERROR(VLOOKUP(A88,Projects!$A:$AK,2,FALSE()),"")</f>
        <v/>
      </c>
      <c r="C88" s="7">
        <f>IFERROR(VLOOKUP(A88,Projects!$A:$AK,14,FALSE()),"")</f>
        <v/>
      </c>
      <c r="D88" s="7" t="inlineStr">
        <is>
          <t>Deployment</t>
        </is>
      </c>
      <c r="E88" s="7">
        <f>IFERROR(INDEX(_Stages!$A$1:$A$8,MIN(MATCH(D88,_Stages!$A$1:$A$8,0)+1,8)),"")</f>
        <v/>
      </c>
      <c r="F88" s="7" t="inlineStr">
        <is>
          <t>Not Started</t>
        </is>
      </c>
      <c r="G88" s="7" t="inlineStr">
        <is>
          <t>Not Started</t>
        </is>
      </c>
      <c r="H88" s="7" t="inlineStr">
        <is>
          <t>CFO</t>
        </is>
      </c>
      <c r="I88" s="8" t="n">
        <v>46348</v>
      </c>
      <c r="L88" s="7" t="inlineStr">
        <is>
          <t>On track</t>
        </is>
      </c>
      <c r="M88" s="7" t="n">
        <v>0</v>
      </c>
      <c r="N88" s="7" t="n">
        <v>0</v>
      </c>
      <c r="O88" s="7">
        <f>A88&amp;"|"&amp;D88</f>
        <v/>
      </c>
    </row>
    <row r="89" ht="15" customHeight="1" s="5">
      <c r="A89" s="7" t="inlineStr">
        <is>
          <t>PRJ011</t>
        </is>
      </c>
      <c r="B89" s="7">
        <f>IFERROR(VLOOKUP(A89,Projects!$A:$AK,2,FALSE()),"")</f>
        <v/>
      </c>
      <c r="C89" s="7">
        <f>IFERROR(VLOOKUP(A89,Projects!$A:$AK,14,FALSE()),"")</f>
        <v/>
      </c>
      <c r="D89" s="7" t="inlineStr">
        <is>
          <t>Handover</t>
        </is>
      </c>
      <c r="E89" s="7">
        <f>IFERROR(INDEX(_Stages!$A$1:$A$8,MIN(MATCH(D89,_Stages!$A$1:$A$8,0)+1,8)),"")</f>
        <v/>
      </c>
      <c r="F89" s="7" t="inlineStr">
        <is>
          <t>Not Started</t>
        </is>
      </c>
      <c r="G89" s="7" t="inlineStr">
        <is>
          <t>Not Started</t>
        </is>
      </c>
      <c r="H89" s="7" t="inlineStr">
        <is>
          <t>CFO</t>
        </is>
      </c>
      <c r="I89" s="8" t="n">
        <v>46408</v>
      </c>
      <c r="L89" s="7" t="inlineStr">
        <is>
          <t>On track</t>
        </is>
      </c>
      <c r="M89" s="7" t="n">
        <v>0</v>
      </c>
      <c r="N89" s="7" t="n">
        <v>0</v>
      </c>
      <c r="O89" s="7">
        <f>A89&amp;"|"&amp;D89</f>
        <v/>
      </c>
    </row>
    <row r="90" ht="15" customHeight="1" s="5">
      <c r="A90" s="7" t="inlineStr">
        <is>
          <t>PRJ012</t>
        </is>
      </c>
      <c r="B90" s="7">
        <f>IFERROR(VLOOKUP(A90,Projects!$A:$AK,2,FALSE()),"")</f>
        <v/>
      </c>
      <c r="C90" s="7">
        <f>IFERROR(VLOOKUP(A90,Projects!$A:$AK,14,FALSE()),"")</f>
        <v/>
      </c>
      <c r="D90" s="7" t="inlineStr">
        <is>
          <t>Discovery</t>
        </is>
      </c>
      <c r="E90" s="7">
        <f>IFERROR(INDEX(_Stages!$A$1:$A$8,MIN(MATCH(D90,_Stages!$A$1:$A$8,0)+1,8)),"")</f>
        <v/>
      </c>
      <c r="F90" s="7" t="inlineStr">
        <is>
          <t>Approved</t>
        </is>
      </c>
      <c r="G90" s="7" t="inlineStr">
        <is>
          <t>Complete</t>
        </is>
      </c>
      <c r="H90" s="7" t="inlineStr">
        <is>
          <t>CMO</t>
        </is>
      </c>
      <c r="I90" s="8" t="n">
        <v>45934</v>
      </c>
      <c r="J90" s="8" t="n">
        <v>45938</v>
      </c>
      <c r="K90" s="7" t="inlineStr">
        <is>
          <t>Rework</t>
        </is>
      </c>
      <c r="L90" s="7" t="inlineStr">
        <is>
          <t>Approved with conditions</t>
        </is>
      </c>
      <c r="M90" s="7" t="n">
        <v>100</v>
      </c>
      <c r="N90" s="7" t="n">
        <v>4</v>
      </c>
      <c r="O90" s="7">
        <f>A90&amp;"|"&amp;D90</f>
        <v/>
      </c>
    </row>
    <row r="91" ht="15" customHeight="1" s="5">
      <c r="A91" s="7" t="inlineStr">
        <is>
          <t>PRJ012</t>
        </is>
      </c>
      <c r="B91" s="7">
        <f>IFERROR(VLOOKUP(A91,Projects!$A:$AK,2,FALSE()),"")</f>
        <v/>
      </c>
      <c r="C91" s="7">
        <f>IFERROR(VLOOKUP(A91,Projects!$A:$AK,14,FALSE()),"")</f>
        <v/>
      </c>
      <c r="D91" s="7" t="inlineStr">
        <is>
          <t>Business Case / Seed Funding</t>
        </is>
      </c>
      <c r="E91" s="7">
        <f>IFERROR(INDEX(_Stages!$A$1:$A$8,MIN(MATCH(D91,_Stages!$A$1:$A$8,0)+1,8)),"")</f>
        <v/>
      </c>
      <c r="F91" s="7" t="inlineStr">
        <is>
          <t>Approved</t>
        </is>
      </c>
      <c r="G91" s="7" t="inlineStr">
        <is>
          <t>Complete</t>
        </is>
      </c>
      <c r="H91" s="7" t="inlineStr">
        <is>
          <t>CMO</t>
        </is>
      </c>
      <c r="I91" s="8" t="n">
        <v>45994</v>
      </c>
      <c r="J91" s="8" t="n">
        <v>46009</v>
      </c>
      <c r="K91" s="7" t="inlineStr">
        <is>
          <t>Rework</t>
        </is>
      </c>
      <c r="L91" s="7" t="inlineStr">
        <is>
          <t>Approved with conditions</t>
        </is>
      </c>
      <c r="M91" s="7" t="n">
        <v>100</v>
      </c>
      <c r="N91" s="7" t="n">
        <v>15</v>
      </c>
      <c r="O91" s="7">
        <f>A91&amp;"|"&amp;D91</f>
        <v/>
      </c>
    </row>
    <row r="92" ht="15" customHeight="1" s="5">
      <c r="A92" s="7" t="inlineStr">
        <is>
          <t>PRJ012</t>
        </is>
      </c>
      <c r="B92" s="7">
        <f>IFERROR(VLOOKUP(A92,Projects!$A:$AK,2,FALSE()),"")</f>
        <v/>
      </c>
      <c r="C92" s="7">
        <f>IFERROR(VLOOKUP(A92,Projects!$A:$AK,14,FALSE()),"")</f>
        <v/>
      </c>
      <c r="D92" s="7" t="inlineStr">
        <is>
          <t>Design</t>
        </is>
      </c>
      <c r="E92" s="7">
        <f>IFERROR(INDEX(_Stages!$A$1:$A$8,MIN(MATCH(D92,_Stages!$A$1:$A$8,0)+1,8)),"")</f>
        <v/>
      </c>
      <c r="F92" s="7" t="inlineStr">
        <is>
          <t>In Progress</t>
        </is>
      </c>
      <c r="G92" s="7" t="inlineStr">
        <is>
          <t>In Progress</t>
        </is>
      </c>
      <c r="H92" s="7" t="inlineStr">
        <is>
          <t>CMO</t>
        </is>
      </c>
      <c r="I92" s="8" t="n">
        <v>46054</v>
      </c>
      <c r="L92" s="7" t="inlineStr">
        <is>
          <t>Awaiting sponsor sign-off</t>
        </is>
      </c>
      <c r="M92" s="7" t="n">
        <v>87</v>
      </c>
      <c r="N92" s="7" t="n">
        <v>0</v>
      </c>
      <c r="O92" s="7">
        <f>A92&amp;"|"&amp;D92</f>
        <v/>
      </c>
    </row>
    <row r="93" ht="15" customHeight="1" s="5">
      <c r="A93" s="7" t="inlineStr">
        <is>
          <t>PRJ012</t>
        </is>
      </c>
      <c r="B93" s="7">
        <f>IFERROR(VLOOKUP(A93,Projects!$A:$AK,2,FALSE()),"")</f>
        <v/>
      </c>
      <c r="C93" s="7">
        <f>IFERROR(VLOOKUP(A93,Projects!$A:$AK,14,FALSE()),"")</f>
        <v/>
      </c>
      <c r="D93" s="7" t="inlineStr">
        <is>
          <t>Business Case / Full Funding</t>
        </is>
      </c>
      <c r="E93" s="7">
        <f>IFERROR(INDEX(_Stages!$A$1:$A$8,MIN(MATCH(D93,_Stages!$A$1:$A$8,0)+1,8)),"")</f>
        <v/>
      </c>
      <c r="F93" s="7" t="inlineStr">
        <is>
          <t>Not Started</t>
        </is>
      </c>
      <c r="G93" s="7" t="inlineStr">
        <is>
          <t>Not Started</t>
        </is>
      </c>
      <c r="H93" s="7" t="inlineStr">
        <is>
          <t>CMO</t>
        </is>
      </c>
      <c r="I93" s="8" t="n">
        <v>46114</v>
      </c>
      <c r="L93" s="7" t="inlineStr">
        <is>
          <t>On track</t>
        </is>
      </c>
      <c r="M93" s="7" t="n">
        <v>0</v>
      </c>
      <c r="N93" s="7" t="n">
        <v>0</v>
      </c>
      <c r="O93" s="7">
        <f>A93&amp;"|"&amp;D93</f>
        <v/>
      </c>
    </row>
    <row r="94" ht="15" customHeight="1" s="5">
      <c r="A94" s="7" t="inlineStr">
        <is>
          <t>PRJ012</t>
        </is>
      </c>
      <c r="B94" s="7">
        <f>IFERROR(VLOOKUP(A94,Projects!$A:$AK,2,FALSE()),"")</f>
        <v/>
      </c>
      <c r="C94" s="7">
        <f>IFERROR(VLOOKUP(A94,Projects!$A:$AK,14,FALSE()),"")</f>
        <v/>
      </c>
      <c r="D94" s="7" t="inlineStr">
        <is>
          <t>Build</t>
        </is>
      </c>
      <c r="E94" s="7">
        <f>IFERROR(INDEX(_Stages!$A$1:$A$8,MIN(MATCH(D94,_Stages!$A$1:$A$8,0)+1,8)),"")</f>
        <v/>
      </c>
      <c r="F94" s="7" t="inlineStr">
        <is>
          <t>Not Started</t>
        </is>
      </c>
      <c r="G94" s="7" t="inlineStr">
        <is>
          <t>Not Started</t>
        </is>
      </c>
      <c r="H94" s="7" t="inlineStr">
        <is>
          <t>CMO</t>
        </is>
      </c>
      <c r="I94" s="8" t="n">
        <v>46174</v>
      </c>
      <c r="L94" s="7" t="inlineStr">
        <is>
          <t>Approved with conditions</t>
        </is>
      </c>
      <c r="M94" s="7" t="n">
        <v>0</v>
      </c>
      <c r="N94" s="7" t="n">
        <v>0</v>
      </c>
      <c r="O94" s="7">
        <f>A94&amp;"|"&amp;D94</f>
        <v/>
      </c>
    </row>
    <row r="95" ht="15" customHeight="1" s="5">
      <c r="A95" s="7" t="inlineStr">
        <is>
          <t>PRJ012</t>
        </is>
      </c>
      <c r="B95" s="7">
        <f>IFERROR(VLOOKUP(A95,Projects!$A:$AK,2,FALSE()),"")</f>
        <v/>
      </c>
      <c r="C95" s="7">
        <f>IFERROR(VLOOKUP(A95,Projects!$A:$AK,14,FALSE()),"")</f>
        <v/>
      </c>
      <c r="D95" s="7" t="inlineStr">
        <is>
          <t>Testing</t>
        </is>
      </c>
      <c r="E95" s="7">
        <f>IFERROR(INDEX(_Stages!$A$1:$A$8,MIN(MATCH(D95,_Stages!$A$1:$A$8,0)+1,8)),"")</f>
        <v/>
      </c>
      <c r="F95" s="7" t="inlineStr">
        <is>
          <t>Not Started</t>
        </is>
      </c>
      <c r="G95" s="7" t="inlineStr">
        <is>
          <t>Not Started</t>
        </is>
      </c>
      <c r="H95" s="7" t="inlineStr">
        <is>
          <t>CMO</t>
        </is>
      </c>
      <c r="I95" s="8" t="n">
        <v>46234</v>
      </c>
      <c r="L95" s="7" t="inlineStr">
        <is>
          <t>On track</t>
        </is>
      </c>
      <c r="M95" s="7" t="n">
        <v>0</v>
      </c>
      <c r="N95" s="7" t="n">
        <v>0</v>
      </c>
      <c r="O95" s="7">
        <f>A95&amp;"|"&amp;D95</f>
        <v/>
      </c>
    </row>
    <row r="96" ht="15" customHeight="1" s="5">
      <c r="A96" s="7" t="inlineStr">
        <is>
          <t>PRJ012</t>
        </is>
      </c>
      <c r="B96" s="7">
        <f>IFERROR(VLOOKUP(A96,Projects!$A:$AK,2,FALSE()),"")</f>
        <v/>
      </c>
      <c r="C96" s="7">
        <f>IFERROR(VLOOKUP(A96,Projects!$A:$AK,14,FALSE()),"")</f>
        <v/>
      </c>
      <c r="D96" s="7" t="inlineStr">
        <is>
          <t>Deployment</t>
        </is>
      </c>
      <c r="E96" s="7">
        <f>IFERROR(INDEX(_Stages!$A$1:$A$8,MIN(MATCH(D96,_Stages!$A$1:$A$8,0)+1,8)),"")</f>
        <v/>
      </c>
      <c r="F96" s="7" t="inlineStr">
        <is>
          <t>Not Started</t>
        </is>
      </c>
      <c r="G96" s="7" t="inlineStr">
        <is>
          <t>Not Started</t>
        </is>
      </c>
      <c r="H96" s="7" t="inlineStr">
        <is>
          <t>CMO</t>
        </is>
      </c>
      <c r="I96" s="8" t="n">
        <v>46294</v>
      </c>
      <c r="L96" s="7" t="inlineStr">
        <is>
          <t>On track</t>
        </is>
      </c>
      <c r="M96" s="7" t="n">
        <v>0</v>
      </c>
      <c r="N96" s="7" t="n">
        <v>0</v>
      </c>
      <c r="O96" s="7">
        <f>A96&amp;"|"&amp;D96</f>
        <v/>
      </c>
    </row>
    <row r="97" ht="15" customHeight="1" s="5">
      <c r="A97" s="7" t="inlineStr">
        <is>
          <t>PRJ012</t>
        </is>
      </c>
      <c r="B97" s="7">
        <f>IFERROR(VLOOKUP(A97,Projects!$A:$AK,2,FALSE()),"")</f>
        <v/>
      </c>
      <c r="C97" s="7">
        <f>IFERROR(VLOOKUP(A97,Projects!$A:$AK,14,FALSE()),"")</f>
        <v/>
      </c>
      <c r="D97" s="7" t="inlineStr">
        <is>
          <t>Handover</t>
        </is>
      </c>
      <c r="E97" s="7">
        <f>IFERROR(INDEX(_Stages!$A$1:$A$8,MIN(MATCH(D97,_Stages!$A$1:$A$8,0)+1,8)),"")</f>
        <v/>
      </c>
      <c r="F97" s="7" t="inlineStr">
        <is>
          <t>Not Started</t>
        </is>
      </c>
      <c r="G97" s="7" t="inlineStr">
        <is>
          <t>Not Started</t>
        </is>
      </c>
      <c r="H97" s="7" t="inlineStr">
        <is>
          <t>CMO</t>
        </is>
      </c>
      <c r="I97" s="8" t="n">
        <v>46354</v>
      </c>
      <c r="M97" s="7" t="n">
        <v>0</v>
      </c>
      <c r="N97" s="7" t="n">
        <v>0</v>
      </c>
      <c r="O97" s="7">
        <f>A97&amp;"|"&amp;D97</f>
        <v/>
      </c>
    </row>
    <row r="98" ht="15" customHeight="1" s="5">
      <c r="A98" s="7" t="inlineStr">
        <is>
          <t>PRJ013</t>
        </is>
      </c>
      <c r="B98" s="7">
        <f>IFERROR(VLOOKUP(A98,Projects!$A:$AK,2,FALSE()),"")</f>
        <v/>
      </c>
      <c r="C98" s="7">
        <f>IFERROR(VLOOKUP(A98,Projects!$A:$AK,14,FALSE()),"")</f>
        <v/>
      </c>
      <c r="D98" s="7" t="inlineStr">
        <is>
          <t>Discovery</t>
        </is>
      </c>
      <c r="E98" s="7">
        <f>IFERROR(INDEX(_Stages!$A$1:$A$8,MIN(MATCH(D98,_Stages!$A$1:$A$8,0)+1,8)),"")</f>
        <v/>
      </c>
      <c r="F98" s="7" t="inlineStr">
        <is>
          <t>Approved</t>
        </is>
      </c>
      <c r="G98" s="7" t="inlineStr">
        <is>
          <t>Complete</t>
        </is>
      </c>
      <c r="H98" s="7" t="inlineStr">
        <is>
          <t>CTO</t>
        </is>
      </c>
      <c r="I98" s="8" t="n">
        <v>45996</v>
      </c>
      <c r="J98" s="8" t="n">
        <v>46018</v>
      </c>
      <c r="K98" s="7" t="inlineStr">
        <is>
          <t>Conditional</t>
        </is>
      </c>
      <c r="M98" s="7" t="n">
        <v>100</v>
      </c>
      <c r="N98" s="7" t="n">
        <v>22</v>
      </c>
      <c r="O98" s="7">
        <f>A98&amp;"|"&amp;D98</f>
        <v/>
      </c>
    </row>
    <row r="99" ht="15" customHeight="1" s="5">
      <c r="A99" s="7" t="inlineStr">
        <is>
          <t>PRJ013</t>
        </is>
      </c>
      <c r="B99" s="7">
        <f>IFERROR(VLOOKUP(A99,Projects!$A:$AK,2,FALSE()),"")</f>
        <v/>
      </c>
      <c r="C99" s="7">
        <f>IFERROR(VLOOKUP(A99,Projects!$A:$AK,14,FALSE()),"")</f>
        <v/>
      </c>
      <c r="D99" s="7" t="inlineStr">
        <is>
          <t>Business Case / Seed Funding</t>
        </is>
      </c>
      <c r="E99" s="7">
        <f>IFERROR(INDEX(_Stages!$A$1:$A$8,MIN(MATCH(D99,_Stages!$A$1:$A$8,0)+1,8)),"")</f>
        <v/>
      </c>
      <c r="F99" s="7" t="inlineStr">
        <is>
          <t>Approved</t>
        </is>
      </c>
      <c r="G99" s="7" t="inlineStr">
        <is>
          <t>Complete</t>
        </is>
      </c>
      <c r="H99" s="7" t="inlineStr">
        <is>
          <t>CTO</t>
        </is>
      </c>
      <c r="I99" s="8" t="n">
        <v>46056</v>
      </c>
      <c r="J99" s="8" t="n">
        <v>46070</v>
      </c>
      <c r="K99" s="7" t="inlineStr">
        <is>
          <t>Conditional</t>
        </is>
      </c>
      <c r="L99" s="7" t="inlineStr">
        <is>
          <t>On track</t>
        </is>
      </c>
      <c r="M99" s="7" t="n">
        <v>100</v>
      </c>
      <c r="N99" s="7" t="n">
        <v>14</v>
      </c>
      <c r="O99" s="7">
        <f>A99&amp;"|"&amp;D99</f>
        <v/>
      </c>
    </row>
    <row r="100" ht="15" customHeight="1" s="5">
      <c r="A100" s="7" t="inlineStr">
        <is>
          <t>PRJ013</t>
        </is>
      </c>
      <c r="B100" s="7">
        <f>IFERROR(VLOOKUP(A100,Projects!$A:$AK,2,FALSE()),"")</f>
        <v/>
      </c>
      <c r="C100" s="7">
        <f>IFERROR(VLOOKUP(A100,Projects!$A:$AK,14,FALSE()),"")</f>
        <v/>
      </c>
      <c r="D100" s="7" t="inlineStr">
        <is>
          <t>Design</t>
        </is>
      </c>
      <c r="E100" s="7">
        <f>IFERROR(INDEX(_Stages!$A$1:$A$8,MIN(MATCH(D100,_Stages!$A$1:$A$8,0)+1,8)),"")</f>
        <v/>
      </c>
      <c r="F100" s="7" t="inlineStr">
        <is>
          <t>Approved</t>
        </is>
      </c>
      <c r="G100" s="7" t="inlineStr">
        <is>
          <t>Complete</t>
        </is>
      </c>
      <c r="H100" s="7" t="inlineStr">
        <is>
          <t>CTO</t>
        </is>
      </c>
      <c r="I100" s="8" t="n">
        <v>46116</v>
      </c>
      <c r="J100" s="8" t="n">
        <v>46119</v>
      </c>
      <c r="K100" s="7" t="inlineStr">
        <is>
          <t>Proceed</t>
        </is>
      </c>
      <c r="L100" s="7" t="inlineStr">
        <is>
          <t>On track</t>
        </is>
      </c>
      <c r="M100" s="7" t="n">
        <v>100</v>
      </c>
      <c r="N100" s="7" t="n">
        <v>3</v>
      </c>
      <c r="O100" s="7">
        <f>A100&amp;"|"&amp;D100</f>
        <v/>
      </c>
    </row>
    <row r="101" ht="15" customHeight="1" s="5">
      <c r="A101" s="7" t="inlineStr">
        <is>
          <t>PRJ013</t>
        </is>
      </c>
      <c r="B101" s="7">
        <f>IFERROR(VLOOKUP(A101,Projects!$A:$AK,2,FALSE()),"")</f>
        <v/>
      </c>
      <c r="C101" s="7">
        <f>IFERROR(VLOOKUP(A101,Projects!$A:$AK,14,FALSE()),"")</f>
        <v/>
      </c>
      <c r="D101" s="7" t="inlineStr">
        <is>
          <t>Business Case / Full Funding</t>
        </is>
      </c>
      <c r="E101" s="7">
        <f>IFERROR(INDEX(_Stages!$A$1:$A$8,MIN(MATCH(D101,_Stages!$A$1:$A$8,0)+1,8)),"")</f>
        <v/>
      </c>
      <c r="F101" s="7" t="inlineStr">
        <is>
          <t>In Progress</t>
        </is>
      </c>
      <c r="G101" s="7" t="inlineStr">
        <is>
          <t>In Progress</t>
        </is>
      </c>
      <c r="H101" s="7" t="inlineStr">
        <is>
          <t>CTO</t>
        </is>
      </c>
      <c r="I101" s="8" t="n">
        <v>46176</v>
      </c>
      <c r="L101" s="7" t="inlineStr">
        <is>
          <t>Approved with conditions</t>
        </is>
      </c>
      <c r="M101" s="7" t="n">
        <v>80</v>
      </c>
      <c r="N101" s="7" t="n">
        <v>0</v>
      </c>
      <c r="O101" s="7">
        <f>A101&amp;"|"&amp;D101</f>
        <v/>
      </c>
    </row>
    <row r="102" ht="15" customHeight="1" s="5">
      <c r="A102" s="7" t="inlineStr">
        <is>
          <t>PRJ013</t>
        </is>
      </c>
      <c r="B102" s="7">
        <f>IFERROR(VLOOKUP(A102,Projects!$A:$AK,2,FALSE()),"")</f>
        <v/>
      </c>
      <c r="C102" s="7">
        <f>IFERROR(VLOOKUP(A102,Projects!$A:$AK,14,FALSE()),"")</f>
        <v/>
      </c>
      <c r="D102" s="7" t="inlineStr">
        <is>
          <t>Build</t>
        </is>
      </c>
      <c r="E102" s="7">
        <f>IFERROR(INDEX(_Stages!$A$1:$A$8,MIN(MATCH(D102,_Stages!$A$1:$A$8,0)+1,8)),"")</f>
        <v/>
      </c>
      <c r="F102" s="7" t="inlineStr">
        <is>
          <t>Not Started</t>
        </is>
      </c>
      <c r="G102" s="7" t="inlineStr">
        <is>
          <t>Not Started</t>
        </is>
      </c>
      <c r="H102" s="7" t="inlineStr">
        <is>
          <t>CTO</t>
        </is>
      </c>
      <c r="I102" s="8" t="n">
        <v>46236</v>
      </c>
      <c r="L102" s="7" t="inlineStr">
        <is>
          <t>Approved with conditions</t>
        </is>
      </c>
      <c r="M102" s="7" t="n">
        <v>0</v>
      </c>
      <c r="N102" s="7" t="n">
        <v>0</v>
      </c>
      <c r="O102" s="7">
        <f>A102&amp;"|"&amp;D102</f>
        <v/>
      </c>
    </row>
    <row r="103" ht="15" customHeight="1" s="5">
      <c r="A103" s="7" t="inlineStr">
        <is>
          <t>PRJ013</t>
        </is>
      </c>
      <c r="B103" s="7">
        <f>IFERROR(VLOOKUP(A103,Projects!$A:$AK,2,FALSE()),"")</f>
        <v/>
      </c>
      <c r="C103" s="7">
        <f>IFERROR(VLOOKUP(A103,Projects!$A:$AK,14,FALSE()),"")</f>
        <v/>
      </c>
      <c r="D103" s="7" t="inlineStr">
        <is>
          <t>Testing</t>
        </is>
      </c>
      <c r="E103" s="7">
        <f>IFERROR(INDEX(_Stages!$A$1:$A$8,MIN(MATCH(D103,_Stages!$A$1:$A$8,0)+1,8)),"")</f>
        <v/>
      </c>
      <c r="F103" s="7" t="inlineStr">
        <is>
          <t>Not Started</t>
        </is>
      </c>
      <c r="G103" s="7" t="inlineStr">
        <is>
          <t>Not Started</t>
        </is>
      </c>
      <c r="H103" s="7" t="inlineStr">
        <is>
          <t>CTO</t>
        </is>
      </c>
      <c r="I103" s="8" t="n">
        <v>46296</v>
      </c>
      <c r="L103" s="7" t="inlineStr">
        <is>
          <t>Approved with conditions</t>
        </is>
      </c>
      <c r="M103" s="7" t="n">
        <v>0</v>
      </c>
      <c r="N103" s="7" t="n">
        <v>0</v>
      </c>
      <c r="O103" s="7">
        <f>A103&amp;"|"&amp;D103</f>
        <v/>
      </c>
    </row>
    <row r="104" ht="15" customHeight="1" s="5">
      <c r="A104" s="7" t="inlineStr">
        <is>
          <t>PRJ013</t>
        </is>
      </c>
      <c r="B104" s="7">
        <f>IFERROR(VLOOKUP(A104,Projects!$A:$AK,2,FALSE()),"")</f>
        <v/>
      </c>
      <c r="C104" s="7">
        <f>IFERROR(VLOOKUP(A104,Projects!$A:$AK,14,FALSE()),"")</f>
        <v/>
      </c>
      <c r="D104" s="7" t="inlineStr">
        <is>
          <t>Deployment</t>
        </is>
      </c>
      <c r="E104" s="7">
        <f>IFERROR(INDEX(_Stages!$A$1:$A$8,MIN(MATCH(D104,_Stages!$A$1:$A$8,0)+1,8)),"")</f>
        <v/>
      </c>
      <c r="F104" s="7" t="inlineStr">
        <is>
          <t>Not Started</t>
        </is>
      </c>
      <c r="G104" s="7" t="inlineStr">
        <is>
          <t>Not Started</t>
        </is>
      </c>
      <c r="H104" s="7" t="inlineStr">
        <is>
          <t>CTO</t>
        </is>
      </c>
      <c r="I104" s="8" t="n">
        <v>46356</v>
      </c>
      <c r="L104" s="7" t="inlineStr">
        <is>
          <t>On track</t>
        </is>
      </c>
      <c r="M104" s="7" t="n">
        <v>0</v>
      </c>
      <c r="N104" s="7" t="n">
        <v>0</v>
      </c>
      <c r="O104" s="7">
        <f>A104&amp;"|"&amp;D104</f>
        <v/>
      </c>
    </row>
    <row r="105" ht="15" customHeight="1" s="5">
      <c r="A105" s="7" t="inlineStr">
        <is>
          <t>PRJ013</t>
        </is>
      </c>
      <c r="B105" s="7">
        <f>IFERROR(VLOOKUP(A105,Projects!$A:$AK,2,FALSE()),"")</f>
        <v/>
      </c>
      <c r="C105" s="7">
        <f>IFERROR(VLOOKUP(A105,Projects!$A:$AK,14,FALSE()),"")</f>
        <v/>
      </c>
      <c r="D105" s="7" t="inlineStr">
        <is>
          <t>Handover</t>
        </is>
      </c>
      <c r="E105" s="7">
        <f>IFERROR(INDEX(_Stages!$A$1:$A$8,MIN(MATCH(D105,_Stages!$A$1:$A$8,0)+1,8)),"")</f>
        <v/>
      </c>
      <c r="F105" s="7" t="inlineStr">
        <is>
          <t>Not Started</t>
        </is>
      </c>
      <c r="G105" s="7" t="inlineStr">
        <is>
          <t>Not Started</t>
        </is>
      </c>
      <c r="H105" s="7" t="inlineStr">
        <is>
          <t>CTO</t>
        </is>
      </c>
      <c r="I105" s="8" t="n">
        <v>46416</v>
      </c>
      <c r="M105" s="7" t="n">
        <v>0</v>
      </c>
      <c r="N105" s="7" t="n">
        <v>0</v>
      </c>
      <c r="O105" s="7">
        <f>A105&amp;"|"&amp;D105</f>
        <v/>
      </c>
    </row>
    <row r="106" ht="15" customHeight="1" s="5">
      <c r="A106" s="7" t="inlineStr">
        <is>
          <t>PRJ014</t>
        </is>
      </c>
      <c r="B106" s="7">
        <f>IFERROR(VLOOKUP(A106,Projects!$A:$AK,2,FALSE()),"")</f>
        <v/>
      </c>
      <c r="C106" s="7">
        <f>IFERROR(VLOOKUP(A106,Projects!$A:$AK,14,FALSE()),"")</f>
        <v/>
      </c>
      <c r="D106" s="7" t="inlineStr">
        <is>
          <t>Discovery</t>
        </is>
      </c>
      <c r="E106" s="7">
        <f>IFERROR(INDEX(_Stages!$A$1:$A$8,MIN(MATCH(D106,_Stages!$A$1:$A$8,0)+1,8)),"")</f>
        <v/>
      </c>
      <c r="F106" s="7" t="inlineStr">
        <is>
          <t>Approved</t>
        </is>
      </c>
      <c r="G106" s="7" t="inlineStr">
        <is>
          <t>Complete</t>
        </is>
      </c>
      <c r="H106" s="7" t="inlineStr">
        <is>
          <t>CTO</t>
        </is>
      </c>
      <c r="I106" s="8" t="n">
        <v>45693</v>
      </c>
      <c r="J106" s="8" t="n">
        <v>45716</v>
      </c>
      <c r="K106" s="7" t="inlineStr">
        <is>
          <t>Held</t>
        </is>
      </c>
      <c r="L106" s="7" t="inlineStr">
        <is>
          <t>On track</t>
        </is>
      </c>
      <c r="M106" s="7" t="n">
        <v>100</v>
      </c>
      <c r="N106" s="7" t="n">
        <v>23</v>
      </c>
      <c r="O106" s="7">
        <f>A106&amp;"|"&amp;D106</f>
        <v/>
      </c>
    </row>
    <row r="107" ht="15" customHeight="1" s="5">
      <c r="A107" s="7" t="inlineStr">
        <is>
          <t>PRJ014</t>
        </is>
      </c>
      <c r="B107" s="7">
        <f>IFERROR(VLOOKUP(A107,Projects!$A:$AK,2,FALSE()),"")</f>
        <v/>
      </c>
      <c r="C107" s="7">
        <f>IFERROR(VLOOKUP(A107,Projects!$A:$AK,14,FALSE()),"")</f>
        <v/>
      </c>
      <c r="D107" s="7" t="inlineStr">
        <is>
          <t>Business Case / Seed Funding</t>
        </is>
      </c>
      <c r="E107" s="7">
        <f>IFERROR(INDEX(_Stages!$A$1:$A$8,MIN(MATCH(D107,_Stages!$A$1:$A$8,0)+1,8)),"")</f>
        <v/>
      </c>
      <c r="F107" s="7" t="inlineStr">
        <is>
          <t>Approved</t>
        </is>
      </c>
      <c r="G107" s="7" t="inlineStr">
        <is>
          <t>Complete</t>
        </is>
      </c>
      <c r="H107" s="7" t="inlineStr">
        <is>
          <t>CTO</t>
        </is>
      </c>
      <c r="I107" s="8" t="n">
        <v>45753</v>
      </c>
      <c r="J107" s="8" t="n">
        <v>45772</v>
      </c>
      <c r="K107" s="7" t="inlineStr">
        <is>
          <t>Held</t>
        </is>
      </c>
      <c r="M107" s="7" t="n">
        <v>100</v>
      </c>
      <c r="N107" s="7" t="n">
        <v>19</v>
      </c>
      <c r="O107" s="7">
        <f>A107&amp;"|"&amp;D107</f>
        <v/>
      </c>
    </row>
    <row r="108" ht="15" customHeight="1" s="5">
      <c r="A108" s="7" t="inlineStr">
        <is>
          <t>PRJ014</t>
        </is>
      </c>
      <c r="B108" s="7">
        <f>IFERROR(VLOOKUP(A108,Projects!$A:$AK,2,FALSE()),"")</f>
        <v/>
      </c>
      <c r="C108" s="7">
        <f>IFERROR(VLOOKUP(A108,Projects!$A:$AK,14,FALSE()),"")</f>
        <v/>
      </c>
      <c r="D108" s="7" t="inlineStr">
        <is>
          <t>Design</t>
        </is>
      </c>
      <c r="E108" s="7">
        <f>IFERROR(INDEX(_Stages!$A$1:$A$8,MIN(MATCH(D108,_Stages!$A$1:$A$8,0)+1,8)),"")</f>
        <v/>
      </c>
      <c r="F108" s="7" t="inlineStr">
        <is>
          <t>Approved</t>
        </is>
      </c>
      <c r="G108" s="7" t="inlineStr">
        <is>
          <t>Complete</t>
        </is>
      </c>
      <c r="H108" s="7" t="inlineStr">
        <is>
          <t>CTO</t>
        </is>
      </c>
      <c r="I108" s="8" t="n">
        <v>45813</v>
      </c>
      <c r="J108" s="8" t="n">
        <v>45821</v>
      </c>
      <c r="K108" s="7" t="inlineStr">
        <is>
          <t>Proceed</t>
        </is>
      </c>
      <c r="M108" s="7" t="n">
        <v>100</v>
      </c>
      <c r="N108" s="7" t="n">
        <v>8</v>
      </c>
      <c r="O108" s="7">
        <f>A108&amp;"|"&amp;D108</f>
        <v/>
      </c>
    </row>
    <row r="109" ht="15" customHeight="1" s="5">
      <c r="A109" s="7" t="inlineStr">
        <is>
          <t>PRJ014</t>
        </is>
      </c>
      <c r="B109" s="7">
        <f>IFERROR(VLOOKUP(A109,Projects!$A:$AK,2,FALSE()),"")</f>
        <v/>
      </c>
      <c r="C109" s="7">
        <f>IFERROR(VLOOKUP(A109,Projects!$A:$AK,14,FALSE()),"")</f>
        <v/>
      </c>
      <c r="D109" s="7" t="inlineStr">
        <is>
          <t>Business Case / Full Funding</t>
        </is>
      </c>
      <c r="E109" s="7">
        <f>IFERROR(INDEX(_Stages!$A$1:$A$8,MIN(MATCH(D109,_Stages!$A$1:$A$8,0)+1,8)),"")</f>
        <v/>
      </c>
      <c r="F109" s="7" t="inlineStr">
        <is>
          <t>Approved</t>
        </is>
      </c>
      <c r="G109" s="7" t="inlineStr">
        <is>
          <t>Complete</t>
        </is>
      </c>
      <c r="H109" s="7" t="inlineStr">
        <is>
          <t>CTO</t>
        </is>
      </c>
      <c r="I109" s="8" t="n">
        <v>45873</v>
      </c>
      <c r="J109" s="8" t="n">
        <v>45873</v>
      </c>
      <c r="K109" s="7" t="inlineStr">
        <is>
          <t>Rework</t>
        </is>
      </c>
      <c r="L109" s="7" t="inlineStr">
        <is>
          <t>Approved with conditions</t>
        </is>
      </c>
      <c r="M109" s="7" t="n">
        <v>100</v>
      </c>
      <c r="N109" s="7" t="n">
        <v>0</v>
      </c>
      <c r="O109" s="7">
        <f>A109&amp;"|"&amp;D109</f>
        <v/>
      </c>
    </row>
    <row r="110" ht="15" customHeight="1" s="5">
      <c r="A110" s="7" t="inlineStr">
        <is>
          <t>PRJ014</t>
        </is>
      </c>
      <c r="B110" s="7">
        <f>IFERROR(VLOOKUP(A110,Projects!$A:$AK,2,FALSE()),"")</f>
        <v/>
      </c>
      <c r="C110" s="7">
        <f>IFERROR(VLOOKUP(A110,Projects!$A:$AK,14,FALSE()),"")</f>
        <v/>
      </c>
      <c r="D110" s="7" t="inlineStr">
        <is>
          <t>Build</t>
        </is>
      </c>
      <c r="E110" s="7">
        <f>IFERROR(INDEX(_Stages!$A$1:$A$8,MIN(MATCH(D110,_Stages!$A$1:$A$8,0)+1,8)),"")</f>
        <v/>
      </c>
      <c r="F110" s="7" t="inlineStr">
        <is>
          <t>Approved</t>
        </is>
      </c>
      <c r="G110" s="7" t="inlineStr">
        <is>
          <t>Complete</t>
        </is>
      </c>
      <c r="H110" s="7" t="inlineStr">
        <is>
          <t>CTO</t>
        </is>
      </c>
      <c r="I110" s="8" t="n">
        <v>45933</v>
      </c>
      <c r="J110" s="8" t="n">
        <v>45959</v>
      </c>
      <c r="K110" s="7" t="inlineStr">
        <is>
          <t>Proceed</t>
        </is>
      </c>
      <c r="L110" s="7" t="inlineStr">
        <is>
          <t>On track</t>
        </is>
      </c>
      <c r="M110" s="7" t="n">
        <v>100</v>
      </c>
      <c r="N110" s="7" t="n">
        <v>26</v>
      </c>
      <c r="O110" s="7">
        <f>A110&amp;"|"&amp;D110</f>
        <v/>
      </c>
    </row>
    <row r="111" ht="15" customHeight="1" s="5">
      <c r="A111" s="7" t="inlineStr">
        <is>
          <t>PRJ014</t>
        </is>
      </c>
      <c r="B111" s="7">
        <f>IFERROR(VLOOKUP(A111,Projects!$A:$AK,2,FALSE()),"")</f>
        <v/>
      </c>
      <c r="C111" s="7">
        <f>IFERROR(VLOOKUP(A111,Projects!$A:$AK,14,FALSE()),"")</f>
        <v/>
      </c>
      <c r="D111" s="7" t="inlineStr">
        <is>
          <t>Testing</t>
        </is>
      </c>
      <c r="E111" s="7">
        <f>IFERROR(INDEX(_Stages!$A$1:$A$8,MIN(MATCH(D111,_Stages!$A$1:$A$8,0)+1,8)),"")</f>
        <v/>
      </c>
      <c r="F111" s="7" t="inlineStr">
        <is>
          <t>Approved</t>
        </is>
      </c>
      <c r="G111" s="7" t="inlineStr">
        <is>
          <t>Complete</t>
        </is>
      </c>
      <c r="H111" s="7" t="inlineStr">
        <is>
          <t>CTO</t>
        </is>
      </c>
      <c r="I111" s="8" t="n">
        <v>45993</v>
      </c>
      <c r="J111" s="8" t="n">
        <v>45999</v>
      </c>
      <c r="K111" s="7" t="inlineStr">
        <is>
          <t>Held</t>
        </is>
      </c>
      <c r="M111" s="7" t="n">
        <v>100</v>
      </c>
      <c r="N111" s="7" t="n">
        <v>6</v>
      </c>
      <c r="O111" s="7">
        <f>A111&amp;"|"&amp;D111</f>
        <v/>
      </c>
    </row>
    <row r="112" ht="15" customHeight="1" s="5">
      <c r="A112" s="7" t="inlineStr">
        <is>
          <t>PRJ014</t>
        </is>
      </c>
      <c r="B112" s="7">
        <f>IFERROR(VLOOKUP(A112,Projects!$A:$AK,2,FALSE()),"")</f>
        <v/>
      </c>
      <c r="C112" s="7">
        <f>IFERROR(VLOOKUP(A112,Projects!$A:$AK,14,FALSE()),"")</f>
        <v/>
      </c>
      <c r="D112" s="7" t="inlineStr">
        <is>
          <t>Deployment</t>
        </is>
      </c>
      <c r="E112" s="7">
        <f>IFERROR(INDEX(_Stages!$A$1:$A$8,MIN(MATCH(D112,_Stages!$A$1:$A$8,0)+1,8)),"")</f>
        <v/>
      </c>
      <c r="F112" s="7" t="inlineStr">
        <is>
          <t>Approved</t>
        </is>
      </c>
      <c r="G112" s="7" t="inlineStr">
        <is>
          <t>Complete</t>
        </is>
      </c>
      <c r="H112" s="7" t="inlineStr">
        <is>
          <t>CTO</t>
        </is>
      </c>
      <c r="I112" s="8" t="n">
        <v>46053</v>
      </c>
      <c r="J112" s="8" t="n">
        <v>46038</v>
      </c>
      <c r="K112" s="7" t="inlineStr">
        <is>
          <t>Proceed</t>
        </is>
      </c>
      <c r="L112" s="7" t="inlineStr">
        <is>
          <t>Awaiting sponsor sign-off</t>
        </is>
      </c>
      <c r="M112" s="7" t="n">
        <v>100</v>
      </c>
      <c r="N112" s="7" t="n">
        <v>0</v>
      </c>
      <c r="O112" s="7">
        <f>A112&amp;"|"&amp;D112</f>
        <v/>
      </c>
    </row>
    <row r="113" ht="15" customHeight="1" s="5">
      <c r="A113" s="7" t="inlineStr">
        <is>
          <t>PRJ014</t>
        </is>
      </c>
      <c r="B113" s="7">
        <f>IFERROR(VLOOKUP(A113,Projects!$A:$AK,2,FALSE()),"")</f>
        <v/>
      </c>
      <c r="C113" s="7">
        <f>IFERROR(VLOOKUP(A113,Projects!$A:$AK,14,FALSE()),"")</f>
        <v/>
      </c>
      <c r="D113" s="7" t="inlineStr">
        <is>
          <t>Handover</t>
        </is>
      </c>
      <c r="E113" s="7">
        <f>IFERROR(INDEX(_Stages!$A$1:$A$8,MIN(MATCH(D113,_Stages!$A$1:$A$8,0)+1,8)),"")</f>
        <v/>
      </c>
      <c r="F113" s="7" t="inlineStr">
        <is>
          <t>Pending Approval</t>
        </is>
      </c>
      <c r="G113" s="7" t="inlineStr">
        <is>
          <t>In Progress</t>
        </is>
      </c>
      <c r="H113" s="7" t="inlineStr">
        <is>
          <t>CTO</t>
        </is>
      </c>
      <c r="I113" s="8" t="n">
        <v>46113</v>
      </c>
      <c r="L113" s="7" t="inlineStr">
        <is>
          <t>On track</t>
        </is>
      </c>
      <c r="M113" s="7" t="n">
        <v>63</v>
      </c>
      <c r="N113" s="7" t="n">
        <v>0</v>
      </c>
      <c r="O113" s="7">
        <f>A113&amp;"|"&amp;D113</f>
        <v/>
      </c>
    </row>
    <row r="114" ht="15" customHeight="1" s="5">
      <c r="A114" s="7" t="inlineStr">
        <is>
          <t>PRJ015</t>
        </is>
      </c>
      <c r="B114" s="7">
        <f>IFERROR(VLOOKUP(A114,Projects!$A:$AK,2,FALSE()),"")</f>
        <v/>
      </c>
      <c r="C114" s="7">
        <f>IFERROR(VLOOKUP(A114,Projects!$A:$AK,14,FALSE()),"")</f>
        <v/>
      </c>
      <c r="D114" s="7" t="inlineStr">
        <is>
          <t>Discovery</t>
        </is>
      </c>
      <c r="E114" s="7">
        <f>IFERROR(INDEX(_Stages!$A$1:$A$8,MIN(MATCH(D114,_Stages!$A$1:$A$8,0)+1,8)),"")</f>
        <v/>
      </c>
      <c r="F114" s="7" t="inlineStr">
        <is>
          <t>Approved</t>
        </is>
      </c>
      <c r="G114" s="7" t="inlineStr">
        <is>
          <t>Complete</t>
        </is>
      </c>
      <c r="H114" s="7" t="inlineStr">
        <is>
          <t>CIO</t>
        </is>
      </c>
      <c r="I114" s="8" t="n">
        <v>45811</v>
      </c>
      <c r="J114" s="8" t="n">
        <v>45825</v>
      </c>
      <c r="K114" s="7" t="inlineStr">
        <is>
          <t>Conditional</t>
        </is>
      </c>
      <c r="L114" s="7" t="inlineStr">
        <is>
          <t>Awaiting sponsor sign-off</t>
        </is>
      </c>
      <c r="M114" s="7" t="n">
        <v>100</v>
      </c>
      <c r="N114" s="7" t="n">
        <v>14</v>
      </c>
      <c r="O114" s="7">
        <f>A114&amp;"|"&amp;D114</f>
        <v/>
      </c>
    </row>
    <row r="115" ht="15" customHeight="1" s="5">
      <c r="A115" s="7" t="inlineStr">
        <is>
          <t>PRJ015</t>
        </is>
      </c>
      <c r="B115" s="7">
        <f>IFERROR(VLOOKUP(A115,Projects!$A:$AK,2,FALSE()),"")</f>
        <v/>
      </c>
      <c r="C115" s="7">
        <f>IFERROR(VLOOKUP(A115,Projects!$A:$AK,14,FALSE()),"")</f>
        <v/>
      </c>
      <c r="D115" s="7" t="inlineStr">
        <is>
          <t>Business Case / Seed Funding</t>
        </is>
      </c>
      <c r="E115" s="7">
        <f>IFERROR(INDEX(_Stages!$A$1:$A$8,MIN(MATCH(D115,_Stages!$A$1:$A$8,0)+1,8)),"")</f>
        <v/>
      </c>
      <c r="F115" s="7" t="inlineStr">
        <is>
          <t>Approved</t>
        </is>
      </c>
      <c r="G115" s="7" t="inlineStr">
        <is>
          <t>Complete</t>
        </is>
      </c>
      <c r="H115" s="7" t="inlineStr">
        <is>
          <t>CIO</t>
        </is>
      </c>
      <c r="I115" s="8" t="n">
        <v>45871</v>
      </c>
      <c r="J115" s="8" t="n">
        <v>45857</v>
      </c>
      <c r="K115" s="7" t="inlineStr">
        <is>
          <t>Held</t>
        </is>
      </c>
      <c r="M115" s="7" t="n">
        <v>100</v>
      </c>
      <c r="N115" s="7" t="n">
        <v>0</v>
      </c>
      <c r="O115" s="7">
        <f>A115&amp;"|"&amp;D115</f>
        <v/>
      </c>
    </row>
    <row r="116" ht="15" customHeight="1" s="5">
      <c r="A116" s="7" t="inlineStr">
        <is>
          <t>PRJ015</t>
        </is>
      </c>
      <c r="B116" s="7">
        <f>IFERROR(VLOOKUP(A116,Projects!$A:$AK,2,FALSE()),"")</f>
        <v/>
      </c>
      <c r="C116" s="7">
        <f>IFERROR(VLOOKUP(A116,Projects!$A:$AK,14,FALSE()),"")</f>
        <v/>
      </c>
      <c r="D116" s="7" t="inlineStr">
        <is>
          <t>Design</t>
        </is>
      </c>
      <c r="E116" s="7">
        <f>IFERROR(INDEX(_Stages!$A$1:$A$8,MIN(MATCH(D116,_Stages!$A$1:$A$8,0)+1,8)),"")</f>
        <v/>
      </c>
      <c r="F116" s="7" t="inlineStr">
        <is>
          <t>Approved</t>
        </is>
      </c>
      <c r="G116" s="7" t="inlineStr">
        <is>
          <t>Complete</t>
        </is>
      </c>
      <c r="H116" s="7" t="inlineStr">
        <is>
          <t>CIO</t>
        </is>
      </c>
      <c r="I116" s="8" t="n">
        <v>45931</v>
      </c>
      <c r="J116" s="8" t="n">
        <v>45934</v>
      </c>
      <c r="K116" s="7" t="inlineStr">
        <is>
          <t>Held</t>
        </is>
      </c>
      <c r="M116" s="7" t="n">
        <v>100</v>
      </c>
      <c r="N116" s="7" t="n">
        <v>3</v>
      </c>
      <c r="O116" s="7">
        <f>A116&amp;"|"&amp;D116</f>
        <v/>
      </c>
    </row>
    <row r="117" ht="15" customHeight="1" s="5">
      <c r="A117" s="7" t="inlineStr">
        <is>
          <t>PRJ015</t>
        </is>
      </c>
      <c r="B117" s="7">
        <f>IFERROR(VLOOKUP(A117,Projects!$A:$AK,2,FALSE()),"")</f>
        <v/>
      </c>
      <c r="C117" s="7">
        <f>IFERROR(VLOOKUP(A117,Projects!$A:$AK,14,FALSE()),"")</f>
        <v/>
      </c>
      <c r="D117" s="7" t="inlineStr">
        <is>
          <t>Business Case / Full Funding</t>
        </is>
      </c>
      <c r="E117" s="7">
        <f>IFERROR(INDEX(_Stages!$A$1:$A$8,MIN(MATCH(D117,_Stages!$A$1:$A$8,0)+1,8)),"")</f>
        <v/>
      </c>
      <c r="F117" s="7" t="inlineStr">
        <is>
          <t>Approved</t>
        </is>
      </c>
      <c r="G117" s="7" t="inlineStr">
        <is>
          <t>Complete</t>
        </is>
      </c>
      <c r="H117" s="7" t="inlineStr">
        <is>
          <t>CIO</t>
        </is>
      </c>
      <c r="I117" s="8" t="n">
        <v>45991</v>
      </c>
      <c r="J117" s="8" t="n">
        <v>45983</v>
      </c>
      <c r="K117" s="7" t="inlineStr">
        <is>
          <t>Conditional</t>
        </is>
      </c>
      <c r="L117" s="7" t="inlineStr">
        <is>
          <t>Awaiting sponsor sign-off</t>
        </is>
      </c>
      <c r="M117" s="7" t="n">
        <v>100</v>
      </c>
      <c r="N117" s="7" t="n">
        <v>0</v>
      </c>
      <c r="O117" s="7">
        <f>A117&amp;"|"&amp;D117</f>
        <v/>
      </c>
    </row>
    <row r="118" ht="15" customHeight="1" s="5">
      <c r="A118" s="7" t="inlineStr">
        <is>
          <t>PRJ015</t>
        </is>
      </c>
      <c r="B118" s="7">
        <f>IFERROR(VLOOKUP(A118,Projects!$A:$AK,2,FALSE()),"")</f>
        <v/>
      </c>
      <c r="C118" s="7">
        <f>IFERROR(VLOOKUP(A118,Projects!$A:$AK,14,FALSE()),"")</f>
        <v/>
      </c>
      <c r="D118" s="7" t="inlineStr">
        <is>
          <t>Build</t>
        </is>
      </c>
      <c r="E118" s="7">
        <f>IFERROR(INDEX(_Stages!$A$1:$A$8,MIN(MATCH(D118,_Stages!$A$1:$A$8,0)+1,8)),"")</f>
        <v/>
      </c>
      <c r="F118" s="7" t="inlineStr">
        <is>
          <t>Approved</t>
        </is>
      </c>
      <c r="G118" s="7" t="inlineStr">
        <is>
          <t>Complete</t>
        </is>
      </c>
      <c r="H118" s="7" t="inlineStr">
        <is>
          <t>CIO</t>
        </is>
      </c>
      <c r="I118" s="8" t="n">
        <v>46051</v>
      </c>
      <c r="J118" s="8" t="n">
        <v>46055</v>
      </c>
      <c r="K118" s="7" t="inlineStr">
        <is>
          <t>Rework</t>
        </is>
      </c>
      <c r="L118" s="7" t="inlineStr">
        <is>
          <t>On track</t>
        </is>
      </c>
      <c r="M118" s="7" t="n">
        <v>100</v>
      </c>
      <c r="N118" s="7" t="n">
        <v>4</v>
      </c>
      <c r="O118" s="7">
        <f>A118&amp;"|"&amp;D118</f>
        <v/>
      </c>
    </row>
    <row r="119" ht="15" customHeight="1" s="5">
      <c r="A119" s="7" t="inlineStr">
        <is>
          <t>PRJ015</t>
        </is>
      </c>
      <c r="B119" s="7">
        <f>IFERROR(VLOOKUP(A119,Projects!$A:$AK,2,FALSE()),"")</f>
        <v/>
      </c>
      <c r="C119" s="7">
        <f>IFERROR(VLOOKUP(A119,Projects!$A:$AK,14,FALSE()),"")</f>
        <v/>
      </c>
      <c r="D119" s="7" t="inlineStr">
        <is>
          <t>Testing</t>
        </is>
      </c>
      <c r="E119" s="7">
        <f>IFERROR(INDEX(_Stages!$A$1:$A$8,MIN(MATCH(D119,_Stages!$A$1:$A$8,0)+1,8)),"")</f>
        <v/>
      </c>
      <c r="F119" s="7" t="inlineStr">
        <is>
          <t>Approved</t>
        </is>
      </c>
      <c r="G119" s="7" t="inlineStr">
        <is>
          <t>Complete</t>
        </is>
      </c>
      <c r="H119" s="7" t="inlineStr">
        <is>
          <t>CIO</t>
        </is>
      </c>
      <c r="I119" s="8" t="n">
        <v>46111</v>
      </c>
      <c r="J119" s="8" t="n">
        <v>46109</v>
      </c>
      <c r="K119" s="7" t="inlineStr">
        <is>
          <t>Held</t>
        </is>
      </c>
      <c r="L119" s="7" t="inlineStr">
        <is>
          <t>Awaiting sponsor sign-off</t>
        </is>
      </c>
      <c r="M119" s="7" t="n">
        <v>100</v>
      </c>
      <c r="N119" s="7" t="n">
        <v>0</v>
      </c>
      <c r="O119" s="7">
        <f>A119&amp;"|"&amp;D119</f>
        <v/>
      </c>
    </row>
    <row r="120" ht="15" customHeight="1" s="5">
      <c r="A120" s="7" t="inlineStr">
        <is>
          <t>PRJ015</t>
        </is>
      </c>
      <c r="B120" s="7">
        <f>IFERROR(VLOOKUP(A120,Projects!$A:$AK,2,FALSE()),"")</f>
        <v/>
      </c>
      <c r="C120" s="7">
        <f>IFERROR(VLOOKUP(A120,Projects!$A:$AK,14,FALSE()),"")</f>
        <v/>
      </c>
      <c r="D120" s="7" t="inlineStr">
        <is>
          <t>Deployment</t>
        </is>
      </c>
      <c r="E120" s="7">
        <f>IFERROR(INDEX(_Stages!$A$1:$A$8,MIN(MATCH(D120,_Stages!$A$1:$A$8,0)+1,8)),"")</f>
        <v/>
      </c>
      <c r="F120" s="7" t="inlineStr">
        <is>
          <t>Pending Approval</t>
        </is>
      </c>
      <c r="G120" s="7" t="inlineStr">
        <is>
          <t>In Progress</t>
        </is>
      </c>
      <c r="H120" s="7" t="inlineStr">
        <is>
          <t>CIO</t>
        </is>
      </c>
      <c r="I120" s="8" t="n">
        <v>46171</v>
      </c>
      <c r="L120" s="7" t="inlineStr">
        <is>
          <t>On track</t>
        </is>
      </c>
      <c r="M120" s="7" t="n">
        <v>86</v>
      </c>
      <c r="N120" s="7" t="n">
        <v>0</v>
      </c>
      <c r="O120" s="7">
        <f>A120&amp;"|"&amp;D120</f>
        <v/>
      </c>
    </row>
    <row r="121" ht="15" customHeight="1" s="5">
      <c r="A121" s="7" t="inlineStr">
        <is>
          <t>PRJ015</t>
        </is>
      </c>
      <c r="B121" s="7">
        <f>IFERROR(VLOOKUP(A121,Projects!$A:$AK,2,FALSE()),"")</f>
        <v/>
      </c>
      <c r="C121" s="7">
        <f>IFERROR(VLOOKUP(A121,Projects!$A:$AK,14,FALSE()),"")</f>
        <v/>
      </c>
      <c r="D121" s="7" t="inlineStr">
        <is>
          <t>Handover</t>
        </is>
      </c>
      <c r="E121" s="7">
        <f>IFERROR(INDEX(_Stages!$A$1:$A$8,MIN(MATCH(D121,_Stages!$A$1:$A$8,0)+1,8)),"")</f>
        <v/>
      </c>
      <c r="F121" s="7" t="inlineStr">
        <is>
          <t>Not Started</t>
        </is>
      </c>
      <c r="G121" s="7" t="inlineStr">
        <is>
          <t>Not Started</t>
        </is>
      </c>
      <c r="H121" s="7" t="inlineStr">
        <is>
          <t>CIO</t>
        </is>
      </c>
      <c r="I121" s="8" t="n">
        <v>46231</v>
      </c>
      <c r="L121" s="7" t="inlineStr">
        <is>
          <t>On track</t>
        </is>
      </c>
      <c r="M121" s="7" t="n">
        <v>0</v>
      </c>
      <c r="N121" s="7" t="n">
        <v>0</v>
      </c>
      <c r="O121" s="7">
        <f>A121&amp;"|"&amp;D121</f>
        <v/>
      </c>
    </row>
    <row r="122" ht="15" customHeight="1" s="5">
      <c r="A122" s="7" t="inlineStr">
        <is>
          <t>PRJ016</t>
        </is>
      </c>
      <c r="B122" s="7">
        <f>IFERROR(VLOOKUP(A122,Projects!$A:$AK,2,FALSE()),"")</f>
        <v/>
      </c>
      <c r="C122" s="7">
        <f>IFERROR(VLOOKUP(A122,Projects!$A:$AK,14,FALSE()),"")</f>
        <v/>
      </c>
      <c r="D122" s="7" t="inlineStr">
        <is>
          <t>Discovery</t>
        </is>
      </c>
      <c r="E122" s="7">
        <f>IFERROR(INDEX(_Stages!$A$1:$A$8,MIN(MATCH(D122,_Stages!$A$1:$A$8,0)+1,8)),"")</f>
        <v/>
      </c>
      <c r="F122" s="7" t="inlineStr">
        <is>
          <t>Approved</t>
        </is>
      </c>
      <c r="G122" s="7" t="inlineStr">
        <is>
          <t>Complete</t>
        </is>
      </c>
      <c r="H122" s="7" t="inlineStr">
        <is>
          <t>CIO</t>
        </is>
      </c>
      <c r="I122" s="8" t="n">
        <v>45992</v>
      </c>
      <c r="J122" s="8" t="n">
        <v>45981</v>
      </c>
      <c r="K122" s="7" t="inlineStr">
        <is>
          <t>Rework</t>
        </is>
      </c>
      <c r="M122" s="7" t="n">
        <v>100</v>
      </c>
      <c r="N122" s="7" t="n">
        <v>0</v>
      </c>
      <c r="O122" s="7">
        <f>A122&amp;"|"&amp;D122</f>
        <v/>
      </c>
    </row>
    <row r="123" ht="15" customHeight="1" s="5">
      <c r="A123" s="7" t="inlineStr">
        <is>
          <t>PRJ016</t>
        </is>
      </c>
      <c r="B123" s="7">
        <f>IFERROR(VLOOKUP(A123,Projects!$A:$AK,2,FALSE()),"")</f>
        <v/>
      </c>
      <c r="C123" s="7">
        <f>IFERROR(VLOOKUP(A123,Projects!$A:$AK,14,FALSE()),"")</f>
        <v/>
      </c>
      <c r="D123" s="7" t="inlineStr">
        <is>
          <t>Business Case / Seed Funding</t>
        </is>
      </c>
      <c r="E123" s="7">
        <f>IFERROR(INDEX(_Stages!$A$1:$A$8,MIN(MATCH(D123,_Stages!$A$1:$A$8,0)+1,8)),"")</f>
        <v/>
      </c>
      <c r="F123" s="7" t="inlineStr">
        <is>
          <t>Approved</t>
        </is>
      </c>
      <c r="G123" s="7" t="inlineStr">
        <is>
          <t>Complete</t>
        </is>
      </c>
      <c r="H123" s="7" t="inlineStr">
        <is>
          <t>CIO</t>
        </is>
      </c>
      <c r="I123" s="8" t="n">
        <v>46052</v>
      </c>
      <c r="J123" s="8" t="n">
        <v>46082</v>
      </c>
      <c r="K123" s="7" t="inlineStr">
        <is>
          <t>Proceed</t>
        </is>
      </c>
      <c r="M123" s="7" t="n">
        <v>100</v>
      </c>
      <c r="N123" s="7" t="n">
        <v>30</v>
      </c>
      <c r="O123" s="7">
        <f>A123&amp;"|"&amp;D123</f>
        <v/>
      </c>
    </row>
    <row r="124" ht="15" customHeight="1" s="5">
      <c r="A124" s="7" t="inlineStr">
        <is>
          <t>PRJ016</t>
        </is>
      </c>
      <c r="B124" s="7">
        <f>IFERROR(VLOOKUP(A124,Projects!$A:$AK,2,FALSE()),"")</f>
        <v/>
      </c>
      <c r="C124" s="7">
        <f>IFERROR(VLOOKUP(A124,Projects!$A:$AK,14,FALSE()),"")</f>
        <v/>
      </c>
      <c r="D124" s="7" t="inlineStr">
        <is>
          <t>Design</t>
        </is>
      </c>
      <c r="E124" s="7">
        <f>IFERROR(INDEX(_Stages!$A$1:$A$8,MIN(MATCH(D124,_Stages!$A$1:$A$8,0)+1,8)),"")</f>
        <v/>
      </c>
      <c r="F124" s="7" t="inlineStr">
        <is>
          <t>Approved</t>
        </is>
      </c>
      <c r="G124" s="7" t="inlineStr">
        <is>
          <t>Complete</t>
        </is>
      </c>
      <c r="H124" s="7" t="inlineStr">
        <is>
          <t>CIO</t>
        </is>
      </c>
      <c r="I124" s="8" t="n">
        <v>46112</v>
      </c>
      <c r="J124" s="8" t="n">
        <v>46118</v>
      </c>
      <c r="K124" s="7" t="inlineStr">
        <is>
          <t>Proceed</t>
        </is>
      </c>
      <c r="L124" s="7" t="inlineStr">
        <is>
          <t>Approved with conditions</t>
        </is>
      </c>
      <c r="M124" s="7" t="n">
        <v>100</v>
      </c>
      <c r="N124" s="7" t="n">
        <v>6</v>
      </c>
      <c r="O124" s="7">
        <f>A124&amp;"|"&amp;D124</f>
        <v/>
      </c>
    </row>
    <row r="125" ht="15" customHeight="1" s="5">
      <c r="A125" s="7" t="inlineStr">
        <is>
          <t>PRJ016</t>
        </is>
      </c>
      <c r="B125" s="7">
        <f>IFERROR(VLOOKUP(A125,Projects!$A:$AK,2,FALSE()),"")</f>
        <v/>
      </c>
      <c r="C125" s="7">
        <f>IFERROR(VLOOKUP(A125,Projects!$A:$AK,14,FALSE()),"")</f>
        <v/>
      </c>
      <c r="D125" s="7" t="inlineStr">
        <is>
          <t>Business Case / Full Funding</t>
        </is>
      </c>
      <c r="E125" s="7">
        <f>IFERROR(INDEX(_Stages!$A$1:$A$8,MIN(MATCH(D125,_Stages!$A$1:$A$8,0)+1,8)),"")</f>
        <v/>
      </c>
      <c r="F125" s="7" t="inlineStr">
        <is>
          <t>Approved</t>
        </is>
      </c>
      <c r="G125" s="7" t="inlineStr">
        <is>
          <t>Complete</t>
        </is>
      </c>
      <c r="H125" s="7" t="inlineStr">
        <is>
          <t>CIO</t>
        </is>
      </c>
      <c r="I125" s="8" t="n">
        <v>46172</v>
      </c>
      <c r="J125" s="8" t="n">
        <v>46172</v>
      </c>
      <c r="K125" s="7" t="inlineStr">
        <is>
          <t>Conditional</t>
        </is>
      </c>
      <c r="L125" s="7" t="inlineStr">
        <is>
          <t>Approved with conditions</t>
        </is>
      </c>
      <c r="M125" s="7" t="n">
        <v>100</v>
      </c>
      <c r="N125" s="7" t="n">
        <v>0</v>
      </c>
      <c r="O125" s="7">
        <f>A125&amp;"|"&amp;D125</f>
        <v/>
      </c>
    </row>
    <row r="126" ht="15" customHeight="1" s="5">
      <c r="A126" s="7" t="inlineStr">
        <is>
          <t>PRJ016</t>
        </is>
      </c>
      <c r="B126" s="7">
        <f>IFERROR(VLOOKUP(A126,Projects!$A:$AK,2,FALSE()),"")</f>
        <v/>
      </c>
      <c r="C126" s="7">
        <f>IFERROR(VLOOKUP(A126,Projects!$A:$AK,14,FALSE()),"")</f>
        <v/>
      </c>
      <c r="D126" s="7" t="inlineStr">
        <is>
          <t>Build</t>
        </is>
      </c>
      <c r="E126" s="7">
        <f>IFERROR(INDEX(_Stages!$A$1:$A$8,MIN(MATCH(D126,_Stages!$A$1:$A$8,0)+1,8)),"")</f>
        <v/>
      </c>
      <c r="F126" s="7" t="inlineStr">
        <is>
          <t>Approved</t>
        </is>
      </c>
      <c r="G126" s="7" t="inlineStr">
        <is>
          <t>Complete</t>
        </is>
      </c>
      <c r="H126" s="7" t="inlineStr">
        <is>
          <t>CIO</t>
        </is>
      </c>
      <c r="I126" s="8" t="n">
        <v>46232</v>
      </c>
      <c r="J126" s="8" t="n">
        <v>46238</v>
      </c>
      <c r="K126" s="7" t="inlineStr">
        <is>
          <t>Held</t>
        </is>
      </c>
      <c r="L126" s="7" t="inlineStr">
        <is>
          <t>On track</t>
        </is>
      </c>
      <c r="M126" s="7" t="n">
        <v>100</v>
      </c>
      <c r="N126" s="7" t="n">
        <v>6</v>
      </c>
      <c r="O126" s="7">
        <f>A126&amp;"|"&amp;D126</f>
        <v/>
      </c>
    </row>
    <row r="127" ht="15" customHeight="1" s="5">
      <c r="A127" s="7" t="inlineStr">
        <is>
          <t>PRJ016</t>
        </is>
      </c>
      <c r="B127" s="7">
        <f>IFERROR(VLOOKUP(A127,Projects!$A:$AK,2,FALSE()),"")</f>
        <v/>
      </c>
      <c r="C127" s="7">
        <f>IFERROR(VLOOKUP(A127,Projects!$A:$AK,14,FALSE()),"")</f>
        <v/>
      </c>
      <c r="D127" s="7" t="inlineStr">
        <is>
          <t>Testing</t>
        </is>
      </c>
      <c r="E127" s="7">
        <f>IFERROR(INDEX(_Stages!$A$1:$A$8,MIN(MATCH(D127,_Stages!$A$1:$A$8,0)+1,8)),"")</f>
        <v/>
      </c>
      <c r="F127" s="7" t="inlineStr">
        <is>
          <t>In Progress</t>
        </is>
      </c>
      <c r="G127" s="7" t="inlineStr">
        <is>
          <t>In Progress</t>
        </is>
      </c>
      <c r="H127" s="7" t="inlineStr">
        <is>
          <t>CIO</t>
        </is>
      </c>
      <c r="I127" s="8" t="n">
        <v>46292</v>
      </c>
      <c r="L127" s="7" t="inlineStr">
        <is>
          <t>Approved with conditions</t>
        </is>
      </c>
      <c r="M127" s="7" t="n">
        <v>51</v>
      </c>
      <c r="N127" s="7" t="n">
        <v>0</v>
      </c>
      <c r="O127" s="7">
        <f>A127&amp;"|"&amp;D127</f>
        <v/>
      </c>
    </row>
    <row r="128" ht="15" customHeight="1" s="5">
      <c r="A128" s="7" t="inlineStr">
        <is>
          <t>PRJ016</t>
        </is>
      </c>
      <c r="B128" s="7">
        <f>IFERROR(VLOOKUP(A128,Projects!$A:$AK,2,FALSE()),"")</f>
        <v/>
      </c>
      <c r="C128" s="7">
        <f>IFERROR(VLOOKUP(A128,Projects!$A:$AK,14,FALSE()),"")</f>
        <v/>
      </c>
      <c r="D128" s="7" t="inlineStr">
        <is>
          <t>Deployment</t>
        </is>
      </c>
      <c r="E128" s="7">
        <f>IFERROR(INDEX(_Stages!$A$1:$A$8,MIN(MATCH(D128,_Stages!$A$1:$A$8,0)+1,8)),"")</f>
        <v/>
      </c>
      <c r="F128" s="7" t="inlineStr">
        <is>
          <t>Not Started</t>
        </is>
      </c>
      <c r="G128" s="7" t="inlineStr">
        <is>
          <t>Not Started</t>
        </is>
      </c>
      <c r="H128" s="7" t="inlineStr">
        <is>
          <t>CIO</t>
        </is>
      </c>
      <c r="I128" s="8" t="n">
        <v>46352</v>
      </c>
      <c r="L128" s="7" t="inlineStr">
        <is>
          <t>On track</t>
        </is>
      </c>
      <c r="M128" s="7" t="n">
        <v>0</v>
      </c>
      <c r="N128" s="7" t="n">
        <v>0</v>
      </c>
      <c r="O128" s="7">
        <f>A128&amp;"|"&amp;D128</f>
        <v/>
      </c>
    </row>
    <row r="129" ht="15" customHeight="1" s="5">
      <c r="A129" s="7" t="inlineStr">
        <is>
          <t>PRJ016</t>
        </is>
      </c>
      <c r="B129" s="7">
        <f>IFERROR(VLOOKUP(A129,Projects!$A:$AK,2,FALSE()),"")</f>
        <v/>
      </c>
      <c r="C129" s="7">
        <f>IFERROR(VLOOKUP(A129,Projects!$A:$AK,14,FALSE()),"")</f>
        <v/>
      </c>
      <c r="D129" s="7" t="inlineStr">
        <is>
          <t>Handover</t>
        </is>
      </c>
      <c r="E129" s="7">
        <f>IFERROR(INDEX(_Stages!$A$1:$A$8,MIN(MATCH(D129,_Stages!$A$1:$A$8,0)+1,8)),"")</f>
        <v/>
      </c>
      <c r="F129" s="7" t="inlineStr">
        <is>
          <t>Not Started</t>
        </is>
      </c>
      <c r="G129" s="7" t="inlineStr">
        <is>
          <t>Not Started</t>
        </is>
      </c>
      <c r="H129" s="7" t="inlineStr">
        <is>
          <t>CIO</t>
        </is>
      </c>
      <c r="I129" s="8" t="n">
        <v>46412</v>
      </c>
      <c r="M129" s="7" t="n">
        <v>0</v>
      </c>
      <c r="N129" s="7" t="n">
        <v>0</v>
      </c>
      <c r="O129" s="7">
        <f>A129&amp;"|"&amp;D129</f>
        <v/>
      </c>
    </row>
    <row r="130" ht="15" customHeight="1" s="5">
      <c r="A130" s="7" t="inlineStr">
        <is>
          <t>PRJ017</t>
        </is>
      </c>
      <c r="B130" s="7">
        <f>IFERROR(VLOOKUP(A130,Projects!$A:$AK,2,FALSE()),"")</f>
        <v/>
      </c>
      <c r="C130" s="7">
        <f>IFERROR(VLOOKUP(A130,Projects!$A:$AK,14,FALSE()),"")</f>
        <v/>
      </c>
      <c r="D130" s="7" t="inlineStr">
        <is>
          <t>Discovery</t>
        </is>
      </c>
      <c r="E130" s="7">
        <f>IFERROR(INDEX(_Stages!$A$1:$A$8,MIN(MATCH(D130,_Stages!$A$1:$A$8,0)+1,8)),"")</f>
        <v/>
      </c>
      <c r="F130" s="7" t="inlineStr">
        <is>
          <t>Approved</t>
        </is>
      </c>
      <c r="G130" s="7" t="inlineStr">
        <is>
          <t>Complete</t>
        </is>
      </c>
      <c r="H130" s="7" t="inlineStr">
        <is>
          <t>CFO</t>
        </is>
      </c>
      <c r="I130" s="8" t="n">
        <v>45705</v>
      </c>
      <c r="J130" s="8" t="n">
        <v>45718</v>
      </c>
      <c r="K130" s="7" t="inlineStr">
        <is>
          <t>Held</t>
        </is>
      </c>
      <c r="L130" s="7" t="inlineStr">
        <is>
          <t>On track</t>
        </is>
      </c>
      <c r="M130" s="7" t="n">
        <v>100</v>
      </c>
      <c r="N130" s="7" t="n">
        <v>13</v>
      </c>
      <c r="O130" s="7">
        <f>A130&amp;"|"&amp;D130</f>
        <v/>
      </c>
    </row>
    <row r="131" ht="15" customHeight="1" s="5">
      <c r="A131" s="7" t="inlineStr">
        <is>
          <t>PRJ017</t>
        </is>
      </c>
      <c r="B131" s="7">
        <f>IFERROR(VLOOKUP(A131,Projects!$A:$AK,2,FALSE()),"")</f>
        <v/>
      </c>
      <c r="C131" s="7">
        <f>IFERROR(VLOOKUP(A131,Projects!$A:$AK,14,FALSE()),"")</f>
        <v/>
      </c>
      <c r="D131" s="7" t="inlineStr">
        <is>
          <t>Business Case / Seed Funding</t>
        </is>
      </c>
      <c r="E131" s="7">
        <f>IFERROR(INDEX(_Stages!$A$1:$A$8,MIN(MATCH(D131,_Stages!$A$1:$A$8,0)+1,8)),"")</f>
        <v/>
      </c>
      <c r="F131" s="7" t="inlineStr">
        <is>
          <t>Approved</t>
        </is>
      </c>
      <c r="G131" s="7" t="inlineStr">
        <is>
          <t>Complete</t>
        </is>
      </c>
      <c r="H131" s="7" t="inlineStr">
        <is>
          <t>CFO</t>
        </is>
      </c>
      <c r="I131" s="8" t="n">
        <v>45765</v>
      </c>
      <c r="J131" s="8" t="n">
        <v>45750</v>
      </c>
      <c r="K131" s="7" t="inlineStr">
        <is>
          <t>Conditional</t>
        </is>
      </c>
      <c r="L131" s="7" t="inlineStr">
        <is>
          <t>Approved with conditions</t>
        </is>
      </c>
      <c r="M131" s="7" t="n">
        <v>100</v>
      </c>
      <c r="N131" s="7" t="n">
        <v>0</v>
      </c>
      <c r="O131" s="7">
        <f>A131&amp;"|"&amp;D131</f>
        <v/>
      </c>
    </row>
    <row r="132" ht="15" customHeight="1" s="5">
      <c r="A132" s="7" t="inlineStr">
        <is>
          <t>PRJ017</t>
        </is>
      </c>
      <c r="B132" s="7">
        <f>IFERROR(VLOOKUP(A132,Projects!$A:$AK,2,FALSE()),"")</f>
        <v/>
      </c>
      <c r="C132" s="7">
        <f>IFERROR(VLOOKUP(A132,Projects!$A:$AK,14,FALSE()),"")</f>
        <v/>
      </c>
      <c r="D132" s="7" t="inlineStr">
        <is>
          <t>Design</t>
        </is>
      </c>
      <c r="E132" s="7">
        <f>IFERROR(INDEX(_Stages!$A$1:$A$8,MIN(MATCH(D132,_Stages!$A$1:$A$8,0)+1,8)),"")</f>
        <v/>
      </c>
      <c r="F132" s="7" t="inlineStr">
        <is>
          <t>Approved</t>
        </is>
      </c>
      <c r="G132" s="7" t="inlineStr">
        <is>
          <t>Complete</t>
        </is>
      </c>
      <c r="H132" s="7" t="inlineStr">
        <is>
          <t>CFO</t>
        </is>
      </c>
      <c r="I132" s="8" t="n">
        <v>45825</v>
      </c>
      <c r="J132" s="8" t="n">
        <v>45827</v>
      </c>
      <c r="K132" s="7" t="inlineStr">
        <is>
          <t>Proceed</t>
        </is>
      </c>
      <c r="M132" s="7" t="n">
        <v>100</v>
      </c>
      <c r="N132" s="7" t="n">
        <v>2</v>
      </c>
      <c r="O132" s="7">
        <f>A132&amp;"|"&amp;D132</f>
        <v/>
      </c>
    </row>
    <row r="133" ht="15" customHeight="1" s="5">
      <c r="A133" s="7" t="inlineStr">
        <is>
          <t>PRJ017</t>
        </is>
      </c>
      <c r="B133" s="7">
        <f>IFERROR(VLOOKUP(A133,Projects!$A:$AK,2,FALSE()),"")</f>
        <v/>
      </c>
      <c r="C133" s="7">
        <f>IFERROR(VLOOKUP(A133,Projects!$A:$AK,14,FALSE()),"")</f>
        <v/>
      </c>
      <c r="D133" s="7" t="inlineStr">
        <is>
          <t>Business Case / Full Funding</t>
        </is>
      </c>
      <c r="E133" s="7">
        <f>IFERROR(INDEX(_Stages!$A$1:$A$8,MIN(MATCH(D133,_Stages!$A$1:$A$8,0)+1,8)),"")</f>
        <v/>
      </c>
      <c r="F133" s="7" t="inlineStr">
        <is>
          <t>Pending Approval</t>
        </is>
      </c>
      <c r="G133" s="7" t="inlineStr">
        <is>
          <t>In Progress</t>
        </is>
      </c>
      <c r="H133" s="7" t="inlineStr">
        <is>
          <t>CFO</t>
        </is>
      </c>
      <c r="I133" s="8" t="n">
        <v>45885</v>
      </c>
      <c r="L133" s="7" t="inlineStr">
        <is>
          <t>Awaiting sponsor sign-off</t>
        </is>
      </c>
      <c r="M133" s="7" t="n">
        <v>60</v>
      </c>
      <c r="N133" s="7" t="n">
        <v>0</v>
      </c>
      <c r="O133" s="7">
        <f>A133&amp;"|"&amp;D133</f>
        <v/>
      </c>
    </row>
    <row r="134" ht="15" customHeight="1" s="5">
      <c r="A134" s="7" t="inlineStr">
        <is>
          <t>PRJ017</t>
        </is>
      </c>
      <c r="B134" s="7">
        <f>IFERROR(VLOOKUP(A134,Projects!$A:$AK,2,FALSE()),"")</f>
        <v/>
      </c>
      <c r="C134" s="7">
        <f>IFERROR(VLOOKUP(A134,Projects!$A:$AK,14,FALSE()),"")</f>
        <v/>
      </c>
      <c r="D134" s="7" t="inlineStr">
        <is>
          <t>Build</t>
        </is>
      </c>
      <c r="E134" s="7">
        <f>IFERROR(INDEX(_Stages!$A$1:$A$8,MIN(MATCH(D134,_Stages!$A$1:$A$8,0)+1,8)),"")</f>
        <v/>
      </c>
      <c r="F134" s="7" t="inlineStr">
        <is>
          <t>Not Started</t>
        </is>
      </c>
      <c r="G134" s="7" t="inlineStr">
        <is>
          <t>Not Started</t>
        </is>
      </c>
      <c r="H134" s="7" t="inlineStr">
        <is>
          <t>CFO</t>
        </is>
      </c>
      <c r="I134" s="8" t="n">
        <v>45945</v>
      </c>
      <c r="L134" s="7" t="inlineStr">
        <is>
          <t>On track</t>
        </is>
      </c>
      <c r="M134" s="7" t="n">
        <v>0</v>
      </c>
      <c r="N134" s="7" t="n">
        <v>0</v>
      </c>
      <c r="O134" s="7">
        <f>A134&amp;"|"&amp;D134</f>
        <v/>
      </c>
    </row>
    <row r="135" ht="15" customHeight="1" s="5">
      <c r="A135" s="7" t="inlineStr">
        <is>
          <t>PRJ017</t>
        </is>
      </c>
      <c r="B135" s="7">
        <f>IFERROR(VLOOKUP(A135,Projects!$A:$AK,2,FALSE()),"")</f>
        <v/>
      </c>
      <c r="C135" s="7">
        <f>IFERROR(VLOOKUP(A135,Projects!$A:$AK,14,FALSE()),"")</f>
        <v/>
      </c>
      <c r="D135" s="7" t="inlineStr">
        <is>
          <t>Testing</t>
        </is>
      </c>
      <c r="E135" s="7">
        <f>IFERROR(INDEX(_Stages!$A$1:$A$8,MIN(MATCH(D135,_Stages!$A$1:$A$8,0)+1,8)),"")</f>
        <v/>
      </c>
      <c r="F135" s="7" t="inlineStr">
        <is>
          <t>Not Started</t>
        </is>
      </c>
      <c r="G135" s="7" t="inlineStr">
        <is>
          <t>Not Started</t>
        </is>
      </c>
      <c r="H135" s="7" t="inlineStr">
        <is>
          <t>CFO</t>
        </is>
      </c>
      <c r="I135" s="8" t="n">
        <v>46005</v>
      </c>
      <c r="L135" s="7" t="inlineStr">
        <is>
          <t>Awaiting sponsor sign-off</t>
        </is>
      </c>
      <c r="M135" s="7" t="n">
        <v>0</v>
      </c>
      <c r="N135" s="7" t="n">
        <v>0</v>
      </c>
      <c r="O135" s="7">
        <f>A135&amp;"|"&amp;D135</f>
        <v/>
      </c>
    </row>
    <row r="136" ht="15" customHeight="1" s="5">
      <c r="A136" s="7" t="inlineStr">
        <is>
          <t>PRJ017</t>
        </is>
      </c>
      <c r="B136" s="7">
        <f>IFERROR(VLOOKUP(A136,Projects!$A:$AK,2,FALSE()),"")</f>
        <v/>
      </c>
      <c r="C136" s="7">
        <f>IFERROR(VLOOKUP(A136,Projects!$A:$AK,14,FALSE()),"")</f>
        <v/>
      </c>
      <c r="D136" s="7" t="inlineStr">
        <is>
          <t>Deployment</t>
        </is>
      </c>
      <c r="E136" s="7">
        <f>IFERROR(INDEX(_Stages!$A$1:$A$8,MIN(MATCH(D136,_Stages!$A$1:$A$8,0)+1,8)),"")</f>
        <v/>
      </c>
      <c r="F136" s="7" t="inlineStr">
        <is>
          <t>Not Started</t>
        </is>
      </c>
      <c r="G136" s="7" t="inlineStr">
        <is>
          <t>Not Started</t>
        </is>
      </c>
      <c r="H136" s="7" t="inlineStr">
        <is>
          <t>CFO</t>
        </is>
      </c>
      <c r="I136" s="8" t="n">
        <v>46065</v>
      </c>
      <c r="L136" s="7" t="inlineStr">
        <is>
          <t>On track</t>
        </is>
      </c>
      <c r="M136" s="7" t="n">
        <v>0</v>
      </c>
      <c r="N136" s="7" t="n">
        <v>0</v>
      </c>
      <c r="O136" s="7">
        <f>A136&amp;"|"&amp;D136</f>
        <v/>
      </c>
    </row>
    <row r="137" ht="15" customHeight="1" s="5">
      <c r="A137" s="7" t="inlineStr">
        <is>
          <t>PRJ017</t>
        </is>
      </c>
      <c r="B137" s="7">
        <f>IFERROR(VLOOKUP(A137,Projects!$A:$AK,2,FALSE()),"")</f>
        <v/>
      </c>
      <c r="C137" s="7">
        <f>IFERROR(VLOOKUP(A137,Projects!$A:$AK,14,FALSE()),"")</f>
        <v/>
      </c>
      <c r="D137" s="7" t="inlineStr">
        <is>
          <t>Handover</t>
        </is>
      </c>
      <c r="E137" s="7">
        <f>IFERROR(INDEX(_Stages!$A$1:$A$8,MIN(MATCH(D137,_Stages!$A$1:$A$8,0)+1,8)),"")</f>
        <v/>
      </c>
      <c r="F137" s="7" t="inlineStr">
        <is>
          <t>Not Started</t>
        </is>
      </c>
      <c r="G137" s="7" t="inlineStr">
        <is>
          <t>Not Started</t>
        </is>
      </c>
      <c r="H137" s="7" t="inlineStr">
        <is>
          <t>CFO</t>
        </is>
      </c>
      <c r="I137" s="8" t="n">
        <v>46125</v>
      </c>
      <c r="L137" s="7" t="inlineStr">
        <is>
          <t>Awaiting sponsor sign-off</t>
        </is>
      </c>
      <c r="M137" s="7" t="n">
        <v>0</v>
      </c>
      <c r="N137" s="7" t="n">
        <v>0</v>
      </c>
      <c r="O137" s="7">
        <f>A137&amp;"|"&amp;D137</f>
        <v/>
      </c>
    </row>
    <row r="138" ht="15" customHeight="1" s="5">
      <c r="A138" s="7" t="inlineStr">
        <is>
          <t>PRJ018</t>
        </is>
      </c>
      <c r="B138" s="7">
        <f>IFERROR(VLOOKUP(A138,Projects!$A:$AK,2,FALSE()),"")</f>
        <v/>
      </c>
      <c r="C138" s="7">
        <f>IFERROR(VLOOKUP(A138,Projects!$A:$AK,14,FALSE()),"")</f>
        <v/>
      </c>
      <c r="D138" s="7" t="inlineStr">
        <is>
          <t>Discovery</t>
        </is>
      </c>
      <c r="E138" s="7">
        <f>IFERROR(INDEX(_Stages!$A$1:$A$8,MIN(MATCH(D138,_Stages!$A$1:$A$8,0)+1,8)),"")</f>
        <v/>
      </c>
      <c r="F138" s="7" t="inlineStr">
        <is>
          <t>Approved</t>
        </is>
      </c>
      <c r="G138" s="7" t="inlineStr">
        <is>
          <t>Complete</t>
        </is>
      </c>
      <c r="H138" s="7" t="inlineStr">
        <is>
          <t>COO</t>
        </is>
      </c>
      <c r="I138" s="8" t="n">
        <v>45956</v>
      </c>
      <c r="J138" s="8" t="n">
        <v>45980</v>
      </c>
      <c r="K138" s="7" t="inlineStr">
        <is>
          <t>Held</t>
        </is>
      </c>
      <c r="M138" s="7" t="n">
        <v>100</v>
      </c>
      <c r="N138" s="7" t="n">
        <v>24</v>
      </c>
      <c r="O138" s="7">
        <f>A138&amp;"|"&amp;D138</f>
        <v/>
      </c>
    </row>
    <row r="139" ht="15" customHeight="1" s="5">
      <c r="A139" s="7" t="inlineStr">
        <is>
          <t>PRJ018</t>
        </is>
      </c>
      <c r="B139" s="7">
        <f>IFERROR(VLOOKUP(A139,Projects!$A:$AK,2,FALSE()),"")</f>
        <v/>
      </c>
      <c r="C139" s="7">
        <f>IFERROR(VLOOKUP(A139,Projects!$A:$AK,14,FALSE()),"")</f>
        <v/>
      </c>
      <c r="D139" s="7" t="inlineStr">
        <is>
          <t>Business Case / Seed Funding</t>
        </is>
      </c>
      <c r="E139" s="7">
        <f>IFERROR(INDEX(_Stages!$A$1:$A$8,MIN(MATCH(D139,_Stages!$A$1:$A$8,0)+1,8)),"")</f>
        <v/>
      </c>
      <c r="F139" s="7" t="inlineStr">
        <is>
          <t>Approved</t>
        </is>
      </c>
      <c r="G139" s="7" t="inlineStr">
        <is>
          <t>Complete</t>
        </is>
      </c>
      <c r="H139" s="7" t="inlineStr">
        <is>
          <t>COO</t>
        </is>
      </c>
      <c r="I139" s="8" t="n">
        <v>46016</v>
      </c>
      <c r="J139" s="8" t="n">
        <v>46023</v>
      </c>
      <c r="K139" s="7" t="inlineStr">
        <is>
          <t>Rework</t>
        </is>
      </c>
      <c r="L139" s="7" t="inlineStr">
        <is>
          <t>On track</t>
        </is>
      </c>
      <c r="M139" s="7" t="n">
        <v>100</v>
      </c>
      <c r="N139" s="7" t="n">
        <v>7</v>
      </c>
      <c r="O139" s="7">
        <f>A139&amp;"|"&amp;D139</f>
        <v/>
      </c>
    </row>
    <row r="140" ht="15" customHeight="1" s="5">
      <c r="A140" s="7" t="inlineStr">
        <is>
          <t>PRJ018</t>
        </is>
      </c>
      <c r="B140" s="7">
        <f>IFERROR(VLOOKUP(A140,Projects!$A:$AK,2,FALSE()),"")</f>
        <v/>
      </c>
      <c r="C140" s="7">
        <f>IFERROR(VLOOKUP(A140,Projects!$A:$AK,14,FALSE()),"")</f>
        <v/>
      </c>
      <c r="D140" s="7" t="inlineStr">
        <is>
          <t>Design</t>
        </is>
      </c>
      <c r="E140" s="7">
        <f>IFERROR(INDEX(_Stages!$A$1:$A$8,MIN(MATCH(D140,_Stages!$A$1:$A$8,0)+1,8)),"")</f>
        <v/>
      </c>
      <c r="F140" s="7" t="inlineStr">
        <is>
          <t>Approved</t>
        </is>
      </c>
      <c r="G140" s="7" t="inlineStr">
        <is>
          <t>Complete</t>
        </is>
      </c>
      <c r="H140" s="7" t="inlineStr">
        <is>
          <t>COO</t>
        </is>
      </c>
      <c r="I140" s="8" t="n">
        <v>46076</v>
      </c>
      <c r="J140" s="8" t="n">
        <v>46100</v>
      </c>
      <c r="K140" s="7" t="inlineStr">
        <is>
          <t>Conditional</t>
        </is>
      </c>
      <c r="L140" s="7" t="inlineStr">
        <is>
          <t>Awaiting sponsor sign-off</t>
        </is>
      </c>
      <c r="M140" s="7" t="n">
        <v>100</v>
      </c>
      <c r="N140" s="7" t="n">
        <v>24</v>
      </c>
      <c r="O140" s="7">
        <f>A140&amp;"|"&amp;D140</f>
        <v/>
      </c>
    </row>
    <row r="141" ht="15" customHeight="1" s="5">
      <c r="A141" s="7" t="inlineStr">
        <is>
          <t>PRJ018</t>
        </is>
      </c>
      <c r="B141" s="7">
        <f>IFERROR(VLOOKUP(A141,Projects!$A:$AK,2,FALSE()),"")</f>
        <v/>
      </c>
      <c r="C141" s="7">
        <f>IFERROR(VLOOKUP(A141,Projects!$A:$AK,14,FALSE()),"")</f>
        <v/>
      </c>
      <c r="D141" s="7" t="inlineStr">
        <is>
          <t>Business Case / Full Funding</t>
        </is>
      </c>
      <c r="E141" s="7">
        <f>IFERROR(INDEX(_Stages!$A$1:$A$8,MIN(MATCH(D141,_Stages!$A$1:$A$8,0)+1,8)),"")</f>
        <v/>
      </c>
      <c r="F141" s="7" t="inlineStr">
        <is>
          <t>Approved</t>
        </is>
      </c>
      <c r="G141" s="7" t="inlineStr">
        <is>
          <t>Complete</t>
        </is>
      </c>
      <c r="H141" s="7" t="inlineStr">
        <is>
          <t>COO</t>
        </is>
      </c>
      <c r="I141" s="8" t="n">
        <v>46136</v>
      </c>
      <c r="J141" s="8" t="n">
        <v>46160</v>
      </c>
      <c r="K141" s="7" t="inlineStr">
        <is>
          <t>Proceed</t>
        </is>
      </c>
      <c r="L141" s="7" t="inlineStr">
        <is>
          <t>Approved with conditions</t>
        </is>
      </c>
      <c r="M141" s="7" t="n">
        <v>100</v>
      </c>
      <c r="N141" s="7" t="n">
        <v>24</v>
      </c>
      <c r="O141" s="7">
        <f>A141&amp;"|"&amp;D141</f>
        <v/>
      </c>
    </row>
    <row r="142" ht="15" customHeight="1" s="5">
      <c r="A142" s="7" t="inlineStr">
        <is>
          <t>PRJ018</t>
        </is>
      </c>
      <c r="B142" s="7">
        <f>IFERROR(VLOOKUP(A142,Projects!$A:$AK,2,FALSE()),"")</f>
        <v/>
      </c>
      <c r="C142" s="7">
        <f>IFERROR(VLOOKUP(A142,Projects!$A:$AK,14,FALSE()),"")</f>
        <v/>
      </c>
      <c r="D142" s="7" t="inlineStr">
        <is>
          <t>Build</t>
        </is>
      </c>
      <c r="E142" s="7">
        <f>IFERROR(INDEX(_Stages!$A$1:$A$8,MIN(MATCH(D142,_Stages!$A$1:$A$8,0)+1,8)),"")</f>
        <v/>
      </c>
      <c r="F142" s="7" t="inlineStr">
        <is>
          <t>Approved</t>
        </is>
      </c>
      <c r="G142" s="7" t="inlineStr">
        <is>
          <t>Complete</t>
        </is>
      </c>
      <c r="H142" s="7" t="inlineStr">
        <is>
          <t>COO</t>
        </is>
      </c>
      <c r="I142" s="8" t="n">
        <v>46196</v>
      </c>
      <c r="J142" s="8" t="n">
        <v>46201</v>
      </c>
      <c r="K142" s="7" t="inlineStr">
        <is>
          <t>Proceed</t>
        </is>
      </c>
      <c r="L142" s="7" t="inlineStr">
        <is>
          <t>Approved with conditions</t>
        </is>
      </c>
      <c r="M142" s="7" t="n">
        <v>100</v>
      </c>
      <c r="N142" s="7" t="n">
        <v>5</v>
      </c>
      <c r="O142" s="7">
        <f>A142&amp;"|"&amp;D142</f>
        <v/>
      </c>
    </row>
    <row r="143" ht="15" customHeight="1" s="5">
      <c r="A143" s="7" t="inlineStr">
        <is>
          <t>PRJ018</t>
        </is>
      </c>
      <c r="B143" s="7">
        <f>IFERROR(VLOOKUP(A143,Projects!$A:$AK,2,FALSE()),"")</f>
        <v/>
      </c>
      <c r="C143" s="7">
        <f>IFERROR(VLOOKUP(A143,Projects!$A:$AK,14,FALSE()),"")</f>
        <v/>
      </c>
      <c r="D143" s="7" t="inlineStr">
        <is>
          <t>Testing</t>
        </is>
      </c>
      <c r="E143" s="7">
        <f>IFERROR(INDEX(_Stages!$A$1:$A$8,MIN(MATCH(D143,_Stages!$A$1:$A$8,0)+1,8)),"")</f>
        <v/>
      </c>
      <c r="F143" s="7" t="inlineStr">
        <is>
          <t>Approved</t>
        </is>
      </c>
      <c r="G143" s="7" t="inlineStr">
        <is>
          <t>Complete</t>
        </is>
      </c>
      <c r="H143" s="7" t="inlineStr">
        <is>
          <t>COO</t>
        </is>
      </c>
      <c r="I143" s="8" t="n">
        <v>46256</v>
      </c>
      <c r="J143" s="8" t="n">
        <v>46260</v>
      </c>
      <c r="K143" s="7" t="inlineStr">
        <is>
          <t>Proceed</t>
        </is>
      </c>
      <c r="L143" s="7" t="inlineStr">
        <is>
          <t>Approved with conditions</t>
        </is>
      </c>
      <c r="M143" s="7" t="n">
        <v>100</v>
      </c>
      <c r="N143" s="7" t="n">
        <v>4</v>
      </c>
      <c r="O143" s="7">
        <f>A143&amp;"|"&amp;D143</f>
        <v/>
      </c>
    </row>
    <row r="144" ht="15" customHeight="1" s="5">
      <c r="A144" s="7" t="inlineStr">
        <is>
          <t>PRJ018</t>
        </is>
      </c>
      <c r="B144" s="7">
        <f>IFERROR(VLOOKUP(A144,Projects!$A:$AK,2,FALSE()),"")</f>
        <v/>
      </c>
      <c r="C144" s="7">
        <f>IFERROR(VLOOKUP(A144,Projects!$A:$AK,14,FALSE()),"")</f>
        <v/>
      </c>
      <c r="D144" s="7" t="inlineStr">
        <is>
          <t>Deployment</t>
        </is>
      </c>
      <c r="E144" s="7">
        <f>IFERROR(INDEX(_Stages!$A$1:$A$8,MIN(MATCH(D144,_Stages!$A$1:$A$8,0)+1,8)),"")</f>
        <v/>
      </c>
      <c r="F144" s="7" t="inlineStr">
        <is>
          <t>Pending Approval</t>
        </is>
      </c>
      <c r="G144" s="7" t="inlineStr">
        <is>
          <t>In Progress</t>
        </is>
      </c>
      <c r="H144" s="7" t="inlineStr">
        <is>
          <t>COO</t>
        </is>
      </c>
      <c r="I144" s="8" t="n">
        <v>46316</v>
      </c>
      <c r="L144" s="7" t="inlineStr">
        <is>
          <t>On track</t>
        </is>
      </c>
      <c r="M144" s="7" t="n">
        <v>66</v>
      </c>
      <c r="N144" s="7" t="n">
        <v>0</v>
      </c>
      <c r="O144" s="7">
        <f>A144&amp;"|"&amp;D144</f>
        <v/>
      </c>
    </row>
    <row r="145" ht="15" customHeight="1" s="5">
      <c r="A145" s="7" t="inlineStr">
        <is>
          <t>PRJ018</t>
        </is>
      </c>
      <c r="B145" s="7">
        <f>IFERROR(VLOOKUP(A145,Projects!$A:$AK,2,FALSE()),"")</f>
        <v/>
      </c>
      <c r="C145" s="7">
        <f>IFERROR(VLOOKUP(A145,Projects!$A:$AK,14,FALSE()),"")</f>
        <v/>
      </c>
      <c r="D145" s="7" t="inlineStr">
        <is>
          <t>Handover</t>
        </is>
      </c>
      <c r="E145" s="7">
        <f>IFERROR(INDEX(_Stages!$A$1:$A$8,MIN(MATCH(D145,_Stages!$A$1:$A$8,0)+1,8)),"")</f>
        <v/>
      </c>
      <c r="F145" s="7" t="inlineStr">
        <is>
          <t>Not Started</t>
        </is>
      </c>
      <c r="G145" s="7" t="inlineStr">
        <is>
          <t>Not Started</t>
        </is>
      </c>
      <c r="H145" s="7" t="inlineStr">
        <is>
          <t>COO</t>
        </is>
      </c>
      <c r="I145" s="8" t="n">
        <v>46376</v>
      </c>
      <c r="L145" s="7" t="inlineStr">
        <is>
          <t>Approved with conditions</t>
        </is>
      </c>
      <c r="M145" s="7" t="n">
        <v>0</v>
      </c>
      <c r="N145" s="7" t="n">
        <v>0</v>
      </c>
      <c r="O145" s="7">
        <f>A145&amp;"|"&amp;D145</f>
        <v/>
      </c>
    </row>
    <row r="146" ht="15" customHeight="1" s="5">
      <c r="A146" s="7" t="inlineStr">
        <is>
          <t>PRJ019</t>
        </is>
      </c>
      <c r="B146" s="7">
        <f>IFERROR(VLOOKUP(A146,Projects!$A:$AK,2,FALSE()),"")</f>
        <v/>
      </c>
      <c r="C146" s="7">
        <f>IFERROR(VLOOKUP(A146,Projects!$A:$AK,14,FALSE()),"")</f>
        <v/>
      </c>
      <c r="D146" s="7" t="inlineStr">
        <is>
          <t>Discovery</t>
        </is>
      </c>
      <c r="E146" s="7">
        <f>IFERROR(INDEX(_Stages!$A$1:$A$8,MIN(MATCH(D146,_Stages!$A$1:$A$8,0)+1,8)),"")</f>
        <v/>
      </c>
      <c r="F146" s="7" t="inlineStr">
        <is>
          <t>Approved</t>
        </is>
      </c>
      <c r="G146" s="7" t="inlineStr">
        <is>
          <t>Complete</t>
        </is>
      </c>
      <c r="H146" s="7" t="inlineStr">
        <is>
          <t>COO</t>
        </is>
      </c>
      <c r="I146" s="8" t="n">
        <v>45741</v>
      </c>
      <c r="J146" s="8" t="n">
        <v>45753</v>
      </c>
      <c r="K146" s="7" t="inlineStr">
        <is>
          <t>Conditional</t>
        </is>
      </c>
      <c r="L146" s="7" t="inlineStr">
        <is>
          <t>On track</t>
        </is>
      </c>
      <c r="M146" s="7" t="n">
        <v>100</v>
      </c>
      <c r="N146" s="7" t="n">
        <v>12</v>
      </c>
      <c r="O146" s="7">
        <f>A146&amp;"|"&amp;D146</f>
        <v/>
      </c>
    </row>
    <row r="147" ht="15" customHeight="1" s="5">
      <c r="A147" s="7" t="inlineStr">
        <is>
          <t>PRJ019</t>
        </is>
      </c>
      <c r="B147" s="7">
        <f>IFERROR(VLOOKUP(A147,Projects!$A:$AK,2,FALSE()),"")</f>
        <v/>
      </c>
      <c r="C147" s="7">
        <f>IFERROR(VLOOKUP(A147,Projects!$A:$AK,14,FALSE()),"")</f>
        <v/>
      </c>
      <c r="D147" s="7" t="inlineStr">
        <is>
          <t>Business Case / Seed Funding</t>
        </is>
      </c>
      <c r="E147" s="7">
        <f>IFERROR(INDEX(_Stages!$A$1:$A$8,MIN(MATCH(D147,_Stages!$A$1:$A$8,0)+1,8)),"")</f>
        <v/>
      </c>
      <c r="F147" s="7" t="inlineStr">
        <is>
          <t>Approved</t>
        </is>
      </c>
      <c r="G147" s="7" t="inlineStr">
        <is>
          <t>Complete</t>
        </is>
      </c>
      <c r="H147" s="7" t="inlineStr">
        <is>
          <t>COO</t>
        </is>
      </c>
      <c r="I147" s="8" t="n">
        <v>45801</v>
      </c>
      <c r="J147" s="8" t="n">
        <v>45826</v>
      </c>
      <c r="K147" s="7" t="inlineStr">
        <is>
          <t>Conditional</t>
        </is>
      </c>
      <c r="L147" s="7" t="inlineStr">
        <is>
          <t>Approved with conditions</t>
        </is>
      </c>
      <c r="M147" s="7" t="n">
        <v>100</v>
      </c>
      <c r="N147" s="7" t="n">
        <v>25</v>
      </c>
      <c r="O147" s="7">
        <f>A147&amp;"|"&amp;D147</f>
        <v/>
      </c>
    </row>
    <row r="148" ht="15" customHeight="1" s="5">
      <c r="A148" s="7" t="inlineStr">
        <is>
          <t>PRJ019</t>
        </is>
      </c>
      <c r="B148" s="7">
        <f>IFERROR(VLOOKUP(A148,Projects!$A:$AK,2,FALSE()),"")</f>
        <v/>
      </c>
      <c r="C148" s="7">
        <f>IFERROR(VLOOKUP(A148,Projects!$A:$AK,14,FALSE()),"")</f>
        <v/>
      </c>
      <c r="D148" s="7" t="inlineStr">
        <is>
          <t>Design</t>
        </is>
      </c>
      <c r="E148" s="7">
        <f>IFERROR(INDEX(_Stages!$A$1:$A$8,MIN(MATCH(D148,_Stages!$A$1:$A$8,0)+1,8)),"")</f>
        <v/>
      </c>
      <c r="F148" s="7" t="inlineStr">
        <is>
          <t>Approved</t>
        </is>
      </c>
      <c r="G148" s="7" t="inlineStr">
        <is>
          <t>Complete</t>
        </is>
      </c>
      <c r="H148" s="7" t="inlineStr">
        <is>
          <t>COO</t>
        </is>
      </c>
      <c r="I148" s="8" t="n">
        <v>45861</v>
      </c>
      <c r="J148" s="8" t="n">
        <v>45877</v>
      </c>
      <c r="K148" s="7" t="inlineStr">
        <is>
          <t>Rework</t>
        </is>
      </c>
      <c r="L148" s="7" t="inlineStr">
        <is>
          <t>Approved with conditions</t>
        </is>
      </c>
      <c r="M148" s="7" t="n">
        <v>100</v>
      </c>
      <c r="N148" s="7" t="n">
        <v>16</v>
      </c>
      <c r="O148" s="7">
        <f>A148&amp;"|"&amp;D148</f>
        <v/>
      </c>
    </row>
    <row r="149" ht="15" customHeight="1" s="5">
      <c r="A149" s="7" t="inlineStr">
        <is>
          <t>PRJ019</t>
        </is>
      </c>
      <c r="B149" s="7">
        <f>IFERROR(VLOOKUP(A149,Projects!$A:$AK,2,FALSE()),"")</f>
        <v/>
      </c>
      <c r="C149" s="7">
        <f>IFERROR(VLOOKUP(A149,Projects!$A:$AK,14,FALSE()),"")</f>
        <v/>
      </c>
      <c r="D149" s="7" t="inlineStr">
        <is>
          <t>Business Case / Full Funding</t>
        </is>
      </c>
      <c r="E149" s="7">
        <f>IFERROR(INDEX(_Stages!$A$1:$A$8,MIN(MATCH(D149,_Stages!$A$1:$A$8,0)+1,8)),"")</f>
        <v/>
      </c>
      <c r="F149" s="7" t="inlineStr">
        <is>
          <t>Approved</t>
        </is>
      </c>
      <c r="G149" s="7" t="inlineStr">
        <is>
          <t>Complete</t>
        </is>
      </c>
      <c r="H149" s="7" t="inlineStr">
        <is>
          <t>COO</t>
        </is>
      </c>
      <c r="I149" s="8" t="n">
        <v>45921</v>
      </c>
      <c r="J149" s="8" t="n">
        <v>45917</v>
      </c>
      <c r="K149" s="7" t="inlineStr">
        <is>
          <t>Rework</t>
        </is>
      </c>
      <c r="L149" s="7" t="inlineStr">
        <is>
          <t>On track</t>
        </is>
      </c>
      <c r="M149" s="7" t="n">
        <v>100</v>
      </c>
      <c r="N149" s="7" t="n">
        <v>0</v>
      </c>
      <c r="O149" s="7">
        <f>A149&amp;"|"&amp;D149</f>
        <v/>
      </c>
    </row>
    <row r="150" ht="15" customHeight="1" s="5">
      <c r="A150" s="7" t="inlineStr">
        <is>
          <t>PRJ019</t>
        </is>
      </c>
      <c r="B150" s="7">
        <f>IFERROR(VLOOKUP(A150,Projects!$A:$AK,2,FALSE()),"")</f>
        <v/>
      </c>
      <c r="C150" s="7">
        <f>IFERROR(VLOOKUP(A150,Projects!$A:$AK,14,FALSE()),"")</f>
        <v/>
      </c>
      <c r="D150" s="7" t="inlineStr">
        <is>
          <t>Build</t>
        </is>
      </c>
      <c r="E150" s="7">
        <f>IFERROR(INDEX(_Stages!$A$1:$A$8,MIN(MATCH(D150,_Stages!$A$1:$A$8,0)+1,8)),"")</f>
        <v/>
      </c>
      <c r="F150" s="7" t="inlineStr">
        <is>
          <t>Approved</t>
        </is>
      </c>
      <c r="G150" s="7" t="inlineStr">
        <is>
          <t>Complete</t>
        </is>
      </c>
      <c r="H150" s="7" t="inlineStr">
        <is>
          <t>COO</t>
        </is>
      </c>
      <c r="I150" s="8" t="n">
        <v>45981</v>
      </c>
      <c r="J150" s="8" t="n">
        <v>46005</v>
      </c>
      <c r="K150" s="7" t="inlineStr">
        <is>
          <t>Proceed</t>
        </is>
      </c>
      <c r="L150" s="7" t="inlineStr">
        <is>
          <t>Awaiting sponsor sign-off</t>
        </is>
      </c>
      <c r="M150" s="7" t="n">
        <v>100</v>
      </c>
      <c r="N150" s="7" t="n">
        <v>24</v>
      </c>
      <c r="O150" s="7">
        <f>A150&amp;"|"&amp;D150</f>
        <v/>
      </c>
    </row>
    <row r="151" ht="15" customHeight="1" s="5">
      <c r="A151" s="7" t="inlineStr">
        <is>
          <t>PRJ019</t>
        </is>
      </c>
      <c r="B151" s="7">
        <f>IFERROR(VLOOKUP(A151,Projects!$A:$AK,2,FALSE()),"")</f>
        <v/>
      </c>
      <c r="C151" s="7">
        <f>IFERROR(VLOOKUP(A151,Projects!$A:$AK,14,FALSE()),"")</f>
        <v/>
      </c>
      <c r="D151" s="7" t="inlineStr">
        <is>
          <t>Testing</t>
        </is>
      </c>
      <c r="E151" s="7">
        <f>IFERROR(INDEX(_Stages!$A$1:$A$8,MIN(MATCH(D151,_Stages!$A$1:$A$8,0)+1,8)),"")</f>
        <v/>
      </c>
      <c r="F151" s="7" t="inlineStr">
        <is>
          <t>Approved</t>
        </is>
      </c>
      <c r="G151" s="7" t="inlineStr">
        <is>
          <t>Complete</t>
        </is>
      </c>
      <c r="H151" s="7" t="inlineStr">
        <is>
          <t>COO</t>
        </is>
      </c>
      <c r="I151" s="8" t="n">
        <v>46041</v>
      </c>
      <c r="J151" s="8" t="n">
        <v>46026</v>
      </c>
      <c r="K151" s="7" t="inlineStr">
        <is>
          <t>Held</t>
        </is>
      </c>
      <c r="L151" s="7" t="inlineStr">
        <is>
          <t>Approved with conditions</t>
        </is>
      </c>
      <c r="M151" s="7" t="n">
        <v>100</v>
      </c>
      <c r="N151" s="7" t="n">
        <v>0</v>
      </c>
      <c r="O151" s="7">
        <f>A151&amp;"|"&amp;D151</f>
        <v/>
      </c>
    </row>
    <row r="152" ht="15" customHeight="1" s="5">
      <c r="A152" s="7" t="inlineStr">
        <is>
          <t>PRJ019</t>
        </is>
      </c>
      <c r="B152" s="7">
        <f>IFERROR(VLOOKUP(A152,Projects!$A:$AK,2,FALSE()),"")</f>
        <v/>
      </c>
      <c r="C152" s="7">
        <f>IFERROR(VLOOKUP(A152,Projects!$A:$AK,14,FALSE()),"")</f>
        <v/>
      </c>
      <c r="D152" s="7" t="inlineStr">
        <is>
          <t>Deployment</t>
        </is>
      </c>
      <c r="E152" s="7">
        <f>IFERROR(INDEX(_Stages!$A$1:$A$8,MIN(MATCH(D152,_Stages!$A$1:$A$8,0)+1,8)),"")</f>
        <v/>
      </c>
      <c r="F152" s="7" t="inlineStr">
        <is>
          <t>In Progress</t>
        </is>
      </c>
      <c r="G152" s="7" t="inlineStr">
        <is>
          <t>In Progress</t>
        </is>
      </c>
      <c r="H152" s="7" t="inlineStr">
        <is>
          <t>COO</t>
        </is>
      </c>
      <c r="I152" s="8" t="n">
        <v>46101</v>
      </c>
      <c r="L152" s="7" t="inlineStr">
        <is>
          <t>On track</t>
        </is>
      </c>
      <c r="M152" s="7" t="n">
        <v>66</v>
      </c>
      <c r="N152" s="7" t="n">
        <v>0</v>
      </c>
      <c r="O152" s="7">
        <f>A152&amp;"|"&amp;D152</f>
        <v/>
      </c>
    </row>
    <row r="153" ht="15" customHeight="1" s="5">
      <c r="A153" s="7" t="inlineStr">
        <is>
          <t>PRJ019</t>
        </is>
      </c>
      <c r="B153" s="7">
        <f>IFERROR(VLOOKUP(A153,Projects!$A:$AK,2,FALSE()),"")</f>
        <v/>
      </c>
      <c r="C153" s="7">
        <f>IFERROR(VLOOKUP(A153,Projects!$A:$AK,14,FALSE()),"")</f>
        <v/>
      </c>
      <c r="D153" s="7" t="inlineStr">
        <is>
          <t>Handover</t>
        </is>
      </c>
      <c r="E153" s="7">
        <f>IFERROR(INDEX(_Stages!$A$1:$A$8,MIN(MATCH(D153,_Stages!$A$1:$A$8,0)+1,8)),"")</f>
        <v/>
      </c>
      <c r="F153" s="7" t="inlineStr">
        <is>
          <t>Not Started</t>
        </is>
      </c>
      <c r="G153" s="7" t="inlineStr">
        <is>
          <t>Not Started</t>
        </is>
      </c>
      <c r="H153" s="7" t="inlineStr">
        <is>
          <t>COO</t>
        </is>
      </c>
      <c r="I153" s="8" t="n">
        <v>46161</v>
      </c>
      <c r="L153" s="7" t="inlineStr">
        <is>
          <t>On track</t>
        </is>
      </c>
      <c r="M153" s="7" t="n">
        <v>0</v>
      </c>
      <c r="N153" s="7" t="n">
        <v>0</v>
      </c>
      <c r="O153" s="7">
        <f>A153&amp;"|"&amp;D153</f>
        <v/>
      </c>
    </row>
    <row r="154" ht="15" customHeight="1" s="5">
      <c r="A154" s="7" t="inlineStr">
        <is>
          <t>PRJ020</t>
        </is>
      </c>
      <c r="B154" s="7">
        <f>IFERROR(VLOOKUP(A154,Projects!$A:$AK,2,FALSE()),"")</f>
        <v/>
      </c>
      <c r="C154" s="7">
        <f>IFERROR(VLOOKUP(A154,Projects!$A:$AK,14,FALSE()),"")</f>
        <v/>
      </c>
      <c r="D154" s="7" t="inlineStr">
        <is>
          <t>Discovery</t>
        </is>
      </c>
      <c r="E154" s="7">
        <f>IFERROR(INDEX(_Stages!$A$1:$A$8,MIN(MATCH(D154,_Stages!$A$1:$A$8,0)+1,8)),"")</f>
        <v/>
      </c>
      <c r="F154" s="7" t="inlineStr">
        <is>
          <t>Approved</t>
        </is>
      </c>
      <c r="G154" s="7" t="inlineStr">
        <is>
          <t>Complete</t>
        </is>
      </c>
      <c r="H154" s="7" t="inlineStr">
        <is>
          <t>CIO</t>
        </is>
      </c>
      <c r="I154" s="8" t="n">
        <v>45772</v>
      </c>
      <c r="J154" s="8" t="n">
        <v>45802</v>
      </c>
      <c r="K154" s="7" t="inlineStr">
        <is>
          <t>Held</t>
        </is>
      </c>
      <c r="L154" s="7" t="inlineStr">
        <is>
          <t>On track</t>
        </is>
      </c>
      <c r="M154" s="7" t="n">
        <v>100</v>
      </c>
      <c r="N154" s="7" t="n">
        <v>30</v>
      </c>
      <c r="O154" s="7">
        <f>A154&amp;"|"&amp;D154</f>
        <v/>
      </c>
    </row>
    <row r="155" ht="15" customHeight="1" s="5">
      <c r="A155" s="7" t="inlineStr">
        <is>
          <t>PRJ020</t>
        </is>
      </c>
      <c r="B155" s="7">
        <f>IFERROR(VLOOKUP(A155,Projects!$A:$AK,2,FALSE()),"")</f>
        <v/>
      </c>
      <c r="C155" s="7">
        <f>IFERROR(VLOOKUP(A155,Projects!$A:$AK,14,FALSE()),"")</f>
        <v/>
      </c>
      <c r="D155" s="7" t="inlineStr">
        <is>
          <t>Business Case / Seed Funding</t>
        </is>
      </c>
      <c r="E155" s="7">
        <f>IFERROR(INDEX(_Stages!$A$1:$A$8,MIN(MATCH(D155,_Stages!$A$1:$A$8,0)+1,8)),"")</f>
        <v/>
      </c>
      <c r="F155" s="7" t="inlineStr">
        <is>
          <t>Approved</t>
        </is>
      </c>
      <c r="G155" s="7" t="inlineStr">
        <is>
          <t>Complete</t>
        </is>
      </c>
      <c r="H155" s="7" t="inlineStr">
        <is>
          <t>CIO</t>
        </is>
      </c>
      <c r="I155" s="8" t="n">
        <v>45832</v>
      </c>
      <c r="J155" s="8" t="n">
        <v>45827</v>
      </c>
      <c r="K155" s="7" t="inlineStr">
        <is>
          <t>Proceed</t>
        </is>
      </c>
      <c r="M155" s="7" t="n">
        <v>100</v>
      </c>
      <c r="N155" s="7" t="n">
        <v>0</v>
      </c>
      <c r="O155" s="7">
        <f>A155&amp;"|"&amp;D155</f>
        <v/>
      </c>
    </row>
    <row r="156" ht="15" customHeight="1" s="5">
      <c r="A156" s="7" t="inlineStr">
        <is>
          <t>PRJ020</t>
        </is>
      </c>
      <c r="B156" s="7">
        <f>IFERROR(VLOOKUP(A156,Projects!$A:$AK,2,FALSE()),"")</f>
        <v/>
      </c>
      <c r="C156" s="7">
        <f>IFERROR(VLOOKUP(A156,Projects!$A:$AK,14,FALSE()),"")</f>
        <v/>
      </c>
      <c r="D156" s="7" t="inlineStr">
        <is>
          <t>Design</t>
        </is>
      </c>
      <c r="E156" s="7">
        <f>IFERROR(INDEX(_Stages!$A$1:$A$8,MIN(MATCH(D156,_Stages!$A$1:$A$8,0)+1,8)),"")</f>
        <v/>
      </c>
      <c r="F156" s="7" t="inlineStr">
        <is>
          <t>Approved</t>
        </is>
      </c>
      <c r="G156" s="7" t="inlineStr">
        <is>
          <t>Complete</t>
        </is>
      </c>
      <c r="H156" s="7" t="inlineStr">
        <is>
          <t>CIO</t>
        </is>
      </c>
      <c r="I156" s="8" t="n">
        <v>45892</v>
      </c>
      <c r="J156" s="8" t="n">
        <v>45891</v>
      </c>
      <c r="K156" s="7" t="inlineStr">
        <is>
          <t>Rework</t>
        </is>
      </c>
      <c r="M156" s="7" t="n">
        <v>100</v>
      </c>
      <c r="N156" s="7" t="n">
        <v>0</v>
      </c>
      <c r="O156" s="7">
        <f>A156&amp;"|"&amp;D156</f>
        <v/>
      </c>
    </row>
    <row r="157" ht="15" customHeight="1" s="5">
      <c r="A157" s="7" t="inlineStr">
        <is>
          <t>PRJ020</t>
        </is>
      </c>
      <c r="B157" s="7">
        <f>IFERROR(VLOOKUP(A157,Projects!$A:$AK,2,FALSE()),"")</f>
        <v/>
      </c>
      <c r="C157" s="7">
        <f>IFERROR(VLOOKUP(A157,Projects!$A:$AK,14,FALSE()),"")</f>
        <v/>
      </c>
      <c r="D157" s="7" t="inlineStr">
        <is>
          <t>Business Case / Full Funding</t>
        </is>
      </c>
      <c r="E157" s="7">
        <f>IFERROR(INDEX(_Stages!$A$1:$A$8,MIN(MATCH(D157,_Stages!$A$1:$A$8,0)+1,8)),"")</f>
        <v/>
      </c>
      <c r="F157" s="7" t="inlineStr">
        <is>
          <t>Approved</t>
        </is>
      </c>
      <c r="G157" s="7" t="inlineStr">
        <is>
          <t>Complete</t>
        </is>
      </c>
      <c r="H157" s="7" t="inlineStr">
        <is>
          <t>CIO</t>
        </is>
      </c>
      <c r="I157" s="8" t="n">
        <v>45952</v>
      </c>
      <c r="J157" s="8" t="n">
        <v>45954</v>
      </c>
      <c r="K157" s="7" t="inlineStr">
        <is>
          <t>Conditional</t>
        </is>
      </c>
      <c r="L157" s="7" t="inlineStr">
        <is>
          <t>Awaiting sponsor sign-off</t>
        </is>
      </c>
      <c r="M157" s="7" t="n">
        <v>100</v>
      </c>
      <c r="N157" s="7" t="n">
        <v>2</v>
      </c>
      <c r="O157" s="7">
        <f>A157&amp;"|"&amp;D157</f>
        <v/>
      </c>
    </row>
    <row r="158" ht="15" customHeight="1" s="5">
      <c r="A158" s="7" t="inlineStr">
        <is>
          <t>PRJ020</t>
        </is>
      </c>
      <c r="B158" s="7">
        <f>IFERROR(VLOOKUP(A158,Projects!$A:$AK,2,FALSE()),"")</f>
        <v/>
      </c>
      <c r="C158" s="7">
        <f>IFERROR(VLOOKUP(A158,Projects!$A:$AK,14,FALSE()),"")</f>
        <v/>
      </c>
      <c r="D158" s="7" t="inlineStr">
        <is>
          <t>Build</t>
        </is>
      </c>
      <c r="E158" s="7">
        <f>IFERROR(INDEX(_Stages!$A$1:$A$8,MIN(MATCH(D158,_Stages!$A$1:$A$8,0)+1,8)),"")</f>
        <v/>
      </c>
      <c r="F158" s="7" t="inlineStr">
        <is>
          <t>Approved</t>
        </is>
      </c>
      <c r="G158" s="7" t="inlineStr">
        <is>
          <t>Complete</t>
        </is>
      </c>
      <c r="H158" s="7" t="inlineStr">
        <is>
          <t>CIO</t>
        </is>
      </c>
      <c r="I158" s="8" t="n">
        <v>46012</v>
      </c>
      <c r="J158" s="8" t="n">
        <v>46007</v>
      </c>
      <c r="K158" s="7" t="inlineStr">
        <is>
          <t>Held</t>
        </is>
      </c>
      <c r="L158" s="7" t="inlineStr">
        <is>
          <t>On track</t>
        </is>
      </c>
      <c r="M158" s="7" t="n">
        <v>100</v>
      </c>
      <c r="N158" s="7" t="n">
        <v>0</v>
      </c>
      <c r="O158" s="7">
        <f>A158&amp;"|"&amp;D158</f>
        <v/>
      </c>
    </row>
    <row r="159" ht="15" customHeight="1" s="5">
      <c r="A159" s="7" t="inlineStr">
        <is>
          <t>PRJ020</t>
        </is>
      </c>
      <c r="B159" s="7">
        <f>IFERROR(VLOOKUP(A159,Projects!$A:$AK,2,FALSE()),"")</f>
        <v/>
      </c>
      <c r="C159" s="7">
        <f>IFERROR(VLOOKUP(A159,Projects!$A:$AK,14,FALSE()),"")</f>
        <v/>
      </c>
      <c r="D159" s="7" t="inlineStr">
        <is>
          <t>Testing</t>
        </is>
      </c>
      <c r="E159" s="7">
        <f>IFERROR(INDEX(_Stages!$A$1:$A$8,MIN(MATCH(D159,_Stages!$A$1:$A$8,0)+1,8)),"")</f>
        <v/>
      </c>
      <c r="F159" s="7" t="inlineStr">
        <is>
          <t>Approved</t>
        </is>
      </c>
      <c r="G159" s="7" t="inlineStr">
        <is>
          <t>Complete</t>
        </is>
      </c>
      <c r="H159" s="7" t="inlineStr">
        <is>
          <t>CIO</t>
        </is>
      </c>
      <c r="I159" s="8" t="n">
        <v>46072</v>
      </c>
      <c r="J159" s="8" t="n">
        <v>46092</v>
      </c>
      <c r="K159" s="7" t="inlineStr">
        <is>
          <t>Proceed</t>
        </is>
      </c>
      <c r="M159" s="7" t="n">
        <v>100</v>
      </c>
      <c r="N159" s="7" t="n">
        <v>20</v>
      </c>
      <c r="O159" s="7">
        <f>A159&amp;"|"&amp;D159</f>
        <v/>
      </c>
    </row>
    <row r="160" ht="15" customHeight="1" s="5">
      <c r="A160" s="7" t="inlineStr">
        <is>
          <t>PRJ020</t>
        </is>
      </c>
      <c r="B160" s="7">
        <f>IFERROR(VLOOKUP(A160,Projects!$A:$AK,2,FALSE()),"")</f>
        <v/>
      </c>
      <c r="C160" s="7">
        <f>IFERROR(VLOOKUP(A160,Projects!$A:$AK,14,FALSE()),"")</f>
        <v/>
      </c>
      <c r="D160" s="7" t="inlineStr">
        <is>
          <t>Deployment</t>
        </is>
      </c>
      <c r="E160" s="7">
        <f>IFERROR(INDEX(_Stages!$A$1:$A$8,MIN(MATCH(D160,_Stages!$A$1:$A$8,0)+1,8)),"")</f>
        <v/>
      </c>
      <c r="F160" s="7" t="inlineStr">
        <is>
          <t>In Progress</t>
        </is>
      </c>
      <c r="G160" s="7" t="inlineStr">
        <is>
          <t>In Progress</t>
        </is>
      </c>
      <c r="H160" s="7" t="inlineStr">
        <is>
          <t>CIO</t>
        </is>
      </c>
      <c r="I160" s="8" t="n">
        <v>46132</v>
      </c>
      <c r="M160" s="7" t="n">
        <v>88</v>
      </c>
      <c r="N160" s="7" t="n">
        <v>0</v>
      </c>
      <c r="O160" s="7">
        <f>A160&amp;"|"&amp;D160</f>
        <v/>
      </c>
    </row>
    <row r="161" ht="15" customHeight="1" s="5">
      <c r="A161" s="7" t="inlineStr">
        <is>
          <t>PRJ020</t>
        </is>
      </c>
      <c r="B161" s="7">
        <f>IFERROR(VLOOKUP(A161,Projects!$A:$AK,2,FALSE()),"")</f>
        <v/>
      </c>
      <c r="C161" s="7">
        <f>IFERROR(VLOOKUP(A161,Projects!$A:$AK,14,FALSE()),"")</f>
        <v/>
      </c>
      <c r="D161" s="7" t="inlineStr">
        <is>
          <t>Handover</t>
        </is>
      </c>
      <c r="E161" s="7">
        <f>IFERROR(INDEX(_Stages!$A$1:$A$8,MIN(MATCH(D161,_Stages!$A$1:$A$8,0)+1,8)),"")</f>
        <v/>
      </c>
      <c r="F161" s="7" t="inlineStr">
        <is>
          <t>Not Started</t>
        </is>
      </c>
      <c r="G161" s="7" t="inlineStr">
        <is>
          <t>Not Started</t>
        </is>
      </c>
      <c r="H161" s="7" t="inlineStr">
        <is>
          <t>CIO</t>
        </is>
      </c>
      <c r="I161" s="8" t="n">
        <v>46192</v>
      </c>
      <c r="L161" s="7" t="inlineStr">
        <is>
          <t>Approved with conditions</t>
        </is>
      </c>
      <c r="M161" s="7" t="n">
        <v>0</v>
      </c>
      <c r="N161" s="7" t="n">
        <v>0</v>
      </c>
      <c r="O161" s="7">
        <f>A161&amp;"|"&amp;D161</f>
        <v/>
      </c>
    </row>
    <row r="162" ht="15" customHeight="1" s="5">
      <c r="A162" s="7" t="inlineStr">
        <is>
          <t>PRJ021</t>
        </is>
      </c>
      <c r="B162" s="7">
        <f>IFERROR(VLOOKUP(A162,Projects!$A:$AK,2,FALSE()),"")</f>
        <v/>
      </c>
      <c r="C162" s="7">
        <f>IFERROR(VLOOKUP(A162,Projects!$A:$AK,14,FALSE()),"")</f>
        <v/>
      </c>
      <c r="D162" s="7" t="inlineStr">
        <is>
          <t>Discovery</t>
        </is>
      </c>
      <c r="E162" s="7">
        <f>IFERROR(INDEX(_Stages!$A$1:$A$8,MIN(MATCH(D162,_Stages!$A$1:$A$8,0)+1,8)),"")</f>
        <v/>
      </c>
      <c r="F162" s="7" t="inlineStr">
        <is>
          <t>Approved</t>
        </is>
      </c>
      <c r="G162" s="7" t="inlineStr">
        <is>
          <t>Complete</t>
        </is>
      </c>
      <c r="H162" s="7" t="inlineStr">
        <is>
          <t>CTO</t>
        </is>
      </c>
      <c r="I162" s="8" t="n">
        <v>45677</v>
      </c>
      <c r="J162" s="8" t="n">
        <v>45668</v>
      </c>
      <c r="K162" s="7" t="inlineStr">
        <is>
          <t>Conditional</t>
        </is>
      </c>
      <c r="L162" s="7" t="inlineStr">
        <is>
          <t>Awaiting sponsor sign-off</t>
        </is>
      </c>
      <c r="M162" s="7" t="n">
        <v>100</v>
      </c>
      <c r="N162" s="7" t="n">
        <v>0</v>
      </c>
      <c r="O162" s="7">
        <f>A162&amp;"|"&amp;D162</f>
        <v/>
      </c>
    </row>
    <row r="163" ht="15" customHeight="1" s="5">
      <c r="A163" s="7" t="inlineStr">
        <is>
          <t>PRJ021</t>
        </is>
      </c>
      <c r="B163" s="7">
        <f>IFERROR(VLOOKUP(A163,Projects!$A:$AK,2,FALSE()),"")</f>
        <v/>
      </c>
      <c r="C163" s="7">
        <f>IFERROR(VLOOKUP(A163,Projects!$A:$AK,14,FALSE()),"")</f>
        <v/>
      </c>
      <c r="D163" s="7" t="inlineStr">
        <is>
          <t>Business Case / Seed Funding</t>
        </is>
      </c>
      <c r="E163" s="7">
        <f>IFERROR(INDEX(_Stages!$A$1:$A$8,MIN(MATCH(D163,_Stages!$A$1:$A$8,0)+1,8)),"")</f>
        <v/>
      </c>
      <c r="F163" s="7" t="inlineStr">
        <is>
          <t>Approved</t>
        </is>
      </c>
      <c r="G163" s="7" t="inlineStr">
        <is>
          <t>Complete</t>
        </is>
      </c>
      <c r="H163" s="7" t="inlineStr">
        <is>
          <t>CTO</t>
        </is>
      </c>
      <c r="I163" s="8" t="n">
        <v>45737</v>
      </c>
      <c r="J163" s="8" t="n">
        <v>45724</v>
      </c>
      <c r="K163" s="7" t="inlineStr">
        <is>
          <t>Held</t>
        </is>
      </c>
      <c r="L163" s="7" t="inlineStr">
        <is>
          <t>Awaiting sponsor sign-off</t>
        </is>
      </c>
      <c r="M163" s="7" t="n">
        <v>100</v>
      </c>
      <c r="N163" s="7" t="n">
        <v>0</v>
      </c>
      <c r="O163" s="7">
        <f>A163&amp;"|"&amp;D163</f>
        <v/>
      </c>
    </row>
    <row r="164" ht="15" customHeight="1" s="5">
      <c r="A164" s="7" t="inlineStr">
        <is>
          <t>PRJ021</t>
        </is>
      </c>
      <c r="B164" s="7">
        <f>IFERROR(VLOOKUP(A164,Projects!$A:$AK,2,FALSE()),"")</f>
        <v/>
      </c>
      <c r="C164" s="7">
        <f>IFERROR(VLOOKUP(A164,Projects!$A:$AK,14,FALSE()),"")</f>
        <v/>
      </c>
      <c r="D164" s="7" t="inlineStr">
        <is>
          <t>Design</t>
        </is>
      </c>
      <c r="E164" s="7">
        <f>IFERROR(INDEX(_Stages!$A$1:$A$8,MIN(MATCH(D164,_Stages!$A$1:$A$8,0)+1,8)),"")</f>
        <v/>
      </c>
      <c r="F164" s="7" t="inlineStr">
        <is>
          <t>Approved</t>
        </is>
      </c>
      <c r="G164" s="7" t="inlineStr">
        <is>
          <t>Complete</t>
        </is>
      </c>
      <c r="H164" s="7" t="inlineStr">
        <is>
          <t>CTO</t>
        </is>
      </c>
      <c r="I164" s="8" t="n">
        <v>45797</v>
      </c>
      <c r="J164" s="8" t="n">
        <v>45804</v>
      </c>
      <c r="K164" s="7" t="inlineStr">
        <is>
          <t>Proceed</t>
        </is>
      </c>
      <c r="L164" s="7" t="inlineStr">
        <is>
          <t>On track</t>
        </is>
      </c>
      <c r="M164" s="7" t="n">
        <v>100</v>
      </c>
      <c r="N164" s="7" t="n">
        <v>7</v>
      </c>
      <c r="O164" s="7">
        <f>A164&amp;"|"&amp;D164</f>
        <v/>
      </c>
    </row>
    <row r="165" ht="15" customHeight="1" s="5">
      <c r="A165" s="7" t="inlineStr">
        <is>
          <t>PRJ021</t>
        </is>
      </c>
      <c r="B165" s="7">
        <f>IFERROR(VLOOKUP(A165,Projects!$A:$AK,2,FALSE()),"")</f>
        <v/>
      </c>
      <c r="C165" s="7">
        <f>IFERROR(VLOOKUP(A165,Projects!$A:$AK,14,FALSE()),"")</f>
        <v/>
      </c>
      <c r="D165" s="7" t="inlineStr">
        <is>
          <t>Business Case / Full Funding</t>
        </is>
      </c>
      <c r="E165" s="7">
        <f>IFERROR(INDEX(_Stages!$A$1:$A$8,MIN(MATCH(D165,_Stages!$A$1:$A$8,0)+1,8)),"")</f>
        <v/>
      </c>
      <c r="F165" s="7" t="inlineStr">
        <is>
          <t>Approved</t>
        </is>
      </c>
      <c r="G165" s="7" t="inlineStr">
        <is>
          <t>Complete</t>
        </is>
      </c>
      <c r="H165" s="7" t="inlineStr">
        <is>
          <t>CTO</t>
        </is>
      </c>
      <c r="I165" s="8" t="n">
        <v>45857</v>
      </c>
      <c r="J165" s="8" t="n">
        <v>45849</v>
      </c>
      <c r="K165" s="7" t="inlineStr">
        <is>
          <t>Conditional</t>
        </is>
      </c>
      <c r="L165" s="7" t="inlineStr">
        <is>
          <t>Approved with conditions</t>
        </is>
      </c>
      <c r="M165" s="7" t="n">
        <v>100</v>
      </c>
      <c r="N165" s="7" t="n">
        <v>0</v>
      </c>
      <c r="O165" s="7">
        <f>A165&amp;"|"&amp;D165</f>
        <v/>
      </c>
    </row>
    <row r="166" ht="15" customHeight="1" s="5">
      <c r="A166" s="7" t="inlineStr">
        <is>
          <t>PRJ021</t>
        </is>
      </c>
      <c r="B166" s="7">
        <f>IFERROR(VLOOKUP(A166,Projects!$A:$AK,2,FALSE()),"")</f>
        <v/>
      </c>
      <c r="C166" s="7">
        <f>IFERROR(VLOOKUP(A166,Projects!$A:$AK,14,FALSE()),"")</f>
        <v/>
      </c>
      <c r="D166" s="7" t="inlineStr">
        <is>
          <t>Build</t>
        </is>
      </c>
      <c r="E166" s="7">
        <f>IFERROR(INDEX(_Stages!$A$1:$A$8,MIN(MATCH(D166,_Stages!$A$1:$A$8,0)+1,8)),"")</f>
        <v/>
      </c>
      <c r="F166" s="7" t="inlineStr">
        <is>
          <t>Approved</t>
        </is>
      </c>
      <c r="G166" s="7" t="inlineStr">
        <is>
          <t>Complete</t>
        </is>
      </c>
      <c r="H166" s="7" t="inlineStr">
        <is>
          <t>CTO</t>
        </is>
      </c>
      <c r="I166" s="8" t="n">
        <v>45917</v>
      </c>
      <c r="J166" s="8" t="n">
        <v>45939</v>
      </c>
      <c r="K166" s="7" t="inlineStr">
        <is>
          <t>Rework</t>
        </is>
      </c>
      <c r="L166" s="7" t="inlineStr">
        <is>
          <t>On track</t>
        </is>
      </c>
      <c r="M166" s="7" t="n">
        <v>100</v>
      </c>
      <c r="N166" s="7" t="n">
        <v>22</v>
      </c>
      <c r="O166" s="7">
        <f>A166&amp;"|"&amp;D166</f>
        <v/>
      </c>
    </row>
    <row r="167" ht="15" customHeight="1" s="5">
      <c r="A167" s="7" t="inlineStr">
        <is>
          <t>PRJ021</t>
        </is>
      </c>
      <c r="B167" s="7">
        <f>IFERROR(VLOOKUP(A167,Projects!$A:$AK,2,FALSE()),"")</f>
        <v/>
      </c>
      <c r="C167" s="7">
        <f>IFERROR(VLOOKUP(A167,Projects!$A:$AK,14,FALSE()),"")</f>
        <v/>
      </c>
      <c r="D167" s="7" t="inlineStr">
        <is>
          <t>Testing</t>
        </is>
      </c>
      <c r="E167" s="7">
        <f>IFERROR(INDEX(_Stages!$A$1:$A$8,MIN(MATCH(D167,_Stages!$A$1:$A$8,0)+1,8)),"")</f>
        <v/>
      </c>
      <c r="F167" s="7" t="inlineStr">
        <is>
          <t>Approved</t>
        </is>
      </c>
      <c r="G167" s="7" t="inlineStr">
        <is>
          <t>Complete</t>
        </is>
      </c>
      <c r="H167" s="7" t="inlineStr">
        <is>
          <t>CTO</t>
        </is>
      </c>
      <c r="I167" s="8" t="n">
        <v>45977</v>
      </c>
      <c r="J167" s="8" t="n">
        <v>45972</v>
      </c>
      <c r="K167" s="7" t="inlineStr">
        <is>
          <t>Conditional</t>
        </is>
      </c>
      <c r="L167" s="7" t="inlineStr">
        <is>
          <t>Approved with conditions</t>
        </is>
      </c>
      <c r="M167" s="7" t="n">
        <v>100</v>
      </c>
      <c r="N167" s="7" t="n">
        <v>0</v>
      </c>
      <c r="O167" s="7">
        <f>A167&amp;"|"&amp;D167</f>
        <v/>
      </c>
    </row>
    <row r="168" ht="15" customHeight="1" s="5">
      <c r="A168" s="7" t="inlineStr">
        <is>
          <t>PRJ021</t>
        </is>
      </c>
      <c r="B168" s="7">
        <f>IFERROR(VLOOKUP(A168,Projects!$A:$AK,2,FALSE()),"")</f>
        <v/>
      </c>
      <c r="C168" s="7">
        <f>IFERROR(VLOOKUP(A168,Projects!$A:$AK,14,FALSE()),"")</f>
        <v/>
      </c>
      <c r="D168" s="7" t="inlineStr">
        <is>
          <t>Deployment</t>
        </is>
      </c>
      <c r="E168" s="7">
        <f>IFERROR(INDEX(_Stages!$A$1:$A$8,MIN(MATCH(D168,_Stages!$A$1:$A$8,0)+1,8)),"")</f>
        <v/>
      </c>
      <c r="F168" s="7" t="inlineStr">
        <is>
          <t>Pending Approval</t>
        </is>
      </c>
      <c r="G168" s="7" t="inlineStr">
        <is>
          <t>In Progress</t>
        </is>
      </c>
      <c r="H168" s="7" t="inlineStr">
        <is>
          <t>CTO</t>
        </is>
      </c>
      <c r="I168" s="8" t="n">
        <v>46037</v>
      </c>
      <c r="L168" s="7" t="inlineStr">
        <is>
          <t>Awaiting sponsor sign-off</t>
        </is>
      </c>
      <c r="M168" s="7" t="n">
        <v>74</v>
      </c>
      <c r="N168" s="7" t="n">
        <v>0</v>
      </c>
      <c r="O168" s="7">
        <f>A168&amp;"|"&amp;D168</f>
        <v/>
      </c>
    </row>
    <row r="169" ht="15" customHeight="1" s="5">
      <c r="A169" s="7" t="inlineStr">
        <is>
          <t>PRJ021</t>
        </is>
      </c>
      <c r="B169" s="7">
        <f>IFERROR(VLOOKUP(A169,Projects!$A:$AK,2,FALSE()),"")</f>
        <v/>
      </c>
      <c r="C169" s="7">
        <f>IFERROR(VLOOKUP(A169,Projects!$A:$AK,14,FALSE()),"")</f>
        <v/>
      </c>
      <c r="D169" s="7" t="inlineStr">
        <is>
          <t>Handover</t>
        </is>
      </c>
      <c r="E169" s="7">
        <f>IFERROR(INDEX(_Stages!$A$1:$A$8,MIN(MATCH(D169,_Stages!$A$1:$A$8,0)+1,8)),"")</f>
        <v/>
      </c>
      <c r="F169" s="7" t="inlineStr">
        <is>
          <t>Not Started</t>
        </is>
      </c>
      <c r="G169" s="7" t="inlineStr">
        <is>
          <t>Not Started</t>
        </is>
      </c>
      <c r="H169" s="7" t="inlineStr">
        <is>
          <t>CTO</t>
        </is>
      </c>
      <c r="I169" s="8" t="n">
        <v>46097</v>
      </c>
      <c r="L169" s="7" t="inlineStr">
        <is>
          <t>Approved with conditions</t>
        </is>
      </c>
      <c r="M169" s="7" t="n">
        <v>0</v>
      </c>
      <c r="N169" s="7" t="n">
        <v>0</v>
      </c>
      <c r="O169" s="7">
        <f>A169&amp;"|"&amp;D169</f>
        <v/>
      </c>
    </row>
    <row r="170" ht="15" customHeight="1" s="5">
      <c r="A170" s="7" t="inlineStr">
        <is>
          <t>PRJ022</t>
        </is>
      </c>
      <c r="B170" s="7">
        <f>IFERROR(VLOOKUP(A170,Projects!$A:$AK,2,FALSE()),"")</f>
        <v/>
      </c>
      <c r="C170" s="7">
        <f>IFERROR(VLOOKUP(A170,Projects!$A:$AK,14,FALSE()),"")</f>
        <v/>
      </c>
      <c r="D170" s="7" t="inlineStr">
        <is>
          <t>Discovery</t>
        </is>
      </c>
      <c r="E170" s="7">
        <f>IFERROR(INDEX(_Stages!$A$1:$A$8,MIN(MATCH(D170,_Stages!$A$1:$A$8,0)+1,8)),"")</f>
        <v/>
      </c>
      <c r="F170" s="7" t="inlineStr">
        <is>
          <t>Approved</t>
        </is>
      </c>
      <c r="G170" s="7" t="inlineStr">
        <is>
          <t>Complete</t>
        </is>
      </c>
      <c r="H170" s="7" t="inlineStr">
        <is>
          <t>CIO</t>
        </is>
      </c>
      <c r="I170" s="8" t="n">
        <v>45758</v>
      </c>
      <c r="J170" s="8" t="n">
        <v>45788</v>
      </c>
      <c r="K170" s="7" t="inlineStr">
        <is>
          <t>Rework</t>
        </is>
      </c>
      <c r="L170" s="7" t="inlineStr">
        <is>
          <t>Awaiting sponsor sign-off</t>
        </is>
      </c>
      <c r="M170" s="7" t="n">
        <v>100</v>
      </c>
      <c r="N170" s="7" t="n">
        <v>30</v>
      </c>
      <c r="O170" s="7">
        <f>A170&amp;"|"&amp;D170</f>
        <v/>
      </c>
    </row>
    <row r="171" ht="15" customHeight="1" s="5">
      <c r="A171" s="7" t="inlineStr">
        <is>
          <t>PRJ022</t>
        </is>
      </c>
      <c r="B171" s="7">
        <f>IFERROR(VLOOKUP(A171,Projects!$A:$AK,2,FALSE()),"")</f>
        <v/>
      </c>
      <c r="C171" s="7">
        <f>IFERROR(VLOOKUP(A171,Projects!$A:$AK,14,FALSE()),"")</f>
        <v/>
      </c>
      <c r="D171" s="7" t="inlineStr">
        <is>
          <t>Business Case / Seed Funding</t>
        </is>
      </c>
      <c r="E171" s="7">
        <f>IFERROR(INDEX(_Stages!$A$1:$A$8,MIN(MATCH(D171,_Stages!$A$1:$A$8,0)+1,8)),"")</f>
        <v/>
      </c>
      <c r="F171" s="7" t="inlineStr">
        <is>
          <t>Approved</t>
        </is>
      </c>
      <c r="G171" s="7" t="inlineStr">
        <is>
          <t>Complete</t>
        </is>
      </c>
      <c r="H171" s="7" t="inlineStr">
        <is>
          <t>CIO</t>
        </is>
      </c>
      <c r="I171" s="8" t="n">
        <v>45818</v>
      </c>
      <c r="J171" s="8" t="n">
        <v>45839</v>
      </c>
      <c r="K171" s="7" t="inlineStr">
        <is>
          <t>Rework</t>
        </is>
      </c>
      <c r="M171" s="7" t="n">
        <v>100</v>
      </c>
      <c r="N171" s="7" t="n">
        <v>21</v>
      </c>
      <c r="O171" s="7">
        <f>A171&amp;"|"&amp;D171</f>
        <v/>
      </c>
    </row>
    <row r="172" ht="15" customHeight="1" s="5">
      <c r="A172" s="7" t="inlineStr">
        <is>
          <t>PRJ022</t>
        </is>
      </c>
      <c r="B172" s="7">
        <f>IFERROR(VLOOKUP(A172,Projects!$A:$AK,2,FALSE()),"")</f>
        <v/>
      </c>
      <c r="C172" s="7">
        <f>IFERROR(VLOOKUP(A172,Projects!$A:$AK,14,FALSE()),"")</f>
        <v/>
      </c>
      <c r="D172" s="7" t="inlineStr">
        <is>
          <t>Design</t>
        </is>
      </c>
      <c r="E172" s="7">
        <f>IFERROR(INDEX(_Stages!$A$1:$A$8,MIN(MATCH(D172,_Stages!$A$1:$A$8,0)+1,8)),"")</f>
        <v/>
      </c>
      <c r="F172" s="7" t="inlineStr">
        <is>
          <t>Approved</t>
        </is>
      </c>
      <c r="G172" s="7" t="inlineStr">
        <is>
          <t>Complete</t>
        </is>
      </c>
      <c r="H172" s="7" t="inlineStr">
        <is>
          <t>CIO</t>
        </is>
      </c>
      <c r="I172" s="8" t="n">
        <v>45878</v>
      </c>
      <c r="J172" s="8" t="n">
        <v>45871</v>
      </c>
      <c r="K172" s="7" t="inlineStr">
        <is>
          <t>Held</t>
        </is>
      </c>
      <c r="M172" s="7" t="n">
        <v>100</v>
      </c>
      <c r="N172" s="7" t="n">
        <v>0</v>
      </c>
      <c r="O172" s="7">
        <f>A172&amp;"|"&amp;D172</f>
        <v/>
      </c>
    </row>
    <row r="173" ht="15" customHeight="1" s="5">
      <c r="A173" s="7" t="inlineStr">
        <is>
          <t>PRJ022</t>
        </is>
      </c>
      <c r="B173" s="7">
        <f>IFERROR(VLOOKUP(A173,Projects!$A:$AK,2,FALSE()),"")</f>
        <v/>
      </c>
      <c r="C173" s="7">
        <f>IFERROR(VLOOKUP(A173,Projects!$A:$AK,14,FALSE()),"")</f>
        <v/>
      </c>
      <c r="D173" s="7" t="inlineStr">
        <is>
          <t>Business Case / Full Funding</t>
        </is>
      </c>
      <c r="E173" s="7">
        <f>IFERROR(INDEX(_Stages!$A$1:$A$8,MIN(MATCH(D173,_Stages!$A$1:$A$8,0)+1,8)),"")</f>
        <v/>
      </c>
      <c r="F173" s="7" t="inlineStr">
        <is>
          <t>Approved</t>
        </is>
      </c>
      <c r="G173" s="7" t="inlineStr">
        <is>
          <t>Complete</t>
        </is>
      </c>
      <c r="H173" s="7" t="inlineStr">
        <is>
          <t>CIO</t>
        </is>
      </c>
      <c r="I173" s="8" t="n">
        <v>45938</v>
      </c>
      <c r="J173" s="8" t="n">
        <v>45940</v>
      </c>
      <c r="K173" s="7" t="inlineStr">
        <is>
          <t>Conditional</t>
        </is>
      </c>
      <c r="L173" s="7" t="inlineStr">
        <is>
          <t>Approved with conditions</t>
        </is>
      </c>
      <c r="M173" s="7" t="n">
        <v>100</v>
      </c>
      <c r="N173" s="7" t="n">
        <v>2</v>
      </c>
      <c r="O173" s="7">
        <f>A173&amp;"|"&amp;D173</f>
        <v/>
      </c>
    </row>
    <row r="174" ht="15" customHeight="1" s="5">
      <c r="A174" s="7" t="inlineStr">
        <is>
          <t>PRJ022</t>
        </is>
      </c>
      <c r="B174" s="7">
        <f>IFERROR(VLOOKUP(A174,Projects!$A:$AK,2,FALSE()),"")</f>
        <v/>
      </c>
      <c r="C174" s="7">
        <f>IFERROR(VLOOKUP(A174,Projects!$A:$AK,14,FALSE()),"")</f>
        <v/>
      </c>
      <c r="D174" s="7" t="inlineStr">
        <is>
          <t>Build</t>
        </is>
      </c>
      <c r="E174" s="7">
        <f>IFERROR(INDEX(_Stages!$A$1:$A$8,MIN(MATCH(D174,_Stages!$A$1:$A$8,0)+1,8)),"")</f>
        <v/>
      </c>
      <c r="F174" s="7" t="inlineStr">
        <is>
          <t>Approved</t>
        </is>
      </c>
      <c r="G174" s="7" t="inlineStr">
        <is>
          <t>Complete</t>
        </is>
      </c>
      <c r="H174" s="7" t="inlineStr">
        <is>
          <t>CIO</t>
        </is>
      </c>
      <c r="I174" s="8" t="n">
        <v>45998</v>
      </c>
      <c r="J174" s="8" t="n">
        <v>45998</v>
      </c>
      <c r="K174" s="7" t="inlineStr">
        <is>
          <t>Conditional</t>
        </is>
      </c>
      <c r="L174" s="7" t="inlineStr">
        <is>
          <t>Awaiting sponsor sign-off</t>
        </is>
      </c>
      <c r="M174" s="7" t="n">
        <v>100</v>
      </c>
      <c r="N174" s="7" t="n">
        <v>0</v>
      </c>
      <c r="O174" s="7">
        <f>A174&amp;"|"&amp;D174</f>
        <v/>
      </c>
    </row>
    <row r="175" ht="15" customHeight="1" s="5">
      <c r="A175" s="7" t="inlineStr">
        <is>
          <t>PRJ022</t>
        </is>
      </c>
      <c r="B175" s="7">
        <f>IFERROR(VLOOKUP(A175,Projects!$A:$AK,2,FALSE()),"")</f>
        <v/>
      </c>
      <c r="C175" s="7">
        <f>IFERROR(VLOOKUP(A175,Projects!$A:$AK,14,FALSE()),"")</f>
        <v/>
      </c>
      <c r="D175" s="7" t="inlineStr">
        <is>
          <t>Testing</t>
        </is>
      </c>
      <c r="E175" s="7">
        <f>IFERROR(INDEX(_Stages!$A$1:$A$8,MIN(MATCH(D175,_Stages!$A$1:$A$8,0)+1,8)),"")</f>
        <v/>
      </c>
      <c r="F175" s="7" t="inlineStr">
        <is>
          <t>In Progress</t>
        </is>
      </c>
      <c r="G175" s="7" t="inlineStr">
        <is>
          <t>In Progress</t>
        </is>
      </c>
      <c r="H175" s="7" t="inlineStr">
        <is>
          <t>CIO</t>
        </is>
      </c>
      <c r="I175" s="8" t="n">
        <v>46058</v>
      </c>
      <c r="L175" s="7" t="inlineStr">
        <is>
          <t>On track</t>
        </is>
      </c>
      <c r="M175" s="7" t="n">
        <v>49</v>
      </c>
      <c r="N175" s="7" t="n">
        <v>0</v>
      </c>
      <c r="O175" s="7">
        <f>A175&amp;"|"&amp;D175</f>
        <v/>
      </c>
    </row>
    <row r="176" ht="15" customHeight="1" s="5">
      <c r="A176" s="7" t="inlineStr">
        <is>
          <t>PRJ022</t>
        </is>
      </c>
      <c r="B176" s="7">
        <f>IFERROR(VLOOKUP(A176,Projects!$A:$AK,2,FALSE()),"")</f>
        <v/>
      </c>
      <c r="C176" s="7">
        <f>IFERROR(VLOOKUP(A176,Projects!$A:$AK,14,FALSE()),"")</f>
        <v/>
      </c>
      <c r="D176" s="7" t="inlineStr">
        <is>
          <t>Deployment</t>
        </is>
      </c>
      <c r="E176" s="7">
        <f>IFERROR(INDEX(_Stages!$A$1:$A$8,MIN(MATCH(D176,_Stages!$A$1:$A$8,0)+1,8)),"")</f>
        <v/>
      </c>
      <c r="F176" s="7" t="inlineStr">
        <is>
          <t>Not Started</t>
        </is>
      </c>
      <c r="G176" s="7" t="inlineStr">
        <is>
          <t>Not Started</t>
        </is>
      </c>
      <c r="H176" s="7" t="inlineStr">
        <is>
          <t>CIO</t>
        </is>
      </c>
      <c r="I176" s="8" t="n">
        <v>46118</v>
      </c>
      <c r="L176" s="7" t="inlineStr">
        <is>
          <t>Awaiting sponsor sign-off</t>
        </is>
      </c>
      <c r="M176" s="7" t="n">
        <v>0</v>
      </c>
      <c r="N176" s="7" t="n">
        <v>0</v>
      </c>
      <c r="O176" s="7">
        <f>A176&amp;"|"&amp;D176</f>
        <v/>
      </c>
    </row>
    <row r="177" ht="15" customHeight="1" s="5">
      <c r="A177" s="7" t="inlineStr">
        <is>
          <t>PRJ022</t>
        </is>
      </c>
      <c r="B177" s="7">
        <f>IFERROR(VLOOKUP(A177,Projects!$A:$AK,2,FALSE()),"")</f>
        <v/>
      </c>
      <c r="C177" s="7">
        <f>IFERROR(VLOOKUP(A177,Projects!$A:$AK,14,FALSE()),"")</f>
        <v/>
      </c>
      <c r="D177" s="7" t="inlineStr">
        <is>
          <t>Handover</t>
        </is>
      </c>
      <c r="E177" s="7">
        <f>IFERROR(INDEX(_Stages!$A$1:$A$8,MIN(MATCH(D177,_Stages!$A$1:$A$8,0)+1,8)),"")</f>
        <v/>
      </c>
      <c r="F177" s="7" t="inlineStr">
        <is>
          <t>Not Started</t>
        </is>
      </c>
      <c r="G177" s="7" t="inlineStr">
        <is>
          <t>Not Started</t>
        </is>
      </c>
      <c r="H177" s="7" t="inlineStr">
        <is>
          <t>CIO</t>
        </is>
      </c>
      <c r="I177" s="8" t="n">
        <v>46178</v>
      </c>
      <c r="L177" s="7" t="inlineStr">
        <is>
          <t>On track</t>
        </is>
      </c>
      <c r="M177" s="7" t="n">
        <v>0</v>
      </c>
      <c r="N177" s="7" t="n">
        <v>0</v>
      </c>
      <c r="O177" s="7">
        <f>A177&amp;"|"&amp;D177</f>
        <v/>
      </c>
    </row>
    <row r="178" ht="15" customHeight="1" s="5">
      <c r="A178" s="7" t="inlineStr">
        <is>
          <t>PRJ023</t>
        </is>
      </c>
      <c r="B178" s="7">
        <f>IFERROR(VLOOKUP(A178,Projects!$A:$AK,2,FALSE()),"")</f>
        <v/>
      </c>
      <c r="C178" s="7">
        <f>IFERROR(VLOOKUP(A178,Projects!$A:$AK,14,FALSE()),"")</f>
        <v/>
      </c>
      <c r="D178" s="7" t="inlineStr">
        <is>
          <t>Discovery</t>
        </is>
      </c>
      <c r="E178" s="7">
        <f>IFERROR(INDEX(_Stages!$A$1:$A$8,MIN(MATCH(D178,_Stages!$A$1:$A$8,0)+1,8)),"")</f>
        <v/>
      </c>
      <c r="F178" s="7" t="inlineStr">
        <is>
          <t>Approved</t>
        </is>
      </c>
      <c r="G178" s="7" t="inlineStr">
        <is>
          <t>Complete</t>
        </is>
      </c>
      <c r="H178" s="7" t="inlineStr">
        <is>
          <t>COO</t>
        </is>
      </c>
      <c r="I178" s="8" t="n">
        <v>45973</v>
      </c>
      <c r="J178" s="8" t="n">
        <v>45986</v>
      </c>
      <c r="K178" s="7" t="inlineStr">
        <is>
          <t>Proceed</t>
        </is>
      </c>
      <c r="M178" s="7" t="n">
        <v>100</v>
      </c>
      <c r="N178" s="7" t="n">
        <v>13</v>
      </c>
      <c r="O178" s="7">
        <f>A178&amp;"|"&amp;D178</f>
        <v/>
      </c>
    </row>
    <row r="179" ht="15" customHeight="1" s="5">
      <c r="A179" s="7" t="inlineStr">
        <is>
          <t>PRJ023</t>
        </is>
      </c>
      <c r="B179" s="7">
        <f>IFERROR(VLOOKUP(A179,Projects!$A:$AK,2,FALSE()),"")</f>
        <v/>
      </c>
      <c r="C179" s="7">
        <f>IFERROR(VLOOKUP(A179,Projects!$A:$AK,14,FALSE()),"")</f>
        <v/>
      </c>
      <c r="D179" s="7" t="inlineStr">
        <is>
          <t>Business Case / Seed Funding</t>
        </is>
      </c>
      <c r="E179" s="7">
        <f>IFERROR(INDEX(_Stages!$A$1:$A$8,MIN(MATCH(D179,_Stages!$A$1:$A$8,0)+1,8)),"")</f>
        <v/>
      </c>
      <c r="F179" s="7" t="inlineStr">
        <is>
          <t>Approved</t>
        </is>
      </c>
      <c r="G179" s="7" t="inlineStr">
        <is>
          <t>Complete</t>
        </is>
      </c>
      <c r="H179" s="7" t="inlineStr">
        <is>
          <t>COO</t>
        </is>
      </c>
      <c r="I179" s="8" t="n">
        <v>46033</v>
      </c>
      <c r="J179" s="8" t="n">
        <v>46043</v>
      </c>
      <c r="K179" s="7" t="inlineStr">
        <is>
          <t>Rework</t>
        </is>
      </c>
      <c r="L179" s="7" t="inlineStr">
        <is>
          <t>Awaiting sponsor sign-off</t>
        </is>
      </c>
      <c r="M179" s="7" t="n">
        <v>100</v>
      </c>
      <c r="N179" s="7" t="n">
        <v>10</v>
      </c>
      <c r="O179" s="7">
        <f>A179&amp;"|"&amp;D179</f>
        <v/>
      </c>
    </row>
    <row r="180" ht="15" customHeight="1" s="5">
      <c r="A180" s="7" t="inlineStr">
        <is>
          <t>PRJ023</t>
        </is>
      </c>
      <c r="B180" s="7">
        <f>IFERROR(VLOOKUP(A180,Projects!$A:$AK,2,FALSE()),"")</f>
        <v/>
      </c>
      <c r="C180" s="7">
        <f>IFERROR(VLOOKUP(A180,Projects!$A:$AK,14,FALSE()),"")</f>
        <v/>
      </c>
      <c r="D180" s="7" t="inlineStr">
        <is>
          <t>Design</t>
        </is>
      </c>
      <c r="E180" s="7">
        <f>IFERROR(INDEX(_Stages!$A$1:$A$8,MIN(MATCH(D180,_Stages!$A$1:$A$8,0)+1,8)),"")</f>
        <v/>
      </c>
      <c r="F180" s="7" t="inlineStr">
        <is>
          <t>Approved</t>
        </is>
      </c>
      <c r="G180" s="7" t="inlineStr">
        <is>
          <t>Complete</t>
        </is>
      </c>
      <c r="H180" s="7" t="inlineStr">
        <is>
          <t>COO</t>
        </is>
      </c>
      <c r="I180" s="8" t="n">
        <v>46093</v>
      </c>
      <c r="J180" s="8" t="n">
        <v>46107</v>
      </c>
      <c r="K180" s="7" t="inlineStr">
        <is>
          <t>Held</t>
        </is>
      </c>
      <c r="L180" s="7" t="inlineStr">
        <is>
          <t>Awaiting sponsor sign-off</t>
        </is>
      </c>
      <c r="M180" s="7" t="n">
        <v>100</v>
      </c>
      <c r="N180" s="7" t="n">
        <v>14</v>
      </c>
      <c r="O180" s="7">
        <f>A180&amp;"|"&amp;D180</f>
        <v/>
      </c>
    </row>
    <row r="181" ht="15" customHeight="1" s="5">
      <c r="A181" s="7" t="inlineStr">
        <is>
          <t>PRJ023</t>
        </is>
      </c>
      <c r="B181" s="7">
        <f>IFERROR(VLOOKUP(A181,Projects!$A:$AK,2,FALSE()),"")</f>
        <v/>
      </c>
      <c r="C181" s="7">
        <f>IFERROR(VLOOKUP(A181,Projects!$A:$AK,14,FALSE()),"")</f>
        <v/>
      </c>
      <c r="D181" s="7" t="inlineStr">
        <is>
          <t>Business Case / Full Funding</t>
        </is>
      </c>
      <c r="E181" s="7">
        <f>IFERROR(INDEX(_Stages!$A$1:$A$8,MIN(MATCH(D181,_Stages!$A$1:$A$8,0)+1,8)),"")</f>
        <v/>
      </c>
      <c r="F181" s="7" t="inlineStr">
        <is>
          <t>Approved</t>
        </is>
      </c>
      <c r="G181" s="7" t="inlineStr">
        <is>
          <t>Complete</t>
        </is>
      </c>
      <c r="H181" s="7" t="inlineStr">
        <is>
          <t>COO</t>
        </is>
      </c>
      <c r="I181" s="8" t="n">
        <v>46153</v>
      </c>
      <c r="J181" s="8" t="n">
        <v>46175</v>
      </c>
      <c r="K181" s="7" t="inlineStr">
        <is>
          <t>Proceed</t>
        </is>
      </c>
      <c r="M181" s="7" t="n">
        <v>100</v>
      </c>
      <c r="N181" s="7" t="n">
        <v>22</v>
      </c>
      <c r="O181" s="7">
        <f>A181&amp;"|"&amp;D181</f>
        <v/>
      </c>
    </row>
    <row r="182" ht="15" customHeight="1" s="5">
      <c r="A182" s="7" t="inlineStr">
        <is>
          <t>PRJ023</t>
        </is>
      </c>
      <c r="B182" s="7">
        <f>IFERROR(VLOOKUP(A182,Projects!$A:$AK,2,FALSE()),"")</f>
        <v/>
      </c>
      <c r="C182" s="7">
        <f>IFERROR(VLOOKUP(A182,Projects!$A:$AK,14,FALSE()),"")</f>
        <v/>
      </c>
      <c r="D182" s="7" t="inlineStr">
        <is>
          <t>Build</t>
        </is>
      </c>
      <c r="E182" s="7">
        <f>IFERROR(INDEX(_Stages!$A$1:$A$8,MIN(MATCH(D182,_Stages!$A$1:$A$8,0)+1,8)),"")</f>
        <v/>
      </c>
      <c r="F182" s="7" t="inlineStr">
        <is>
          <t>Approved</t>
        </is>
      </c>
      <c r="G182" s="7" t="inlineStr">
        <is>
          <t>Complete</t>
        </is>
      </c>
      <c r="H182" s="7" t="inlineStr">
        <is>
          <t>COO</t>
        </is>
      </c>
      <c r="I182" s="8" t="n">
        <v>46213</v>
      </c>
      <c r="J182" s="8" t="n">
        <v>46227</v>
      </c>
      <c r="K182" s="7" t="inlineStr">
        <is>
          <t>Rework</t>
        </is>
      </c>
      <c r="M182" s="7" t="n">
        <v>100</v>
      </c>
      <c r="N182" s="7" t="n">
        <v>14</v>
      </c>
      <c r="O182" s="7">
        <f>A182&amp;"|"&amp;D182</f>
        <v/>
      </c>
    </row>
    <row r="183" ht="15" customHeight="1" s="5">
      <c r="A183" s="7" t="inlineStr">
        <is>
          <t>PRJ023</t>
        </is>
      </c>
      <c r="B183" s="7">
        <f>IFERROR(VLOOKUP(A183,Projects!$A:$AK,2,FALSE()),"")</f>
        <v/>
      </c>
      <c r="C183" s="7">
        <f>IFERROR(VLOOKUP(A183,Projects!$A:$AK,14,FALSE()),"")</f>
        <v/>
      </c>
      <c r="D183" s="7" t="inlineStr">
        <is>
          <t>Testing</t>
        </is>
      </c>
      <c r="E183" s="7">
        <f>IFERROR(INDEX(_Stages!$A$1:$A$8,MIN(MATCH(D183,_Stages!$A$1:$A$8,0)+1,8)),"")</f>
        <v/>
      </c>
      <c r="F183" s="7" t="inlineStr">
        <is>
          <t>Approved</t>
        </is>
      </c>
      <c r="G183" s="7" t="inlineStr">
        <is>
          <t>Complete</t>
        </is>
      </c>
      <c r="H183" s="7" t="inlineStr">
        <is>
          <t>COO</t>
        </is>
      </c>
      <c r="I183" s="8" t="n">
        <v>46273</v>
      </c>
      <c r="J183" s="8" t="n">
        <v>46292</v>
      </c>
      <c r="K183" s="7" t="inlineStr">
        <is>
          <t>Held</t>
        </is>
      </c>
      <c r="L183" s="7" t="inlineStr">
        <is>
          <t>Approved with conditions</t>
        </is>
      </c>
      <c r="M183" s="7" t="n">
        <v>100</v>
      </c>
      <c r="N183" s="7" t="n">
        <v>19</v>
      </c>
      <c r="O183" s="7">
        <f>A183&amp;"|"&amp;D183</f>
        <v/>
      </c>
    </row>
    <row r="184" ht="15" customHeight="1" s="5">
      <c r="A184" s="7" t="inlineStr">
        <is>
          <t>PRJ023</t>
        </is>
      </c>
      <c r="B184" s="7">
        <f>IFERROR(VLOOKUP(A184,Projects!$A:$AK,2,FALSE()),"")</f>
        <v/>
      </c>
      <c r="C184" s="7">
        <f>IFERROR(VLOOKUP(A184,Projects!$A:$AK,14,FALSE()),"")</f>
        <v/>
      </c>
      <c r="D184" s="7" t="inlineStr">
        <is>
          <t>Deployment</t>
        </is>
      </c>
      <c r="E184" s="7">
        <f>IFERROR(INDEX(_Stages!$A$1:$A$8,MIN(MATCH(D184,_Stages!$A$1:$A$8,0)+1,8)),"")</f>
        <v/>
      </c>
      <c r="F184" s="7" t="inlineStr">
        <is>
          <t>Pending Approval</t>
        </is>
      </c>
      <c r="G184" s="7" t="inlineStr">
        <is>
          <t>In Progress</t>
        </is>
      </c>
      <c r="H184" s="7" t="inlineStr">
        <is>
          <t>COO</t>
        </is>
      </c>
      <c r="I184" s="8" t="n">
        <v>46333</v>
      </c>
      <c r="L184" s="7" t="inlineStr">
        <is>
          <t>On track</t>
        </is>
      </c>
      <c r="M184" s="7" t="n">
        <v>57</v>
      </c>
      <c r="N184" s="7" t="n">
        <v>0</v>
      </c>
      <c r="O184" s="7">
        <f>A184&amp;"|"&amp;D184</f>
        <v/>
      </c>
    </row>
    <row r="185" ht="15" customHeight="1" s="5">
      <c r="A185" s="7" t="inlineStr">
        <is>
          <t>PRJ023</t>
        </is>
      </c>
      <c r="B185" s="7">
        <f>IFERROR(VLOOKUP(A185,Projects!$A:$AK,2,FALSE()),"")</f>
        <v/>
      </c>
      <c r="C185" s="7">
        <f>IFERROR(VLOOKUP(A185,Projects!$A:$AK,14,FALSE()),"")</f>
        <v/>
      </c>
      <c r="D185" s="7" t="inlineStr">
        <is>
          <t>Handover</t>
        </is>
      </c>
      <c r="E185" s="7">
        <f>IFERROR(INDEX(_Stages!$A$1:$A$8,MIN(MATCH(D185,_Stages!$A$1:$A$8,0)+1,8)),"")</f>
        <v/>
      </c>
      <c r="F185" s="7" t="inlineStr">
        <is>
          <t>Not Started</t>
        </is>
      </c>
      <c r="G185" s="7" t="inlineStr">
        <is>
          <t>Not Started</t>
        </is>
      </c>
      <c r="H185" s="7" t="inlineStr">
        <is>
          <t>COO</t>
        </is>
      </c>
      <c r="I185" s="8" t="n">
        <v>46393</v>
      </c>
      <c r="L185" s="7" t="inlineStr">
        <is>
          <t>Awaiting sponsor sign-off</t>
        </is>
      </c>
      <c r="M185" s="7" t="n">
        <v>0</v>
      </c>
      <c r="N185" s="7" t="n">
        <v>0</v>
      </c>
      <c r="O185" s="7">
        <f>A185&amp;"|"&amp;D185</f>
        <v/>
      </c>
    </row>
    <row r="186" ht="15" customHeight="1" s="5">
      <c r="A186" s="7" t="inlineStr">
        <is>
          <t>PRJ024</t>
        </is>
      </c>
      <c r="B186" s="7">
        <f>IFERROR(VLOOKUP(A186,Projects!$A:$AK,2,FALSE()),"")</f>
        <v/>
      </c>
      <c r="C186" s="7">
        <f>IFERROR(VLOOKUP(A186,Projects!$A:$AK,14,FALSE()),"")</f>
        <v/>
      </c>
      <c r="D186" s="7" t="inlineStr">
        <is>
          <t>Discovery</t>
        </is>
      </c>
      <c r="E186" s="7">
        <f>IFERROR(INDEX(_Stages!$A$1:$A$8,MIN(MATCH(D186,_Stages!$A$1:$A$8,0)+1,8)),"")</f>
        <v/>
      </c>
      <c r="F186" s="7" t="inlineStr">
        <is>
          <t>Approved</t>
        </is>
      </c>
      <c r="G186" s="7" t="inlineStr">
        <is>
          <t>Complete</t>
        </is>
      </c>
      <c r="H186" s="7" t="inlineStr">
        <is>
          <t>CFO</t>
        </is>
      </c>
      <c r="I186" s="8" t="n">
        <v>45997</v>
      </c>
      <c r="J186" s="8" t="n">
        <v>46017</v>
      </c>
      <c r="K186" s="7" t="inlineStr">
        <is>
          <t>Conditional</t>
        </is>
      </c>
      <c r="L186" s="7" t="inlineStr">
        <is>
          <t>On track</t>
        </is>
      </c>
      <c r="M186" s="7" t="n">
        <v>100</v>
      </c>
      <c r="N186" s="7" t="n">
        <v>20</v>
      </c>
      <c r="O186" s="7">
        <f>A186&amp;"|"&amp;D186</f>
        <v/>
      </c>
    </row>
    <row r="187" ht="15" customHeight="1" s="5">
      <c r="A187" s="7" t="inlineStr">
        <is>
          <t>PRJ024</t>
        </is>
      </c>
      <c r="B187" s="7">
        <f>IFERROR(VLOOKUP(A187,Projects!$A:$AK,2,FALSE()),"")</f>
        <v/>
      </c>
      <c r="C187" s="7">
        <f>IFERROR(VLOOKUP(A187,Projects!$A:$AK,14,FALSE()),"")</f>
        <v/>
      </c>
      <c r="D187" s="7" t="inlineStr">
        <is>
          <t>Business Case / Seed Funding</t>
        </is>
      </c>
      <c r="E187" s="7">
        <f>IFERROR(INDEX(_Stages!$A$1:$A$8,MIN(MATCH(D187,_Stages!$A$1:$A$8,0)+1,8)),"")</f>
        <v/>
      </c>
      <c r="F187" s="7" t="inlineStr">
        <is>
          <t>Approved</t>
        </is>
      </c>
      <c r="G187" s="7" t="inlineStr">
        <is>
          <t>Complete</t>
        </is>
      </c>
      <c r="H187" s="7" t="inlineStr">
        <is>
          <t>CFO</t>
        </is>
      </c>
      <c r="I187" s="8" t="n">
        <v>46057</v>
      </c>
      <c r="J187" s="8" t="n">
        <v>46063</v>
      </c>
      <c r="K187" s="7" t="inlineStr">
        <is>
          <t>Proceed</t>
        </is>
      </c>
      <c r="M187" s="7" t="n">
        <v>100</v>
      </c>
      <c r="N187" s="7" t="n">
        <v>6</v>
      </c>
      <c r="O187" s="7">
        <f>A187&amp;"|"&amp;D187</f>
        <v/>
      </c>
    </row>
    <row r="188" ht="15" customHeight="1" s="5">
      <c r="A188" s="7" t="inlineStr">
        <is>
          <t>PRJ024</t>
        </is>
      </c>
      <c r="B188" s="7">
        <f>IFERROR(VLOOKUP(A188,Projects!$A:$AK,2,FALSE()),"")</f>
        <v/>
      </c>
      <c r="C188" s="7">
        <f>IFERROR(VLOOKUP(A188,Projects!$A:$AK,14,FALSE()),"")</f>
        <v/>
      </c>
      <c r="D188" s="7" t="inlineStr">
        <is>
          <t>Design</t>
        </is>
      </c>
      <c r="E188" s="7">
        <f>IFERROR(INDEX(_Stages!$A$1:$A$8,MIN(MATCH(D188,_Stages!$A$1:$A$8,0)+1,8)),"")</f>
        <v/>
      </c>
      <c r="F188" s="7" t="inlineStr">
        <is>
          <t>Approved</t>
        </is>
      </c>
      <c r="G188" s="7" t="inlineStr">
        <is>
          <t>Complete</t>
        </is>
      </c>
      <c r="H188" s="7" t="inlineStr">
        <is>
          <t>CFO</t>
        </is>
      </c>
      <c r="I188" s="8" t="n">
        <v>46117</v>
      </c>
      <c r="J188" s="8" t="n">
        <v>46108</v>
      </c>
      <c r="K188" s="7" t="inlineStr">
        <is>
          <t>Held</t>
        </is>
      </c>
      <c r="M188" s="7" t="n">
        <v>100</v>
      </c>
      <c r="N188" s="7" t="n">
        <v>0</v>
      </c>
      <c r="O188" s="7">
        <f>A188&amp;"|"&amp;D188</f>
        <v/>
      </c>
    </row>
    <row r="189" ht="15" customHeight="1" s="5">
      <c r="A189" s="7" t="inlineStr">
        <is>
          <t>PRJ024</t>
        </is>
      </c>
      <c r="B189" s="7">
        <f>IFERROR(VLOOKUP(A189,Projects!$A:$AK,2,FALSE()),"")</f>
        <v/>
      </c>
      <c r="C189" s="7">
        <f>IFERROR(VLOOKUP(A189,Projects!$A:$AK,14,FALSE()),"")</f>
        <v/>
      </c>
      <c r="D189" s="7" t="inlineStr">
        <is>
          <t>Business Case / Full Funding</t>
        </is>
      </c>
      <c r="E189" s="7">
        <f>IFERROR(INDEX(_Stages!$A$1:$A$8,MIN(MATCH(D189,_Stages!$A$1:$A$8,0)+1,8)),"")</f>
        <v/>
      </c>
      <c r="F189" s="7" t="inlineStr">
        <is>
          <t>Approved</t>
        </is>
      </c>
      <c r="G189" s="7" t="inlineStr">
        <is>
          <t>Complete</t>
        </is>
      </c>
      <c r="H189" s="7" t="inlineStr">
        <is>
          <t>CFO</t>
        </is>
      </c>
      <c r="I189" s="8" t="n">
        <v>46177</v>
      </c>
      <c r="J189" s="8" t="n">
        <v>46169</v>
      </c>
      <c r="K189" s="7" t="inlineStr">
        <is>
          <t>Conditional</t>
        </is>
      </c>
      <c r="L189" s="7" t="inlineStr">
        <is>
          <t>On track</t>
        </is>
      </c>
      <c r="M189" s="7" t="n">
        <v>100</v>
      </c>
      <c r="N189" s="7" t="n">
        <v>0</v>
      </c>
      <c r="O189" s="7">
        <f>A189&amp;"|"&amp;D189</f>
        <v/>
      </c>
    </row>
    <row r="190" ht="15" customHeight="1" s="5">
      <c r="A190" s="7" t="inlineStr">
        <is>
          <t>PRJ024</t>
        </is>
      </c>
      <c r="B190" s="7">
        <f>IFERROR(VLOOKUP(A190,Projects!$A:$AK,2,FALSE()),"")</f>
        <v/>
      </c>
      <c r="C190" s="7">
        <f>IFERROR(VLOOKUP(A190,Projects!$A:$AK,14,FALSE()),"")</f>
        <v/>
      </c>
      <c r="D190" s="7" t="inlineStr">
        <is>
          <t>Build</t>
        </is>
      </c>
      <c r="E190" s="7">
        <f>IFERROR(INDEX(_Stages!$A$1:$A$8,MIN(MATCH(D190,_Stages!$A$1:$A$8,0)+1,8)),"")</f>
        <v/>
      </c>
      <c r="F190" s="7" t="inlineStr">
        <is>
          <t>Approved</t>
        </is>
      </c>
      <c r="G190" s="7" t="inlineStr">
        <is>
          <t>Complete</t>
        </is>
      </c>
      <c r="H190" s="7" t="inlineStr">
        <is>
          <t>CFO</t>
        </is>
      </c>
      <c r="I190" s="8" t="n">
        <v>46237</v>
      </c>
      <c r="J190" s="8" t="n">
        <v>46251</v>
      </c>
      <c r="K190" s="7" t="inlineStr">
        <is>
          <t>Proceed</t>
        </is>
      </c>
      <c r="L190" s="7" t="inlineStr">
        <is>
          <t>On track</t>
        </is>
      </c>
      <c r="M190" s="7" t="n">
        <v>100</v>
      </c>
      <c r="N190" s="7" t="n">
        <v>14</v>
      </c>
      <c r="O190" s="7">
        <f>A190&amp;"|"&amp;D190</f>
        <v/>
      </c>
    </row>
    <row r="191" ht="15" customHeight="1" s="5">
      <c r="A191" s="7" t="inlineStr">
        <is>
          <t>PRJ024</t>
        </is>
      </c>
      <c r="B191" s="7">
        <f>IFERROR(VLOOKUP(A191,Projects!$A:$AK,2,FALSE()),"")</f>
        <v/>
      </c>
      <c r="C191" s="7">
        <f>IFERROR(VLOOKUP(A191,Projects!$A:$AK,14,FALSE()),"")</f>
        <v/>
      </c>
      <c r="D191" s="7" t="inlineStr">
        <is>
          <t>Testing</t>
        </is>
      </c>
      <c r="E191" s="7">
        <f>IFERROR(INDEX(_Stages!$A$1:$A$8,MIN(MATCH(D191,_Stages!$A$1:$A$8,0)+1,8)),"")</f>
        <v/>
      </c>
      <c r="F191" s="7" t="inlineStr">
        <is>
          <t>Pending Approval</t>
        </is>
      </c>
      <c r="G191" s="7" t="inlineStr">
        <is>
          <t>In Progress</t>
        </is>
      </c>
      <c r="H191" s="7" t="inlineStr">
        <is>
          <t>CFO</t>
        </is>
      </c>
      <c r="I191" s="8" t="n">
        <v>46297</v>
      </c>
      <c r="L191" s="7" t="inlineStr">
        <is>
          <t>Awaiting sponsor sign-off</t>
        </is>
      </c>
      <c r="M191" s="7" t="n">
        <v>50</v>
      </c>
      <c r="N191" s="7" t="n">
        <v>0</v>
      </c>
      <c r="O191" s="7">
        <f>A191&amp;"|"&amp;D191</f>
        <v/>
      </c>
    </row>
    <row r="192" ht="15" customHeight="1" s="5">
      <c r="A192" s="7" t="inlineStr">
        <is>
          <t>PRJ024</t>
        </is>
      </c>
      <c r="B192" s="7">
        <f>IFERROR(VLOOKUP(A192,Projects!$A:$AK,2,FALSE()),"")</f>
        <v/>
      </c>
      <c r="C192" s="7">
        <f>IFERROR(VLOOKUP(A192,Projects!$A:$AK,14,FALSE()),"")</f>
        <v/>
      </c>
      <c r="D192" s="7" t="inlineStr">
        <is>
          <t>Deployment</t>
        </is>
      </c>
      <c r="E192" s="7">
        <f>IFERROR(INDEX(_Stages!$A$1:$A$8,MIN(MATCH(D192,_Stages!$A$1:$A$8,0)+1,8)),"")</f>
        <v/>
      </c>
      <c r="F192" s="7" t="inlineStr">
        <is>
          <t>Not Started</t>
        </is>
      </c>
      <c r="G192" s="7" t="inlineStr">
        <is>
          <t>Not Started</t>
        </is>
      </c>
      <c r="H192" s="7" t="inlineStr">
        <is>
          <t>CFO</t>
        </is>
      </c>
      <c r="I192" s="8" t="n">
        <v>46357</v>
      </c>
      <c r="M192" s="7" t="n">
        <v>0</v>
      </c>
      <c r="N192" s="7" t="n">
        <v>0</v>
      </c>
      <c r="O192" s="7">
        <f>A192&amp;"|"&amp;D192</f>
        <v/>
      </c>
    </row>
    <row r="193" ht="15" customHeight="1" s="5">
      <c r="A193" s="7" t="inlineStr">
        <is>
          <t>PRJ024</t>
        </is>
      </c>
      <c r="B193" s="7">
        <f>IFERROR(VLOOKUP(A193,Projects!$A:$AK,2,FALSE()),"")</f>
        <v/>
      </c>
      <c r="C193" s="7">
        <f>IFERROR(VLOOKUP(A193,Projects!$A:$AK,14,FALSE()),"")</f>
        <v/>
      </c>
      <c r="D193" s="7" t="inlineStr">
        <is>
          <t>Handover</t>
        </is>
      </c>
      <c r="E193" s="7">
        <f>IFERROR(INDEX(_Stages!$A$1:$A$8,MIN(MATCH(D193,_Stages!$A$1:$A$8,0)+1,8)),"")</f>
        <v/>
      </c>
      <c r="F193" s="7" t="inlineStr">
        <is>
          <t>Not Started</t>
        </is>
      </c>
      <c r="G193" s="7" t="inlineStr">
        <is>
          <t>Not Started</t>
        </is>
      </c>
      <c r="H193" s="7" t="inlineStr">
        <is>
          <t>CFO</t>
        </is>
      </c>
      <c r="I193" s="8" t="n">
        <v>46417</v>
      </c>
      <c r="L193" s="7" t="inlineStr">
        <is>
          <t>Awaiting sponsor sign-off</t>
        </is>
      </c>
      <c r="M193" s="7" t="n">
        <v>0</v>
      </c>
      <c r="N193" s="7" t="n">
        <v>0</v>
      </c>
      <c r="O193" s="7">
        <f>A193&amp;"|"&amp;D193</f>
        <v/>
      </c>
    </row>
    <row r="194" ht="15" customHeight="1" s="5">
      <c r="A194" s="7" t="inlineStr">
        <is>
          <t>PRJ025</t>
        </is>
      </c>
      <c r="B194" s="7">
        <f>IFERROR(VLOOKUP(A194,Projects!$A:$AK,2,FALSE()),"")</f>
        <v/>
      </c>
      <c r="C194" s="7">
        <f>IFERROR(VLOOKUP(A194,Projects!$A:$AK,14,FALSE()),"")</f>
        <v/>
      </c>
      <c r="D194" s="7" t="inlineStr">
        <is>
          <t>Discovery</t>
        </is>
      </c>
      <c r="E194" s="7">
        <f>IFERROR(INDEX(_Stages!$A$1:$A$8,MIN(MATCH(D194,_Stages!$A$1:$A$8,0)+1,8)),"")</f>
        <v/>
      </c>
      <c r="F194" s="7" t="inlineStr">
        <is>
          <t>Approved</t>
        </is>
      </c>
      <c r="G194" s="7" t="inlineStr">
        <is>
          <t>Complete</t>
        </is>
      </c>
      <c r="H194" s="7" t="inlineStr">
        <is>
          <t>CTO</t>
        </is>
      </c>
      <c r="I194" s="8" t="n">
        <v>45993</v>
      </c>
      <c r="J194" s="8" t="n">
        <v>45983</v>
      </c>
      <c r="K194" s="7" t="inlineStr">
        <is>
          <t>Rework</t>
        </is>
      </c>
      <c r="L194" s="7" t="inlineStr">
        <is>
          <t>Approved with conditions</t>
        </is>
      </c>
      <c r="M194" s="7" t="n">
        <v>100</v>
      </c>
      <c r="N194" s="7" t="n">
        <v>0</v>
      </c>
      <c r="O194" s="7">
        <f>A194&amp;"|"&amp;D194</f>
        <v/>
      </c>
    </row>
    <row r="195" ht="15" customHeight="1" s="5">
      <c r="A195" s="7" t="inlineStr">
        <is>
          <t>PRJ025</t>
        </is>
      </c>
      <c r="B195" s="7">
        <f>IFERROR(VLOOKUP(A195,Projects!$A:$AK,2,FALSE()),"")</f>
        <v/>
      </c>
      <c r="C195" s="7">
        <f>IFERROR(VLOOKUP(A195,Projects!$A:$AK,14,FALSE()),"")</f>
        <v/>
      </c>
      <c r="D195" s="7" t="inlineStr">
        <is>
          <t>Business Case / Seed Funding</t>
        </is>
      </c>
      <c r="E195" s="7">
        <f>IFERROR(INDEX(_Stages!$A$1:$A$8,MIN(MATCH(D195,_Stages!$A$1:$A$8,0)+1,8)),"")</f>
        <v/>
      </c>
      <c r="F195" s="7" t="inlineStr">
        <is>
          <t>Approved</t>
        </is>
      </c>
      <c r="G195" s="7" t="inlineStr">
        <is>
          <t>Complete</t>
        </is>
      </c>
      <c r="H195" s="7" t="inlineStr">
        <is>
          <t>CTO</t>
        </is>
      </c>
      <c r="I195" s="8" t="n">
        <v>46053</v>
      </c>
      <c r="J195" s="8" t="n">
        <v>46041</v>
      </c>
      <c r="K195" s="7" t="inlineStr">
        <is>
          <t>Held</t>
        </is>
      </c>
      <c r="L195" s="7" t="inlineStr">
        <is>
          <t>Awaiting sponsor sign-off</t>
        </is>
      </c>
      <c r="M195" s="7" t="n">
        <v>100</v>
      </c>
      <c r="N195" s="7" t="n">
        <v>0</v>
      </c>
      <c r="O195" s="7">
        <f>A195&amp;"|"&amp;D195</f>
        <v/>
      </c>
    </row>
    <row r="196" ht="15" customHeight="1" s="5">
      <c r="A196" s="7" t="inlineStr">
        <is>
          <t>PRJ025</t>
        </is>
      </c>
      <c r="B196" s="7">
        <f>IFERROR(VLOOKUP(A196,Projects!$A:$AK,2,FALSE()),"")</f>
        <v/>
      </c>
      <c r="C196" s="7">
        <f>IFERROR(VLOOKUP(A196,Projects!$A:$AK,14,FALSE()),"")</f>
        <v/>
      </c>
      <c r="D196" s="7" t="inlineStr">
        <is>
          <t>Design</t>
        </is>
      </c>
      <c r="E196" s="7">
        <f>IFERROR(INDEX(_Stages!$A$1:$A$8,MIN(MATCH(D196,_Stages!$A$1:$A$8,0)+1,8)),"")</f>
        <v/>
      </c>
      <c r="F196" s="7" t="inlineStr">
        <is>
          <t>Approved</t>
        </is>
      </c>
      <c r="G196" s="7" t="inlineStr">
        <is>
          <t>Complete</t>
        </is>
      </c>
      <c r="H196" s="7" t="inlineStr">
        <is>
          <t>CTO</t>
        </is>
      </c>
      <c r="I196" s="8" t="n">
        <v>46113</v>
      </c>
      <c r="J196" s="8" t="n">
        <v>46142</v>
      </c>
      <c r="K196" s="7" t="inlineStr">
        <is>
          <t>Conditional</t>
        </is>
      </c>
      <c r="L196" s="7" t="inlineStr">
        <is>
          <t>On track</t>
        </is>
      </c>
      <c r="M196" s="7" t="n">
        <v>100</v>
      </c>
      <c r="N196" s="7" t="n">
        <v>29</v>
      </c>
      <c r="O196" s="7">
        <f>A196&amp;"|"&amp;D196</f>
        <v/>
      </c>
    </row>
    <row r="197" ht="15" customHeight="1" s="5">
      <c r="A197" s="7" t="inlineStr">
        <is>
          <t>PRJ025</t>
        </is>
      </c>
      <c r="B197" s="7">
        <f>IFERROR(VLOOKUP(A197,Projects!$A:$AK,2,FALSE()),"")</f>
        <v/>
      </c>
      <c r="C197" s="7">
        <f>IFERROR(VLOOKUP(A197,Projects!$A:$AK,14,FALSE()),"")</f>
        <v/>
      </c>
      <c r="D197" s="7" t="inlineStr">
        <is>
          <t>Business Case / Full Funding</t>
        </is>
      </c>
      <c r="E197" s="7">
        <f>IFERROR(INDEX(_Stages!$A$1:$A$8,MIN(MATCH(D197,_Stages!$A$1:$A$8,0)+1,8)),"")</f>
        <v/>
      </c>
      <c r="F197" s="7" t="inlineStr">
        <is>
          <t>Approved</t>
        </is>
      </c>
      <c r="G197" s="7" t="inlineStr">
        <is>
          <t>Complete</t>
        </is>
      </c>
      <c r="H197" s="7" t="inlineStr">
        <is>
          <t>CTO</t>
        </is>
      </c>
      <c r="I197" s="8" t="n">
        <v>46173</v>
      </c>
      <c r="J197" s="8" t="n">
        <v>46199</v>
      </c>
      <c r="K197" s="7" t="inlineStr">
        <is>
          <t>Proceed</t>
        </is>
      </c>
      <c r="M197" s="7" t="n">
        <v>100</v>
      </c>
      <c r="N197" s="7" t="n">
        <v>26</v>
      </c>
      <c r="O197" s="7">
        <f>A197&amp;"|"&amp;D197</f>
        <v/>
      </c>
    </row>
    <row r="198" ht="15" customHeight="1" s="5">
      <c r="A198" s="7" t="inlineStr">
        <is>
          <t>PRJ025</t>
        </is>
      </c>
      <c r="B198" s="7">
        <f>IFERROR(VLOOKUP(A198,Projects!$A:$AK,2,FALSE()),"")</f>
        <v/>
      </c>
      <c r="C198" s="7">
        <f>IFERROR(VLOOKUP(A198,Projects!$A:$AK,14,FALSE()),"")</f>
        <v/>
      </c>
      <c r="D198" s="7" t="inlineStr">
        <is>
          <t>Build</t>
        </is>
      </c>
      <c r="E198" s="7">
        <f>IFERROR(INDEX(_Stages!$A$1:$A$8,MIN(MATCH(D198,_Stages!$A$1:$A$8,0)+1,8)),"")</f>
        <v/>
      </c>
      <c r="F198" s="7" t="inlineStr">
        <is>
          <t>Pending Approval</t>
        </is>
      </c>
      <c r="G198" s="7" t="inlineStr">
        <is>
          <t>In Progress</t>
        </is>
      </c>
      <c r="H198" s="7" t="inlineStr">
        <is>
          <t>CTO</t>
        </is>
      </c>
      <c r="I198" s="8" t="n">
        <v>46233</v>
      </c>
      <c r="L198" s="7" t="inlineStr">
        <is>
          <t>On track</t>
        </is>
      </c>
      <c r="M198" s="7" t="n">
        <v>44</v>
      </c>
      <c r="N198" s="7" t="n">
        <v>0</v>
      </c>
      <c r="O198" s="7">
        <f>A198&amp;"|"&amp;D198</f>
        <v/>
      </c>
    </row>
    <row r="199" ht="15" customHeight="1" s="5">
      <c r="A199" s="7" t="inlineStr">
        <is>
          <t>PRJ025</t>
        </is>
      </c>
      <c r="B199" s="7">
        <f>IFERROR(VLOOKUP(A199,Projects!$A:$AK,2,FALSE()),"")</f>
        <v/>
      </c>
      <c r="C199" s="7">
        <f>IFERROR(VLOOKUP(A199,Projects!$A:$AK,14,FALSE()),"")</f>
        <v/>
      </c>
      <c r="D199" s="7" t="inlineStr">
        <is>
          <t>Testing</t>
        </is>
      </c>
      <c r="E199" s="7">
        <f>IFERROR(INDEX(_Stages!$A$1:$A$8,MIN(MATCH(D199,_Stages!$A$1:$A$8,0)+1,8)),"")</f>
        <v/>
      </c>
      <c r="F199" s="7" t="inlineStr">
        <is>
          <t>Not Started</t>
        </is>
      </c>
      <c r="G199" s="7" t="inlineStr">
        <is>
          <t>Not Started</t>
        </is>
      </c>
      <c r="H199" s="7" t="inlineStr">
        <is>
          <t>CTO</t>
        </is>
      </c>
      <c r="I199" s="8" t="n">
        <v>46293</v>
      </c>
      <c r="L199" s="7" t="inlineStr">
        <is>
          <t>Approved with conditions</t>
        </is>
      </c>
      <c r="M199" s="7" t="n">
        <v>0</v>
      </c>
      <c r="N199" s="7" t="n">
        <v>0</v>
      </c>
      <c r="O199" s="7">
        <f>A199&amp;"|"&amp;D199</f>
        <v/>
      </c>
    </row>
    <row r="200" ht="15" customHeight="1" s="5">
      <c r="A200" s="7" t="inlineStr">
        <is>
          <t>PRJ025</t>
        </is>
      </c>
      <c r="B200" s="7">
        <f>IFERROR(VLOOKUP(A200,Projects!$A:$AK,2,FALSE()),"")</f>
        <v/>
      </c>
      <c r="C200" s="7">
        <f>IFERROR(VLOOKUP(A200,Projects!$A:$AK,14,FALSE()),"")</f>
        <v/>
      </c>
      <c r="D200" s="7" t="inlineStr">
        <is>
          <t>Deployment</t>
        </is>
      </c>
      <c r="E200" s="7">
        <f>IFERROR(INDEX(_Stages!$A$1:$A$8,MIN(MATCH(D200,_Stages!$A$1:$A$8,0)+1,8)),"")</f>
        <v/>
      </c>
      <c r="F200" s="7" t="inlineStr">
        <is>
          <t>Not Started</t>
        </is>
      </c>
      <c r="G200" s="7" t="inlineStr">
        <is>
          <t>Not Started</t>
        </is>
      </c>
      <c r="H200" s="7" t="inlineStr">
        <is>
          <t>CTO</t>
        </is>
      </c>
      <c r="I200" s="8" t="n">
        <v>46353</v>
      </c>
      <c r="L200" s="7" t="inlineStr">
        <is>
          <t>On track</t>
        </is>
      </c>
      <c r="M200" s="7" t="n">
        <v>0</v>
      </c>
      <c r="N200" s="7" t="n">
        <v>0</v>
      </c>
      <c r="O200" s="7">
        <f>A200&amp;"|"&amp;D200</f>
        <v/>
      </c>
    </row>
    <row r="201" ht="15" customHeight="1" s="5">
      <c r="A201" s="7" t="inlineStr">
        <is>
          <t>PRJ025</t>
        </is>
      </c>
      <c r="B201" s="7">
        <f>IFERROR(VLOOKUP(A201,Projects!$A:$AK,2,FALSE()),"")</f>
        <v/>
      </c>
      <c r="C201" s="7">
        <f>IFERROR(VLOOKUP(A201,Projects!$A:$AK,14,FALSE()),"")</f>
        <v/>
      </c>
      <c r="D201" s="7" t="inlineStr">
        <is>
          <t>Handover</t>
        </is>
      </c>
      <c r="E201" s="7">
        <f>IFERROR(INDEX(_Stages!$A$1:$A$8,MIN(MATCH(D201,_Stages!$A$1:$A$8,0)+1,8)),"")</f>
        <v/>
      </c>
      <c r="F201" s="7" t="inlineStr">
        <is>
          <t>Not Started</t>
        </is>
      </c>
      <c r="G201" s="7" t="inlineStr">
        <is>
          <t>Not Started</t>
        </is>
      </c>
      <c r="H201" s="7" t="inlineStr">
        <is>
          <t>CTO</t>
        </is>
      </c>
      <c r="I201" s="8" t="n">
        <v>46413</v>
      </c>
      <c r="M201" s="7" t="n">
        <v>0</v>
      </c>
      <c r="N201" s="7" t="n">
        <v>0</v>
      </c>
      <c r="O201" s="7">
        <f>A201&amp;"|"&amp;D201</f>
        <v/>
      </c>
    </row>
    <row r="202" ht="15" customHeight="1" s="5">
      <c r="A202" s="7" t="inlineStr">
        <is>
          <t>PRJ026</t>
        </is>
      </c>
      <c r="B202" s="7">
        <f>IFERROR(VLOOKUP(A202,Projects!$A:$AK,2,FALSE()),"")</f>
        <v/>
      </c>
      <c r="C202" s="7">
        <f>IFERROR(VLOOKUP(A202,Projects!$A:$AK,14,FALSE()),"")</f>
        <v/>
      </c>
      <c r="D202" s="7" t="inlineStr">
        <is>
          <t>Discovery</t>
        </is>
      </c>
      <c r="E202" s="7">
        <f>IFERROR(INDEX(_Stages!$A$1:$A$8,MIN(MATCH(D202,_Stages!$A$1:$A$8,0)+1,8)),"")</f>
        <v/>
      </c>
      <c r="F202" s="7" t="inlineStr">
        <is>
          <t>Approved</t>
        </is>
      </c>
      <c r="G202" s="7" t="inlineStr">
        <is>
          <t>Complete</t>
        </is>
      </c>
      <c r="H202" s="7" t="inlineStr">
        <is>
          <t>COO</t>
        </is>
      </c>
      <c r="I202" s="8" t="n">
        <v>45916</v>
      </c>
      <c r="J202" s="8" t="n">
        <v>45908</v>
      </c>
      <c r="K202" s="7" t="inlineStr">
        <is>
          <t>Held</t>
        </is>
      </c>
      <c r="L202" s="7" t="inlineStr">
        <is>
          <t>Approved with conditions</t>
        </is>
      </c>
      <c r="M202" s="7" t="n">
        <v>100</v>
      </c>
      <c r="N202" s="7" t="n">
        <v>0</v>
      </c>
      <c r="O202" s="7">
        <f>A202&amp;"|"&amp;D202</f>
        <v/>
      </c>
    </row>
    <row r="203" ht="15" customHeight="1" s="5">
      <c r="A203" s="7" t="inlineStr">
        <is>
          <t>PRJ026</t>
        </is>
      </c>
      <c r="B203" s="7">
        <f>IFERROR(VLOOKUP(A203,Projects!$A:$AK,2,FALSE()),"")</f>
        <v/>
      </c>
      <c r="C203" s="7">
        <f>IFERROR(VLOOKUP(A203,Projects!$A:$AK,14,FALSE()),"")</f>
        <v/>
      </c>
      <c r="D203" s="7" t="inlineStr">
        <is>
          <t>Business Case / Seed Funding</t>
        </is>
      </c>
      <c r="E203" s="7">
        <f>IFERROR(INDEX(_Stages!$A$1:$A$8,MIN(MATCH(D203,_Stages!$A$1:$A$8,0)+1,8)),"")</f>
        <v/>
      </c>
      <c r="F203" s="7" t="inlineStr">
        <is>
          <t>Approved</t>
        </is>
      </c>
      <c r="G203" s="7" t="inlineStr">
        <is>
          <t>Complete</t>
        </is>
      </c>
      <c r="H203" s="7" t="inlineStr">
        <is>
          <t>COO</t>
        </is>
      </c>
      <c r="I203" s="8" t="n">
        <v>45976</v>
      </c>
      <c r="J203" s="8" t="n">
        <v>45991</v>
      </c>
      <c r="K203" s="7" t="inlineStr">
        <is>
          <t>Proceed</t>
        </is>
      </c>
      <c r="L203" s="7" t="inlineStr">
        <is>
          <t>Approved with conditions</t>
        </is>
      </c>
      <c r="M203" s="7" t="n">
        <v>100</v>
      </c>
      <c r="N203" s="7" t="n">
        <v>15</v>
      </c>
      <c r="O203" s="7">
        <f>A203&amp;"|"&amp;D203</f>
        <v/>
      </c>
    </row>
    <row r="204" ht="15" customHeight="1" s="5">
      <c r="A204" s="7" t="inlineStr">
        <is>
          <t>PRJ026</t>
        </is>
      </c>
      <c r="B204" s="7">
        <f>IFERROR(VLOOKUP(A204,Projects!$A:$AK,2,FALSE()),"")</f>
        <v/>
      </c>
      <c r="C204" s="7">
        <f>IFERROR(VLOOKUP(A204,Projects!$A:$AK,14,FALSE()),"")</f>
        <v/>
      </c>
      <c r="D204" s="7" t="inlineStr">
        <is>
          <t>Design</t>
        </is>
      </c>
      <c r="E204" s="7">
        <f>IFERROR(INDEX(_Stages!$A$1:$A$8,MIN(MATCH(D204,_Stages!$A$1:$A$8,0)+1,8)),"")</f>
        <v/>
      </c>
      <c r="F204" s="7" t="inlineStr">
        <is>
          <t>Approved</t>
        </is>
      </c>
      <c r="G204" s="7" t="inlineStr">
        <is>
          <t>Complete</t>
        </is>
      </c>
      <c r="H204" s="7" t="inlineStr">
        <is>
          <t>COO</t>
        </is>
      </c>
      <c r="I204" s="8" t="n">
        <v>46036</v>
      </c>
      <c r="J204" s="8" t="n">
        <v>46045</v>
      </c>
      <c r="K204" s="7" t="inlineStr">
        <is>
          <t>Proceed</t>
        </is>
      </c>
      <c r="M204" s="7" t="n">
        <v>100</v>
      </c>
      <c r="N204" s="7" t="n">
        <v>9</v>
      </c>
      <c r="O204" s="7">
        <f>A204&amp;"|"&amp;D204</f>
        <v/>
      </c>
    </row>
    <row r="205" ht="15" customHeight="1" s="5">
      <c r="A205" s="7" t="inlineStr">
        <is>
          <t>PRJ026</t>
        </is>
      </c>
      <c r="B205" s="7">
        <f>IFERROR(VLOOKUP(A205,Projects!$A:$AK,2,FALSE()),"")</f>
        <v/>
      </c>
      <c r="C205" s="7">
        <f>IFERROR(VLOOKUP(A205,Projects!$A:$AK,14,FALSE()),"")</f>
        <v/>
      </c>
      <c r="D205" s="7" t="inlineStr">
        <is>
          <t>Business Case / Full Funding</t>
        </is>
      </c>
      <c r="E205" s="7">
        <f>IFERROR(INDEX(_Stages!$A$1:$A$8,MIN(MATCH(D205,_Stages!$A$1:$A$8,0)+1,8)),"")</f>
        <v/>
      </c>
      <c r="F205" s="7" t="inlineStr">
        <is>
          <t>Approved</t>
        </is>
      </c>
      <c r="G205" s="7" t="inlineStr">
        <is>
          <t>Complete</t>
        </is>
      </c>
      <c r="H205" s="7" t="inlineStr">
        <is>
          <t>COO</t>
        </is>
      </c>
      <c r="I205" s="8" t="n">
        <v>46096</v>
      </c>
      <c r="J205" s="8" t="n">
        <v>46087</v>
      </c>
      <c r="K205" s="7" t="inlineStr">
        <is>
          <t>Rework</t>
        </is>
      </c>
      <c r="L205" s="7" t="inlineStr">
        <is>
          <t>Awaiting sponsor sign-off</t>
        </is>
      </c>
      <c r="M205" s="7" t="n">
        <v>100</v>
      </c>
      <c r="N205" s="7" t="n">
        <v>0</v>
      </c>
      <c r="O205" s="7">
        <f>A205&amp;"|"&amp;D205</f>
        <v/>
      </c>
    </row>
    <row r="206" ht="15" customHeight="1" s="5">
      <c r="A206" s="7" t="inlineStr">
        <is>
          <t>PRJ026</t>
        </is>
      </c>
      <c r="B206" s="7">
        <f>IFERROR(VLOOKUP(A206,Projects!$A:$AK,2,FALSE()),"")</f>
        <v/>
      </c>
      <c r="C206" s="7">
        <f>IFERROR(VLOOKUP(A206,Projects!$A:$AK,14,FALSE()),"")</f>
        <v/>
      </c>
      <c r="D206" s="7" t="inlineStr">
        <is>
          <t>Build</t>
        </is>
      </c>
      <c r="E206" s="7">
        <f>IFERROR(INDEX(_Stages!$A$1:$A$8,MIN(MATCH(D206,_Stages!$A$1:$A$8,0)+1,8)),"")</f>
        <v/>
      </c>
      <c r="F206" s="7" t="inlineStr">
        <is>
          <t>Approved</t>
        </is>
      </c>
      <c r="G206" s="7" t="inlineStr">
        <is>
          <t>Complete</t>
        </is>
      </c>
      <c r="H206" s="7" t="inlineStr">
        <is>
          <t>COO</t>
        </is>
      </c>
      <c r="I206" s="8" t="n">
        <v>46156</v>
      </c>
      <c r="J206" s="8" t="n">
        <v>46160</v>
      </c>
      <c r="K206" s="7" t="inlineStr">
        <is>
          <t>Conditional</t>
        </is>
      </c>
      <c r="L206" s="7" t="inlineStr">
        <is>
          <t>On track</t>
        </is>
      </c>
      <c r="M206" s="7" t="n">
        <v>100</v>
      </c>
      <c r="N206" s="7" t="n">
        <v>4</v>
      </c>
      <c r="O206" s="7">
        <f>A206&amp;"|"&amp;D206</f>
        <v/>
      </c>
    </row>
    <row r="207" ht="15" customHeight="1" s="5">
      <c r="A207" s="7" t="inlineStr">
        <is>
          <t>PRJ026</t>
        </is>
      </c>
      <c r="B207" s="7">
        <f>IFERROR(VLOOKUP(A207,Projects!$A:$AK,2,FALSE()),"")</f>
        <v/>
      </c>
      <c r="C207" s="7">
        <f>IFERROR(VLOOKUP(A207,Projects!$A:$AK,14,FALSE()),"")</f>
        <v/>
      </c>
      <c r="D207" s="7" t="inlineStr">
        <is>
          <t>Testing</t>
        </is>
      </c>
      <c r="E207" s="7">
        <f>IFERROR(INDEX(_Stages!$A$1:$A$8,MIN(MATCH(D207,_Stages!$A$1:$A$8,0)+1,8)),"")</f>
        <v/>
      </c>
      <c r="F207" s="7" t="inlineStr">
        <is>
          <t>Pending Approval</t>
        </is>
      </c>
      <c r="G207" s="7" t="inlineStr">
        <is>
          <t>In Progress</t>
        </is>
      </c>
      <c r="H207" s="7" t="inlineStr">
        <is>
          <t>COO</t>
        </is>
      </c>
      <c r="I207" s="8" t="n">
        <v>46216</v>
      </c>
      <c r="M207" s="7" t="n">
        <v>73</v>
      </c>
      <c r="N207" s="7" t="n">
        <v>0</v>
      </c>
      <c r="O207" s="7">
        <f>A207&amp;"|"&amp;D207</f>
        <v/>
      </c>
    </row>
    <row r="208" ht="15" customHeight="1" s="5">
      <c r="A208" s="7" t="inlineStr">
        <is>
          <t>PRJ026</t>
        </is>
      </c>
      <c r="B208" s="7">
        <f>IFERROR(VLOOKUP(A208,Projects!$A:$AK,2,FALSE()),"")</f>
        <v/>
      </c>
      <c r="C208" s="7">
        <f>IFERROR(VLOOKUP(A208,Projects!$A:$AK,14,FALSE()),"")</f>
        <v/>
      </c>
      <c r="D208" s="7" t="inlineStr">
        <is>
          <t>Deployment</t>
        </is>
      </c>
      <c r="E208" s="7">
        <f>IFERROR(INDEX(_Stages!$A$1:$A$8,MIN(MATCH(D208,_Stages!$A$1:$A$8,0)+1,8)),"")</f>
        <v/>
      </c>
      <c r="F208" s="7" t="inlineStr">
        <is>
          <t>Not Started</t>
        </is>
      </c>
      <c r="G208" s="7" t="inlineStr">
        <is>
          <t>Not Started</t>
        </is>
      </c>
      <c r="H208" s="7" t="inlineStr">
        <is>
          <t>COO</t>
        </is>
      </c>
      <c r="I208" s="8" t="n">
        <v>46276</v>
      </c>
      <c r="M208" s="7" t="n">
        <v>0</v>
      </c>
      <c r="N208" s="7" t="n">
        <v>0</v>
      </c>
      <c r="O208" s="7">
        <f>A208&amp;"|"&amp;D208</f>
        <v/>
      </c>
    </row>
    <row r="209" ht="15" customHeight="1" s="5">
      <c r="A209" s="7" t="inlineStr">
        <is>
          <t>PRJ026</t>
        </is>
      </c>
      <c r="B209" s="7">
        <f>IFERROR(VLOOKUP(A209,Projects!$A:$AK,2,FALSE()),"")</f>
        <v/>
      </c>
      <c r="C209" s="7">
        <f>IFERROR(VLOOKUP(A209,Projects!$A:$AK,14,FALSE()),"")</f>
        <v/>
      </c>
      <c r="D209" s="7" t="inlineStr">
        <is>
          <t>Handover</t>
        </is>
      </c>
      <c r="E209" s="7">
        <f>IFERROR(INDEX(_Stages!$A$1:$A$8,MIN(MATCH(D209,_Stages!$A$1:$A$8,0)+1,8)),"")</f>
        <v/>
      </c>
      <c r="F209" s="7" t="inlineStr">
        <is>
          <t>Not Started</t>
        </is>
      </c>
      <c r="G209" s="7" t="inlineStr">
        <is>
          <t>Not Started</t>
        </is>
      </c>
      <c r="H209" s="7" t="inlineStr">
        <is>
          <t>COO</t>
        </is>
      </c>
      <c r="I209" s="8" t="n">
        <v>46336</v>
      </c>
      <c r="L209" s="7" t="inlineStr">
        <is>
          <t>Approved with conditions</t>
        </is>
      </c>
      <c r="M209" s="7" t="n">
        <v>0</v>
      </c>
      <c r="N209" s="7" t="n">
        <v>0</v>
      </c>
      <c r="O209" s="7">
        <f>A209&amp;"|"&amp;D209</f>
        <v/>
      </c>
    </row>
    <row r="210" ht="15" customHeight="1" s="5">
      <c r="A210" s="7" t="inlineStr">
        <is>
          <t>PRJ027</t>
        </is>
      </c>
      <c r="B210" s="7">
        <f>IFERROR(VLOOKUP(A210,Projects!$A:$AK,2,FALSE()),"")</f>
        <v/>
      </c>
      <c r="C210" s="7">
        <f>IFERROR(VLOOKUP(A210,Projects!$A:$AK,14,FALSE()),"")</f>
        <v/>
      </c>
      <c r="D210" s="7" t="inlineStr">
        <is>
          <t>Discovery</t>
        </is>
      </c>
      <c r="E210" s="7">
        <f>IFERROR(INDEX(_Stages!$A$1:$A$8,MIN(MATCH(D210,_Stages!$A$1:$A$8,0)+1,8)),"")</f>
        <v/>
      </c>
      <c r="F210" s="7" t="inlineStr">
        <is>
          <t>Approved</t>
        </is>
      </c>
      <c r="G210" s="7" t="inlineStr">
        <is>
          <t>Complete</t>
        </is>
      </c>
      <c r="H210" s="7" t="inlineStr">
        <is>
          <t>CMO</t>
        </is>
      </c>
      <c r="I210" s="8" t="n">
        <v>45776</v>
      </c>
      <c r="J210" s="8" t="n">
        <v>45783</v>
      </c>
      <c r="K210" s="7" t="inlineStr">
        <is>
          <t>Conditional</t>
        </is>
      </c>
      <c r="L210" s="7" t="inlineStr">
        <is>
          <t>Approved with conditions</t>
        </is>
      </c>
      <c r="M210" s="7" t="n">
        <v>100</v>
      </c>
      <c r="N210" s="7" t="n">
        <v>7</v>
      </c>
      <c r="O210" s="7">
        <f>A210&amp;"|"&amp;D210</f>
        <v/>
      </c>
    </row>
    <row r="211" ht="15" customHeight="1" s="5">
      <c r="A211" s="7" t="inlineStr">
        <is>
          <t>PRJ027</t>
        </is>
      </c>
      <c r="B211" s="7">
        <f>IFERROR(VLOOKUP(A211,Projects!$A:$AK,2,FALSE()),"")</f>
        <v/>
      </c>
      <c r="C211" s="7">
        <f>IFERROR(VLOOKUP(A211,Projects!$A:$AK,14,FALSE()),"")</f>
        <v/>
      </c>
      <c r="D211" s="7" t="inlineStr">
        <is>
          <t>Business Case / Seed Funding</t>
        </is>
      </c>
      <c r="E211" s="7">
        <f>IFERROR(INDEX(_Stages!$A$1:$A$8,MIN(MATCH(D211,_Stages!$A$1:$A$8,0)+1,8)),"")</f>
        <v/>
      </c>
      <c r="F211" s="7" t="inlineStr">
        <is>
          <t>Approved</t>
        </is>
      </c>
      <c r="G211" s="7" t="inlineStr">
        <is>
          <t>Complete</t>
        </is>
      </c>
      <c r="H211" s="7" t="inlineStr">
        <is>
          <t>CMO</t>
        </is>
      </c>
      <c r="I211" s="8" t="n">
        <v>45836</v>
      </c>
      <c r="J211" s="8" t="n">
        <v>45847</v>
      </c>
      <c r="K211" s="7" t="inlineStr">
        <is>
          <t>Held</t>
        </is>
      </c>
      <c r="L211" s="7" t="inlineStr">
        <is>
          <t>Approved with conditions</t>
        </is>
      </c>
      <c r="M211" s="7" t="n">
        <v>100</v>
      </c>
      <c r="N211" s="7" t="n">
        <v>11</v>
      </c>
      <c r="O211" s="7">
        <f>A211&amp;"|"&amp;D211</f>
        <v/>
      </c>
    </row>
    <row r="212" ht="15" customHeight="1" s="5">
      <c r="A212" s="7" t="inlineStr">
        <is>
          <t>PRJ027</t>
        </is>
      </c>
      <c r="B212" s="7">
        <f>IFERROR(VLOOKUP(A212,Projects!$A:$AK,2,FALSE()),"")</f>
        <v/>
      </c>
      <c r="C212" s="7">
        <f>IFERROR(VLOOKUP(A212,Projects!$A:$AK,14,FALSE()),"")</f>
        <v/>
      </c>
      <c r="D212" s="7" t="inlineStr">
        <is>
          <t>Design</t>
        </is>
      </c>
      <c r="E212" s="7">
        <f>IFERROR(INDEX(_Stages!$A$1:$A$8,MIN(MATCH(D212,_Stages!$A$1:$A$8,0)+1,8)),"")</f>
        <v/>
      </c>
      <c r="F212" s="7" t="inlineStr">
        <is>
          <t>Approved</t>
        </is>
      </c>
      <c r="G212" s="7" t="inlineStr">
        <is>
          <t>Complete</t>
        </is>
      </c>
      <c r="H212" s="7" t="inlineStr">
        <is>
          <t>CMO</t>
        </is>
      </c>
      <c r="I212" s="8" t="n">
        <v>45896</v>
      </c>
      <c r="J212" s="8" t="n">
        <v>45886</v>
      </c>
      <c r="K212" s="7" t="inlineStr">
        <is>
          <t>Proceed</t>
        </is>
      </c>
      <c r="L212" s="7" t="inlineStr">
        <is>
          <t>Approved with conditions</t>
        </is>
      </c>
      <c r="M212" s="7" t="n">
        <v>100</v>
      </c>
      <c r="N212" s="7" t="n">
        <v>0</v>
      </c>
      <c r="O212" s="7">
        <f>A212&amp;"|"&amp;D212</f>
        <v/>
      </c>
    </row>
    <row r="213" ht="15" customHeight="1" s="5">
      <c r="A213" s="7" t="inlineStr">
        <is>
          <t>PRJ027</t>
        </is>
      </c>
      <c r="B213" s="7">
        <f>IFERROR(VLOOKUP(A213,Projects!$A:$AK,2,FALSE()),"")</f>
        <v/>
      </c>
      <c r="C213" s="7">
        <f>IFERROR(VLOOKUP(A213,Projects!$A:$AK,14,FALSE()),"")</f>
        <v/>
      </c>
      <c r="D213" s="7" t="inlineStr">
        <is>
          <t>Business Case / Full Funding</t>
        </is>
      </c>
      <c r="E213" s="7">
        <f>IFERROR(INDEX(_Stages!$A$1:$A$8,MIN(MATCH(D213,_Stages!$A$1:$A$8,0)+1,8)),"")</f>
        <v/>
      </c>
      <c r="F213" s="7" t="inlineStr">
        <is>
          <t>Approved</t>
        </is>
      </c>
      <c r="G213" s="7" t="inlineStr">
        <is>
          <t>Complete</t>
        </is>
      </c>
      <c r="H213" s="7" t="inlineStr">
        <is>
          <t>CMO</t>
        </is>
      </c>
      <c r="I213" s="8" t="n">
        <v>45956</v>
      </c>
      <c r="J213" s="8" t="n">
        <v>45948</v>
      </c>
      <c r="K213" s="7" t="inlineStr">
        <is>
          <t>Held</t>
        </is>
      </c>
      <c r="L213" s="7" t="inlineStr">
        <is>
          <t>Awaiting sponsor sign-off</t>
        </is>
      </c>
      <c r="M213" s="7" t="n">
        <v>100</v>
      </c>
      <c r="N213" s="7" t="n">
        <v>0</v>
      </c>
      <c r="O213" s="7">
        <f>A213&amp;"|"&amp;D213</f>
        <v/>
      </c>
    </row>
    <row r="214" ht="15" customHeight="1" s="5">
      <c r="A214" s="7" t="inlineStr">
        <is>
          <t>PRJ027</t>
        </is>
      </c>
      <c r="B214" s="7">
        <f>IFERROR(VLOOKUP(A214,Projects!$A:$AK,2,FALSE()),"")</f>
        <v/>
      </c>
      <c r="C214" s="7">
        <f>IFERROR(VLOOKUP(A214,Projects!$A:$AK,14,FALSE()),"")</f>
        <v/>
      </c>
      <c r="D214" s="7" t="inlineStr">
        <is>
          <t>Build</t>
        </is>
      </c>
      <c r="E214" s="7">
        <f>IFERROR(INDEX(_Stages!$A$1:$A$8,MIN(MATCH(D214,_Stages!$A$1:$A$8,0)+1,8)),"")</f>
        <v/>
      </c>
      <c r="F214" s="7" t="inlineStr">
        <is>
          <t>Approved</t>
        </is>
      </c>
      <c r="G214" s="7" t="inlineStr">
        <is>
          <t>Complete</t>
        </is>
      </c>
      <c r="H214" s="7" t="inlineStr">
        <is>
          <t>CMO</t>
        </is>
      </c>
      <c r="I214" s="8" t="n">
        <v>46016</v>
      </c>
      <c r="J214" s="8" t="n">
        <v>46028</v>
      </c>
      <c r="K214" s="7" t="inlineStr">
        <is>
          <t>Rework</t>
        </is>
      </c>
      <c r="L214" s="7" t="inlineStr">
        <is>
          <t>Approved with conditions</t>
        </is>
      </c>
      <c r="M214" s="7" t="n">
        <v>100</v>
      </c>
      <c r="N214" s="7" t="n">
        <v>12</v>
      </c>
      <c r="O214" s="7">
        <f>A214&amp;"|"&amp;D214</f>
        <v/>
      </c>
    </row>
    <row r="215" ht="15" customHeight="1" s="5">
      <c r="A215" s="7" t="inlineStr">
        <is>
          <t>PRJ027</t>
        </is>
      </c>
      <c r="B215" s="7">
        <f>IFERROR(VLOOKUP(A215,Projects!$A:$AK,2,FALSE()),"")</f>
        <v/>
      </c>
      <c r="C215" s="7">
        <f>IFERROR(VLOOKUP(A215,Projects!$A:$AK,14,FALSE()),"")</f>
        <v/>
      </c>
      <c r="D215" s="7" t="inlineStr">
        <is>
          <t>Testing</t>
        </is>
      </c>
      <c r="E215" s="7">
        <f>IFERROR(INDEX(_Stages!$A$1:$A$8,MIN(MATCH(D215,_Stages!$A$1:$A$8,0)+1,8)),"")</f>
        <v/>
      </c>
      <c r="F215" s="7" t="inlineStr">
        <is>
          <t>Approved</t>
        </is>
      </c>
      <c r="G215" s="7" t="inlineStr">
        <is>
          <t>Complete</t>
        </is>
      </c>
      <c r="H215" s="7" t="inlineStr">
        <is>
          <t>CMO</t>
        </is>
      </c>
      <c r="I215" s="8" t="n">
        <v>46076</v>
      </c>
      <c r="J215" s="8" t="n">
        <v>46076</v>
      </c>
      <c r="K215" s="7" t="inlineStr">
        <is>
          <t>Rework</t>
        </is>
      </c>
      <c r="M215" s="7" t="n">
        <v>100</v>
      </c>
      <c r="N215" s="7" t="n">
        <v>0</v>
      </c>
      <c r="O215" s="7">
        <f>A215&amp;"|"&amp;D215</f>
        <v/>
      </c>
    </row>
    <row r="216" ht="15" customHeight="1" s="5">
      <c r="A216" s="7" t="inlineStr">
        <is>
          <t>PRJ027</t>
        </is>
      </c>
      <c r="B216" s="7">
        <f>IFERROR(VLOOKUP(A216,Projects!$A:$AK,2,FALSE()),"")</f>
        <v/>
      </c>
      <c r="C216" s="7">
        <f>IFERROR(VLOOKUP(A216,Projects!$A:$AK,14,FALSE()),"")</f>
        <v/>
      </c>
      <c r="D216" s="7" t="inlineStr">
        <is>
          <t>Deployment</t>
        </is>
      </c>
      <c r="E216" s="7">
        <f>IFERROR(INDEX(_Stages!$A$1:$A$8,MIN(MATCH(D216,_Stages!$A$1:$A$8,0)+1,8)),"")</f>
        <v/>
      </c>
      <c r="F216" s="7" t="inlineStr">
        <is>
          <t>Approved</t>
        </is>
      </c>
      <c r="G216" s="7" t="inlineStr">
        <is>
          <t>Complete</t>
        </is>
      </c>
      <c r="H216" s="7" t="inlineStr">
        <is>
          <t>CMO</t>
        </is>
      </c>
      <c r="I216" s="8" t="n">
        <v>46136</v>
      </c>
      <c r="J216" s="8" t="n">
        <v>46136</v>
      </c>
      <c r="K216" s="7" t="inlineStr">
        <is>
          <t>Rework</t>
        </is>
      </c>
      <c r="M216" s="7" t="n">
        <v>100</v>
      </c>
      <c r="N216" s="7" t="n">
        <v>0</v>
      </c>
      <c r="O216" s="7">
        <f>A216&amp;"|"&amp;D216</f>
        <v/>
      </c>
    </row>
    <row r="217" ht="15" customHeight="1" s="5">
      <c r="A217" s="7" t="inlineStr">
        <is>
          <t>PRJ027</t>
        </is>
      </c>
      <c r="B217" s="7">
        <f>IFERROR(VLOOKUP(A217,Projects!$A:$AK,2,FALSE()),"")</f>
        <v/>
      </c>
      <c r="C217" s="7">
        <f>IFERROR(VLOOKUP(A217,Projects!$A:$AK,14,FALSE()),"")</f>
        <v/>
      </c>
      <c r="D217" s="7" t="inlineStr">
        <is>
          <t>Handover</t>
        </is>
      </c>
      <c r="E217" s="7">
        <f>IFERROR(INDEX(_Stages!$A$1:$A$8,MIN(MATCH(D217,_Stages!$A$1:$A$8,0)+1,8)),"")</f>
        <v/>
      </c>
      <c r="F217" s="7" t="inlineStr">
        <is>
          <t>In Progress</t>
        </is>
      </c>
      <c r="G217" s="7" t="inlineStr">
        <is>
          <t>In Progress</t>
        </is>
      </c>
      <c r="H217" s="7" t="inlineStr">
        <is>
          <t>CMO</t>
        </is>
      </c>
      <c r="I217" s="8" t="n">
        <v>46196</v>
      </c>
      <c r="L217" s="7" t="inlineStr">
        <is>
          <t>Approved with conditions</t>
        </is>
      </c>
      <c r="M217" s="7" t="n">
        <v>73</v>
      </c>
      <c r="N217" s="7" t="n">
        <v>0</v>
      </c>
      <c r="O217" s="7">
        <f>A217&amp;"|"&amp;D217</f>
        <v/>
      </c>
    </row>
    <row r="218" ht="15" customHeight="1" s="5">
      <c r="A218" s="7" t="inlineStr">
        <is>
          <t>PRJ028</t>
        </is>
      </c>
      <c r="B218" s="7">
        <f>IFERROR(VLOOKUP(A218,Projects!$A:$AK,2,FALSE()),"")</f>
        <v/>
      </c>
      <c r="C218" s="7">
        <f>IFERROR(VLOOKUP(A218,Projects!$A:$AK,14,FALSE()),"")</f>
        <v/>
      </c>
      <c r="D218" s="7" t="inlineStr">
        <is>
          <t>Discovery</t>
        </is>
      </c>
      <c r="E218" s="7">
        <f>IFERROR(INDEX(_Stages!$A$1:$A$8,MIN(MATCH(D218,_Stages!$A$1:$A$8,0)+1,8)),"")</f>
        <v/>
      </c>
      <c r="F218" s="7" t="inlineStr">
        <is>
          <t>Approved</t>
        </is>
      </c>
      <c r="G218" s="7" t="inlineStr">
        <is>
          <t>Complete</t>
        </is>
      </c>
      <c r="H218" s="7" t="inlineStr">
        <is>
          <t>CTO</t>
        </is>
      </c>
      <c r="I218" s="8" t="n">
        <v>45661</v>
      </c>
      <c r="J218" s="8" t="n">
        <v>45671</v>
      </c>
      <c r="K218" s="7" t="inlineStr">
        <is>
          <t>Rework</t>
        </is>
      </c>
      <c r="M218" s="7" t="n">
        <v>100</v>
      </c>
      <c r="N218" s="7" t="n">
        <v>10</v>
      </c>
      <c r="O218" s="7">
        <f>A218&amp;"|"&amp;D218</f>
        <v/>
      </c>
    </row>
    <row r="219" ht="15" customHeight="1" s="5">
      <c r="A219" s="7" t="inlineStr">
        <is>
          <t>PRJ028</t>
        </is>
      </c>
      <c r="B219" s="7">
        <f>IFERROR(VLOOKUP(A219,Projects!$A:$AK,2,FALSE()),"")</f>
        <v/>
      </c>
      <c r="C219" s="7">
        <f>IFERROR(VLOOKUP(A219,Projects!$A:$AK,14,FALSE()),"")</f>
        <v/>
      </c>
      <c r="D219" s="7" t="inlineStr">
        <is>
          <t>Business Case / Seed Funding</t>
        </is>
      </c>
      <c r="E219" s="7">
        <f>IFERROR(INDEX(_Stages!$A$1:$A$8,MIN(MATCH(D219,_Stages!$A$1:$A$8,0)+1,8)),"")</f>
        <v/>
      </c>
      <c r="F219" s="7" t="inlineStr">
        <is>
          <t>Approved</t>
        </is>
      </c>
      <c r="G219" s="7" t="inlineStr">
        <is>
          <t>Complete</t>
        </is>
      </c>
      <c r="H219" s="7" t="inlineStr">
        <is>
          <t>CTO</t>
        </is>
      </c>
      <c r="I219" s="8" t="n">
        <v>45721</v>
      </c>
      <c r="J219" s="8" t="n">
        <v>45721</v>
      </c>
      <c r="K219" s="7" t="inlineStr">
        <is>
          <t>Held</t>
        </is>
      </c>
      <c r="L219" s="7" t="inlineStr">
        <is>
          <t>On track</t>
        </is>
      </c>
      <c r="M219" s="7" t="n">
        <v>100</v>
      </c>
      <c r="N219" s="7" t="n">
        <v>0</v>
      </c>
      <c r="O219" s="7">
        <f>A219&amp;"|"&amp;D219</f>
        <v/>
      </c>
    </row>
    <row r="220" ht="15" customHeight="1" s="5">
      <c r="A220" s="7" t="inlineStr">
        <is>
          <t>PRJ028</t>
        </is>
      </c>
      <c r="B220" s="7">
        <f>IFERROR(VLOOKUP(A220,Projects!$A:$AK,2,FALSE()),"")</f>
        <v/>
      </c>
      <c r="C220" s="7">
        <f>IFERROR(VLOOKUP(A220,Projects!$A:$AK,14,FALSE()),"")</f>
        <v/>
      </c>
      <c r="D220" s="7" t="inlineStr">
        <is>
          <t>Design</t>
        </is>
      </c>
      <c r="E220" s="7">
        <f>IFERROR(INDEX(_Stages!$A$1:$A$8,MIN(MATCH(D220,_Stages!$A$1:$A$8,0)+1,8)),"")</f>
        <v/>
      </c>
      <c r="F220" s="7" t="inlineStr">
        <is>
          <t>Approved</t>
        </is>
      </c>
      <c r="G220" s="7" t="inlineStr">
        <is>
          <t>Complete</t>
        </is>
      </c>
      <c r="H220" s="7" t="inlineStr">
        <is>
          <t>CTO</t>
        </is>
      </c>
      <c r="I220" s="8" t="n">
        <v>45781</v>
      </c>
      <c r="J220" s="8" t="n">
        <v>45773</v>
      </c>
      <c r="K220" s="7" t="inlineStr">
        <is>
          <t>Conditional</t>
        </is>
      </c>
      <c r="L220" s="7" t="inlineStr">
        <is>
          <t>On track</t>
        </is>
      </c>
      <c r="M220" s="7" t="n">
        <v>100</v>
      </c>
      <c r="N220" s="7" t="n">
        <v>0</v>
      </c>
      <c r="O220" s="7">
        <f>A220&amp;"|"&amp;D220</f>
        <v/>
      </c>
    </row>
    <row r="221" ht="15" customHeight="1" s="5">
      <c r="A221" s="7" t="inlineStr">
        <is>
          <t>PRJ028</t>
        </is>
      </c>
      <c r="B221" s="7">
        <f>IFERROR(VLOOKUP(A221,Projects!$A:$AK,2,FALSE()),"")</f>
        <v/>
      </c>
      <c r="C221" s="7">
        <f>IFERROR(VLOOKUP(A221,Projects!$A:$AK,14,FALSE()),"")</f>
        <v/>
      </c>
      <c r="D221" s="7" t="inlineStr">
        <is>
          <t>Business Case / Full Funding</t>
        </is>
      </c>
      <c r="E221" s="7">
        <f>IFERROR(INDEX(_Stages!$A$1:$A$8,MIN(MATCH(D221,_Stages!$A$1:$A$8,0)+1,8)),"")</f>
        <v/>
      </c>
      <c r="F221" s="7" t="inlineStr">
        <is>
          <t>Pending Approval</t>
        </is>
      </c>
      <c r="G221" s="7" t="inlineStr">
        <is>
          <t>In Progress</t>
        </is>
      </c>
      <c r="H221" s="7" t="inlineStr">
        <is>
          <t>CTO</t>
        </is>
      </c>
      <c r="I221" s="8" t="n">
        <v>45841</v>
      </c>
      <c r="M221" s="7" t="n">
        <v>63</v>
      </c>
      <c r="N221" s="7" t="n">
        <v>0</v>
      </c>
      <c r="O221" s="7">
        <f>A221&amp;"|"&amp;D221</f>
        <v/>
      </c>
    </row>
    <row r="222" ht="15" customHeight="1" s="5">
      <c r="A222" s="7" t="inlineStr">
        <is>
          <t>PRJ028</t>
        </is>
      </c>
      <c r="B222" s="7">
        <f>IFERROR(VLOOKUP(A222,Projects!$A:$AK,2,FALSE()),"")</f>
        <v/>
      </c>
      <c r="C222" s="7">
        <f>IFERROR(VLOOKUP(A222,Projects!$A:$AK,14,FALSE()),"")</f>
        <v/>
      </c>
      <c r="D222" s="7" t="inlineStr">
        <is>
          <t>Build</t>
        </is>
      </c>
      <c r="E222" s="7">
        <f>IFERROR(INDEX(_Stages!$A$1:$A$8,MIN(MATCH(D222,_Stages!$A$1:$A$8,0)+1,8)),"")</f>
        <v/>
      </c>
      <c r="F222" s="7" t="inlineStr">
        <is>
          <t>Not Started</t>
        </is>
      </c>
      <c r="G222" s="7" t="inlineStr">
        <is>
          <t>Not Started</t>
        </is>
      </c>
      <c r="H222" s="7" t="inlineStr">
        <is>
          <t>CTO</t>
        </is>
      </c>
      <c r="I222" s="8" t="n">
        <v>45901</v>
      </c>
      <c r="L222" s="7" t="inlineStr">
        <is>
          <t>Approved with conditions</t>
        </is>
      </c>
      <c r="M222" s="7" t="n">
        <v>0</v>
      </c>
      <c r="N222" s="7" t="n">
        <v>0</v>
      </c>
      <c r="O222" s="7">
        <f>A222&amp;"|"&amp;D222</f>
        <v/>
      </c>
    </row>
    <row r="223" ht="15" customHeight="1" s="5">
      <c r="A223" s="7" t="inlineStr">
        <is>
          <t>PRJ028</t>
        </is>
      </c>
      <c r="B223" s="7">
        <f>IFERROR(VLOOKUP(A223,Projects!$A:$AK,2,FALSE()),"")</f>
        <v/>
      </c>
      <c r="C223" s="7">
        <f>IFERROR(VLOOKUP(A223,Projects!$A:$AK,14,FALSE()),"")</f>
        <v/>
      </c>
      <c r="D223" s="7" t="inlineStr">
        <is>
          <t>Testing</t>
        </is>
      </c>
      <c r="E223" s="7">
        <f>IFERROR(INDEX(_Stages!$A$1:$A$8,MIN(MATCH(D223,_Stages!$A$1:$A$8,0)+1,8)),"")</f>
        <v/>
      </c>
      <c r="F223" s="7" t="inlineStr">
        <is>
          <t>Not Started</t>
        </is>
      </c>
      <c r="G223" s="7" t="inlineStr">
        <is>
          <t>Not Started</t>
        </is>
      </c>
      <c r="H223" s="7" t="inlineStr">
        <is>
          <t>CTO</t>
        </is>
      </c>
      <c r="I223" s="8" t="n">
        <v>45961</v>
      </c>
      <c r="L223" s="7" t="inlineStr">
        <is>
          <t>On track</t>
        </is>
      </c>
      <c r="M223" s="7" t="n">
        <v>0</v>
      </c>
      <c r="N223" s="7" t="n">
        <v>0</v>
      </c>
      <c r="O223" s="7">
        <f>A223&amp;"|"&amp;D223</f>
        <v/>
      </c>
    </row>
    <row r="224" ht="15" customHeight="1" s="5">
      <c r="A224" s="7" t="inlineStr">
        <is>
          <t>PRJ028</t>
        </is>
      </c>
      <c r="B224" s="7">
        <f>IFERROR(VLOOKUP(A224,Projects!$A:$AK,2,FALSE()),"")</f>
        <v/>
      </c>
      <c r="C224" s="7">
        <f>IFERROR(VLOOKUP(A224,Projects!$A:$AK,14,FALSE()),"")</f>
        <v/>
      </c>
      <c r="D224" s="7" t="inlineStr">
        <is>
          <t>Deployment</t>
        </is>
      </c>
      <c r="E224" s="7">
        <f>IFERROR(INDEX(_Stages!$A$1:$A$8,MIN(MATCH(D224,_Stages!$A$1:$A$8,0)+1,8)),"")</f>
        <v/>
      </c>
      <c r="F224" s="7" t="inlineStr">
        <is>
          <t>Not Started</t>
        </is>
      </c>
      <c r="G224" s="7" t="inlineStr">
        <is>
          <t>Not Started</t>
        </is>
      </c>
      <c r="H224" s="7" t="inlineStr">
        <is>
          <t>CTO</t>
        </is>
      </c>
      <c r="I224" s="8" t="n">
        <v>46021</v>
      </c>
      <c r="L224" s="7" t="inlineStr">
        <is>
          <t>Approved with conditions</t>
        </is>
      </c>
      <c r="M224" s="7" t="n">
        <v>0</v>
      </c>
      <c r="N224" s="7" t="n">
        <v>0</v>
      </c>
      <c r="O224" s="7">
        <f>A224&amp;"|"&amp;D224</f>
        <v/>
      </c>
    </row>
    <row r="225" ht="15" customHeight="1" s="5">
      <c r="A225" s="7" t="inlineStr">
        <is>
          <t>PRJ028</t>
        </is>
      </c>
      <c r="B225" s="7">
        <f>IFERROR(VLOOKUP(A225,Projects!$A:$AK,2,FALSE()),"")</f>
        <v/>
      </c>
      <c r="C225" s="7">
        <f>IFERROR(VLOOKUP(A225,Projects!$A:$AK,14,FALSE()),"")</f>
        <v/>
      </c>
      <c r="D225" s="7" t="inlineStr">
        <is>
          <t>Handover</t>
        </is>
      </c>
      <c r="E225" s="7">
        <f>IFERROR(INDEX(_Stages!$A$1:$A$8,MIN(MATCH(D225,_Stages!$A$1:$A$8,0)+1,8)),"")</f>
        <v/>
      </c>
      <c r="F225" s="7" t="inlineStr">
        <is>
          <t>Not Started</t>
        </is>
      </c>
      <c r="G225" s="7" t="inlineStr">
        <is>
          <t>Not Started</t>
        </is>
      </c>
      <c r="H225" s="7" t="inlineStr">
        <is>
          <t>CTO</t>
        </is>
      </c>
      <c r="I225" s="8" t="n">
        <v>46081</v>
      </c>
      <c r="M225" s="7" t="n">
        <v>0</v>
      </c>
      <c r="N225" s="7" t="n">
        <v>0</v>
      </c>
      <c r="O225" s="7">
        <f>A225&amp;"|"&amp;D225</f>
        <v/>
      </c>
    </row>
    <row r="226" ht="15" customHeight="1" s="5">
      <c r="A226" s="7" t="inlineStr">
        <is>
          <t>PRJ029</t>
        </is>
      </c>
      <c r="B226" s="7">
        <f>IFERROR(VLOOKUP(A226,Projects!$A:$AK,2,FALSE()),"")</f>
        <v/>
      </c>
      <c r="C226" s="7">
        <f>IFERROR(VLOOKUP(A226,Projects!$A:$AK,14,FALSE()),"")</f>
        <v/>
      </c>
      <c r="D226" s="7" t="inlineStr">
        <is>
          <t>Discovery</t>
        </is>
      </c>
      <c r="E226" s="7">
        <f>IFERROR(INDEX(_Stages!$A$1:$A$8,MIN(MATCH(D226,_Stages!$A$1:$A$8,0)+1,8)),"")</f>
        <v/>
      </c>
      <c r="F226" s="7" t="inlineStr">
        <is>
          <t>Pending Approval</t>
        </is>
      </c>
      <c r="G226" s="7" t="inlineStr">
        <is>
          <t>In Progress</t>
        </is>
      </c>
      <c r="H226" s="7" t="inlineStr">
        <is>
          <t>CIO</t>
        </is>
      </c>
      <c r="I226" s="8" t="n">
        <v>45976</v>
      </c>
      <c r="M226" s="7" t="n">
        <v>56</v>
      </c>
      <c r="N226" s="7" t="n">
        <v>0</v>
      </c>
      <c r="O226" s="7">
        <f>A226&amp;"|"&amp;D226</f>
        <v/>
      </c>
    </row>
    <row r="227" ht="15" customHeight="1" s="5">
      <c r="A227" s="7" t="inlineStr">
        <is>
          <t>PRJ029</t>
        </is>
      </c>
      <c r="B227" s="7">
        <f>IFERROR(VLOOKUP(A227,Projects!$A:$AK,2,FALSE()),"")</f>
        <v/>
      </c>
      <c r="C227" s="7">
        <f>IFERROR(VLOOKUP(A227,Projects!$A:$AK,14,FALSE()),"")</f>
        <v/>
      </c>
      <c r="D227" s="7" t="inlineStr">
        <is>
          <t>Business Case / Seed Funding</t>
        </is>
      </c>
      <c r="E227" s="7">
        <f>IFERROR(INDEX(_Stages!$A$1:$A$8,MIN(MATCH(D227,_Stages!$A$1:$A$8,0)+1,8)),"")</f>
        <v/>
      </c>
      <c r="F227" s="7" t="inlineStr">
        <is>
          <t>Not Started</t>
        </is>
      </c>
      <c r="G227" s="7" t="inlineStr">
        <is>
          <t>Not Started</t>
        </is>
      </c>
      <c r="H227" s="7" t="inlineStr">
        <is>
          <t>CIO</t>
        </is>
      </c>
      <c r="I227" s="8" t="n">
        <v>46036</v>
      </c>
      <c r="M227" s="7" t="n">
        <v>0</v>
      </c>
      <c r="N227" s="7" t="n">
        <v>0</v>
      </c>
      <c r="O227" s="7">
        <f>A227&amp;"|"&amp;D227</f>
        <v/>
      </c>
    </row>
    <row r="228" ht="15" customHeight="1" s="5">
      <c r="A228" s="7" t="inlineStr">
        <is>
          <t>PRJ029</t>
        </is>
      </c>
      <c r="B228" s="7">
        <f>IFERROR(VLOOKUP(A228,Projects!$A:$AK,2,FALSE()),"")</f>
        <v/>
      </c>
      <c r="C228" s="7">
        <f>IFERROR(VLOOKUP(A228,Projects!$A:$AK,14,FALSE()),"")</f>
        <v/>
      </c>
      <c r="D228" s="7" t="inlineStr">
        <is>
          <t>Design</t>
        </is>
      </c>
      <c r="E228" s="7">
        <f>IFERROR(INDEX(_Stages!$A$1:$A$8,MIN(MATCH(D228,_Stages!$A$1:$A$8,0)+1,8)),"")</f>
        <v/>
      </c>
      <c r="F228" s="7" t="inlineStr">
        <is>
          <t>Not Started</t>
        </is>
      </c>
      <c r="G228" s="7" t="inlineStr">
        <is>
          <t>Not Started</t>
        </is>
      </c>
      <c r="H228" s="7" t="inlineStr">
        <is>
          <t>CIO</t>
        </is>
      </c>
      <c r="I228" s="8" t="n">
        <v>46096</v>
      </c>
      <c r="L228" s="7" t="inlineStr">
        <is>
          <t>On track</t>
        </is>
      </c>
      <c r="M228" s="7" t="n">
        <v>0</v>
      </c>
      <c r="N228" s="7" t="n">
        <v>0</v>
      </c>
      <c r="O228" s="7">
        <f>A228&amp;"|"&amp;D228</f>
        <v/>
      </c>
    </row>
    <row r="229" ht="15" customHeight="1" s="5">
      <c r="A229" s="7" t="inlineStr">
        <is>
          <t>PRJ029</t>
        </is>
      </c>
      <c r="B229" s="7">
        <f>IFERROR(VLOOKUP(A229,Projects!$A:$AK,2,FALSE()),"")</f>
        <v/>
      </c>
      <c r="C229" s="7">
        <f>IFERROR(VLOOKUP(A229,Projects!$A:$AK,14,FALSE()),"")</f>
        <v/>
      </c>
      <c r="D229" s="7" t="inlineStr">
        <is>
          <t>Business Case / Full Funding</t>
        </is>
      </c>
      <c r="E229" s="7">
        <f>IFERROR(INDEX(_Stages!$A$1:$A$8,MIN(MATCH(D229,_Stages!$A$1:$A$8,0)+1,8)),"")</f>
        <v/>
      </c>
      <c r="F229" s="7" t="inlineStr">
        <is>
          <t>Not Started</t>
        </is>
      </c>
      <c r="G229" s="7" t="inlineStr">
        <is>
          <t>Not Started</t>
        </is>
      </c>
      <c r="H229" s="7" t="inlineStr">
        <is>
          <t>CIO</t>
        </is>
      </c>
      <c r="I229" s="8" t="n">
        <v>46156</v>
      </c>
      <c r="L229" s="7" t="inlineStr">
        <is>
          <t>Awaiting sponsor sign-off</t>
        </is>
      </c>
      <c r="M229" s="7" t="n">
        <v>0</v>
      </c>
      <c r="N229" s="7" t="n">
        <v>0</v>
      </c>
      <c r="O229" s="7">
        <f>A229&amp;"|"&amp;D229</f>
        <v/>
      </c>
    </row>
    <row r="230" ht="15" customHeight="1" s="5">
      <c r="A230" s="7" t="inlineStr">
        <is>
          <t>PRJ029</t>
        </is>
      </c>
      <c r="B230" s="7">
        <f>IFERROR(VLOOKUP(A230,Projects!$A:$AK,2,FALSE()),"")</f>
        <v/>
      </c>
      <c r="C230" s="7">
        <f>IFERROR(VLOOKUP(A230,Projects!$A:$AK,14,FALSE()),"")</f>
        <v/>
      </c>
      <c r="D230" s="7" t="inlineStr">
        <is>
          <t>Build</t>
        </is>
      </c>
      <c r="E230" s="7">
        <f>IFERROR(INDEX(_Stages!$A$1:$A$8,MIN(MATCH(D230,_Stages!$A$1:$A$8,0)+1,8)),"")</f>
        <v/>
      </c>
      <c r="F230" s="7" t="inlineStr">
        <is>
          <t>Not Started</t>
        </is>
      </c>
      <c r="G230" s="7" t="inlineStr">
        <is>
          <t>Not Started</t>
        </is>
      </c>
      <c r="H230" s="7" t="inlineStr">
        <is>
          <t>CIO</t>
        </is>
      </c>
      <c r="I230" s="8" t="n">
        <v>46216</v>
      </c>
      <c r="L230" s="7" t="inlineStr">
        <is>
          <t>On track</t>
        </is>
      </c>
      <c r="M230" s="7" t="n">
        <v>0</v>
      </c>
      <c r="N230" s="7" t="n">
        <v>0</v>
      </c>
      <c r="O230" s="7">
        <f>A230&amp;"|"&amp;D230</f>
        <v/>
      </c>
    </row>
    <row r="231" ht="15" customHeight="1" s="5">
      <c r="A231" s="7" t="inlineStr">
        <is>
          <t>PRJ029</t>
        </is>
      </c>
      <c r="B231" s="7">
        <f>IFERROR(VLOOKUP(A231,Projects!$A:$AK,2,FALSE()),"")</f>
        <v/>
      </c>
      <c r="C231" s="7">
        <f>IFERROR(VLOOKUP(A231,Projects!$A:$AK,14,FALSE()),"")</f>
        <v/>
      </c>
      <c r="D231" s="7" t="inlineStr">
        <is>
          <t>Testing</t>
        </is>
      </c>
      <c r="E231" s="7">
        <f>IFERROR(INDEX(_Stages!$A$1:$A$8,MIN(MATCH(D231,_Stages!$A$1:$A$8,0)+1,8)),"")</f>
        <v/>
      </c>
      <c r="F231" s="7" t="inlineStr">
        <is>
          <t>Not Started</t>
        </is>
      </c>
      <c r="G231" s="7" t="inlineStr">
        <is>
          <t>Not Started</t>
        </is>
      </c>
      <c r="H231" s="7" t="inlineStr">
        <is>
          <t>CIO</t>
        </is>
      </c>
      <c r="I231" s="8" t="n">
        <v>46276</v>
      </c>
      <c r="L231" s="7" t="inlineStr">
        <is>
          <t>On track</t>
        </is>
      </c>
      <c r="M231" s="7" t="n">
        <v>0</v>
      </c>
      <c r="N231" s="7" t="n">
        <v>0</v>
      </c>
      <c r="O231" s="7">
        <f>A231&amp;"|"&amp;D231</f>
        <v/>
      </c>
    </row>
    <row r="232" ht="15" customHeight="1" s="5">
      <c r="A232" s="7" t="inlineStr">
        <is>
          <t>PRJ029</t>
        </is>
      </c>
      <c r="B232" s="7">
        <f>IFERROR(VLOOKUP(A232,Projects!$A:$AK,2,FALSE()),"")</f>
        <v/>
      </c>
      <c r="C232" s="7">
        <f>IFERROR(VLOOKUP(A232,Projects!$A:$AK,14,FALSE()),"")</f>
        <v/>
      </c>
      <c r="D232" s="7" t="inlineStr">
        <is>
          <t>Deployment</t>
        </is>
      </c>
      <c r="E232" s="7">
        <f>IFERROR(INDEX(_Stages!$A$1:$A$8,MIN(MATCH(D232,_Stages!$A$1:$A$8,0)+1,8)),"")</f>
        <v/>
      </c>
      <c r="F232" s="7" t="inlineStr">
        <is>
          <t>Not Started</t>
        </is>
      </c>
      <c r="G232" s="7" t="inlineStr">
        <is>
          <t>Not Started</t>
        </is>
      </c>
      <c r="H232" s="7" t="inlineStr">
        <is>
          <t>CIO</t>
        </is>
      </c>
      <c r="I232" s="8" t="n">
        <v>46336</v>
      </c>
      <c r="L232" s="7" t="inlineStr">
        <is>
          <t>Approved with conditions</t>
        </is>
      </c>
      <c r="M232" s="7" t="n">
        <v>0</v>
      </c>
      <c r="N232" s="7" t="n">
        <v>0</v>
      </c>
      <c r="O232" s="7">
        <f>A232&amp;"|"&amp;D232</f>
        <v/>
      </c>
    </row>
    <row r="233" ht="15" customHeight="1" s="5">
      <c r="A233" s="7" t="inlineStr">
        <is>
          <t>PRJ029</t>
        </is>
      </c>
      <c r="B233" s="7">
        <f>IFERROR(VLOOKUP(A233,Projects!$A:$AK,2,FALSE()),"")</f>
        <v/>
      </c>
      <c r="C233" s="7">
        <f>IFERROR(VLOOKUP(A233,Projects!$A:$AK,14,FALSE()),"")</f>
        <v/>
      </c>
      <c r="D233" s="7" t="inlineStr">
        <is>
          <t>Handover</t>
        </is>
      </c>
      <c r="E233" s="7">
        <f>IFERROR(INDEX(_Stages!$A$1:$A$8,MIN(MATCH(D233,_Stages!$A$1:$A$8,0)+1,8)),"")</f>
        <v/>
      </c>
      <c r="F233" s="7" t="inlineStr">
        <is>
          <t>Not Started</t>
        </is>
      </c>
      <c r="G233" s="7" t="inlineStr">
        <is>
          <t>Not Started</t>
        </is>
      </c>
      <c r="H233" s="7" t="inlineStr">
        <is>
          <t>CIO</t>
        </is>
      </c>
      <c r="I233" s="8" t="n">
        <v>46396</v>
      </c>
      <c r="M233" s="7" t="n">
        <v>0</v>
      </c>
      <c r="N233" s="7" t="n">
        <v>0</v>
      </c>
      <c r="O233" s="7">
        <f>A233&amp;"|"&amp;D233</f>
        <v/>
      </c>
    </row>
    <row r="234" ht="15" customHeight="1" s="5">
      <c r="A234" s="7" t="inlineStr">
        <is>
          <t>PRJ030</t>
        </is>
      </c>
      <c r="B234" s="7">
        <f>IFERROR(VLOOKUP(A234,Projects!$A:$AK,2,FALSE()),"")</f>
        <v/>
      </c>
      <c r="C234" s="7">
        <f>IFERROR(VLOOKUP(A234,Projects!$A:$AK,14,FALSE()),"")</f>
        <v/>
      </c>
      <c r="D234" s="7" t="inlineStr">
        <is>
          <t>Discovery</t>
        </is>
      </c>
      <c r="E234" s="7">
        <f>IFERROR(INDEX(_Stages!$A$1:$A$8,MIN(MATCH(D234,_Stages!$A$1:$A$8,0)+1,8)),"")</f>
        <v/>
      </c>
      <c r="F234" s="7" t="inlineStr">
        <is>
          <t>Approved</t>
        </is>
      </c>
      <c r="G234" s="7" t="inlineStr">
        <is>
          <t>Complete</t>
        </is>
      </c>
      <c r="H234" s="7" t="inlineStr">
        <is>
          <t>COO</t>
        </is>
      </c>
      <c r="I234" s="8" t="n">
        <v>45787</v>
      </c>
      <c r="J234" s="8" t="n">
        <v>45777</v>
      </c>
      <c r="K234" s="7" t="inlineStr">
        <is>
          <t>Conditional</t>
        </is>
      </c>
      <c r="L234" s="7" t="inlineStr">
        <is>
          <t>Approved with conditions</t>
        </is>
      </c>
      <c r="M234" s="7" t="n">
        <v>100</v>
      </c>
      <c r="N234" s="7" t="n">
        <v>0</v>
      </c>
      <c r="O234" s="7">
        <f>A234&amp;"|"&amp;D234</f>
        <v/>
      </c>
    </row>
    <row r="235" ht="15" customHeight="1" s="5">
      <c r="A235" s="7" t="inlineStr">
        <is>
          <t>PRJ030</t>
        </is>
      </c>
      <c r="B235" s="7">
        <f>IFERROR(VLOOKUP(A235,Projects!$A:$AK,2,FALSE()),"")</f>
        <v/>
      </c>
      <c r="C235" s="7">
        <f>IFERROR(VLOOKUP(A235,Projects!$A:$AK,14,FALSE()),"")</f>
        <v/>
      </c>
      <c r="D235" s="7" t="inlineStr">
        <is>
          <t>Business Case / Seed Funding</t>
        </is>
      </c>
      <c r="E235" s="7">
        <f>IFERROR(INDEX(_Stages!$A$1:$A$8,MIN(MATCH(D235,_Stages!$A$1:$A$8,0)+1,8)),"")</f>
        <v/>
      </c>
      <c r="F235" s="7" t="inlineStr">
        <is>
          <t>Approved</t>
        </is>
      </c>
      <c r="G235" s="7" t="inlineStr">
        <is>
          <t>Complete</t>
        </is>
      </c>
      <c r="H235" s="7" t="inlineStr">
        <is>
          <t>COO</t>
        </is>
      </c>
      <c r="I235" s="8" t="n">
        <v>45847</v>
      </c>
      <c r="J235" s="8" t="n">
        <v>45866</v>
      </c>
      <c r="K235" s="7" t="inlineStr">
        <is>
          <t>Rework</t>
        </is>
      </c>
      <c r="L235" s="7" t="inlineStr">
        <is>
          <t>On track</t>
        </is>
      </c>
      <c r="M235" s="7" t="n">
        <v>100</v>
      </c>
      <c r="N235" s="7" t="n">
        <v>19</v>
      </c>
      <c r="O235" s="7">
        <f>A235&amp;"|"&amp;D235</f>
        <v/>
      </c>
    </row>
    <row r="236" ht="15" customHeight="1" s="5">
      <c r="A236" s="7" t="inlineStr">
        <is>
          <t>PRJ030</t>
        </is>
      </c>
      <c r="B236" s="7">
        <f>IFERROR(VLOOKUP(A236,Projects!$A:$AK,2,FALSE()),"")</f>
        <v/>
      </c>
      <c r="C236" s="7">
        <f>IFERROR(VLOOKUP(A236,Projects!$A:$AK,14,FALSE()),"")</f>
        <v/>
      </c>
      <c r="D236" s="7" t="inlineStr">
        <is>
          <t>Design</t>
        </is>
      </c>
      <c r="E236" s="7">
        <f>IFERROR(INDEX(_Stages!$A$1:$A$8,MIN(MATCH(D236,_Stages!$A$1:$A$8,0)+1,8)),"")</f>
        <v/>
      </c>
      <c r="F236" s="7" t="inlineStr">
        <is>
          <t>Approved</t>
        </is>
      </c>
      <c r="G236" s="7" t="inlineStr">
        <is>
          <t>Complete</t>
        </is>
      </c>
      <c r="H236" s="7" t="inlineStr">
        <is>
          <t>COO</t>
        </is>
      </c>
      <c r="I236" s="8" t="n">
        <v>45907</v>
      </c>
      <c r="J236" s="8" t="n">
        <v>45929</v>
      </c>
      <c r="K236" s="7" t="inlineStr">
        <is>
          <t>Proceed</t>
        </is>
      </c>
      <c r="L236" s="7" t="inlineStr">
        <is>
          <t>Awaiting sponsor sign-off</t>
        </is>
      </c>
      <c r="M236" s="7" t="n">
        <v>100</v>
      </c>
      <c r="N236" s="7" t="n">
        <v>22</v>
      </c>
      <c r="O236" s="7">
        <f>A236&amp;"|"&amp;D236</f>
        <v/>
      </c>
    </row>
    <row r="237" ht="15" customHeight="1" s="5">
      <c r="A237" s="7" t="inlineStr">
        <is>
          <t>PRJ030</t>
        </is>
      </c>
      <c r="B237" s="7">
        <f>IFERROR(VLOOKUP(A237,Projects!$A:$AK,2,FALSE()),"")</f>
        <v/>
      </c>
      <c r="C237" s="7">
        <f>IFERROR(VLOOKUP(A237,Projects!$A:$AK,14,FALSE()),"")</f>
        <v/>
      </c>
      <c r="D237" s="7" t="inlineStr">
        <is>
          <t>Business Case / Full Funding</t>
        </is>
      </c>
      <c r="E237" s="7">
        <f>IFERROR(INDEX(_Stages!$A$1:$A$8,MIN(MATCH(D237,_Stages!$A$1:$A$8,0)+1,8)),"")</f>
        <v/>
      </c>
      <c r="F237" s="7" t="inlineStr">
        <is>
          <t>Approved</t>
        </is>
      </c>
      <c r="G237" s="7" t="inlineStr">
        <is>
          <t>Complete</t>
        </is>
      </c>
      <c r="H237" s="7" t="inlineStr">
        <is>
          <t>COO</t>
        </is>
      </c>
      <c r="I237" s="8" t="n">
        <v>45967</v>
      </c>
      <c r="J237" s="8" t="n">
        <v>45996</v>
      </c>
      <c r="K237" s="7" t="inlineStr">
        <is>
          <t>Held</t>
        </is>
      </c>
      <c r="L237" s="7" t="inlineStr">
        <is>
          <t>Approved with conditions</t>
        </is>
      </c>
      <c r="M237" s="7" t="n">
        <v>100</v>
      </c>
      <c r="N237" s="7" t="n">
        <v>29</v>
      </c>
      <c r="O237" s="7">
        <f>A237&amp;"|"&amp;D237</f>
        <v/>
      </c>
    </row>
    <row r="238" ht="15" customHeight="1" s="5">
      <c r="A238" s="7" t="inlineStr">
        <is>
          <t>PRJ030</t>
        </is>
      </c>
      <c r="B238" s="7">
        <f>IFERROR(VLOOKUP(A238,Projects!$A:$AK,2,FALSE()),"")</f>
        <v/>
      </c>
      <c r="C238" s="7">
        <f>IFERROR(VLOOKUP(A238,Projects!$A:$AK,14,FALSE()),"")</f>
        <v/>
      </c>
      <c r="D238" s="7" t="inlineStr">
        <is>
          <t>Build</t>
        </is>
      </c>
      <c r="E238" s="7">
        <f>IFERROR(INDEX(_Stages!$A$1:$A$8,MIN(MATCH(D238,_Stages!$A$1:$A$8,0)+1,8)),"")</f>
        <v/>
      </c>
      <c r="F238" s="7" t="inlineStr">
        <is>
          <t>Pending Approval</t>
        </is>
      </c>
      <c r="G238" s="7" t="inlineStr">
        <is>
          <t>In Progress</t>
        </is>
      </c>
      <c r="H238" s="7" t="inlineStr">
        <is>
          <t>COO</t>
        </is>
      </c>
      <c r="I238" s="8" t="n">
        <v>46027</v>
      </c>
      <c r="M238" s="7" t="n">
        <v>67</v>
      </c>
      <c r="N238" s="7" t="n">
        <v>0</v>
      </c>
      <c r="O238" s="7">
        <f>A238&amp;"|"&amp;D238</f>
        <v/>
      </c>
    </row>
    <row r="239" ht="15" customHeight="1" s="5">
      <c r="A239" s="7" t="inlineStr">
        <is>
          <t>PRJ030</t>
        </is>
      </c>
      <c r="B239" s="7">
        <f>IFERROR(VLOOKUP(A239,Projects!$A:$AK,2,FALSE()),"")</f>
        <v/>
      </c>
      <c r="C239" s="7">
        <f>IFERROR(VLOOKUP(A239,Projects!$A:$AK,14,FALSE()),"")</f>
        <v/>
      </c>
      <c r="D239" s="7" t="inlineStr">
        <is>
          <t>Testing</t>
        </is>
      </c>
      <c r="E239" s="7">
        <f>IFERROR(INDEX(_Stages!$A$1:$A$8,MIN(MATCH(D239,_Stages!$A$1:$A$8,0)+1,8)),"")</f>
        <v/>
      </c>
      <c r="F239" s="7" t="inlineStr">
        <is>
          <t>Not Started</t>
        </is>
      </c>
      <c r="G239" s="7" t="inlineStr">
        <is>
          <t>Not Started</t>
        </is>
      </c>
      <c r="H239" s="7" t="inlineStr">
        <is>
          <t>COO</t>
        </is>
      </c>
      <c r="I239" s="8" t="n">
        <v>46087</v>
      </c>
      <c r="L239" s="7" t="inlineStr">
        <is>
          <t>On track</t>
        </is>
      </c>
      <c r="M239" s="7" t="n">
        <v>0</v>
      </c>
      <c r="N239" s="7" t="n">
        <v>0</v>
      </c>
      <c r="O239" s="7">
        <f>A239&amp;"|"&amp;D239</f>
        <v/>
      </c>
    </row>
    <row r="240" ht="15" customHeight="1" s="5">
      <c r="A240" s="7" t="inlineStr">
        <is>
          <t>PRJ030</t>
        </is>
      </c>
      <c r="B240" s="7">
        <f>IFERROR(VLOOKUP(A240,Projects!$A:$AK,2,FALSE()),"")</f>
        <v/>
      </c>
      <c r="C240" s="7">
        <f>IFERROR(VLOOKUP(A240,Projects!$A:$AK,14,FALSE()),"")</f>
        <v/>
      </c>
      <c r="D240" s="7" t="inlineStr">
        <is>
          <t>Deployment</t>
        </is>
      </c>
      <c r="E240" s="7">
        <f>IFERROR(INDEX(_Stages!$A$1:$A$8,MIN(MATCH(D240,_Stages!$A$1:$A$8,0)+1,8)),"")</f>
        <v/>
      </c>
      <c r="F240" s="7" t="inlineStr">
        <is>
          <t>Not Started</t>
        </is>
      </c>
      <c r="G240" s="7" t="inlineStr">
        <is>
          <t>Not Started</t>
        </is>
      </c>
      <c r="H240" s="7" t="inlineStr">
        <is>
          <t>COO</t>
        </is>
      </c>
      <c r="I240" s="8" t="n">
        <v>46147</v>
      </c>
      <c r="M240" s="7" t="n">
        <v>0</v>
      </c>
      <c r="N240" s="7" t="n">
        <v>0</v>
      </c>
      <c r="O240" s="7">
        <f>A240&amp;"|"&amp;D240</f>
        <v/>
      </c>
    </row>
    <row r="241" ht="15" customHeight="1" s="5">
      <c r="A241" s="7" t="inlineStr">
        <is>
          <t>PRJ030</t>
        </is>
      </c>
      <c r="B241" s="7">
        <f>IFERROR(VLOOKUP(A241,Projects!$A:$AK,2,FALSE()),"")</f>
        <v/>
      </c>
      <c r="C241" s="7">
        <f>IFERROR(VLOOKUP(A241,Projects!$A:$AK,14,FALSE()),"")</f>
        <v/>
      </c>
      <c r="D241" s="7" t="inlineStr">
        <is>
          <t>Handover</t>
        </is>
      </c>
      <c r="E241" s="7">
        <f>IFERROR(INDEX(_Stages!$A$1:$A$8,MIN(MATCH(D241,_Stages!$A$1:$A$8,0)+1,8)),"")</f>
        <v/>
      </c>
      <c r="F241" s="7" t="inlineStr">
        <is>
          <t>Not Started</t>
        </is>
      </c>
      <c r="G241" s="7" t="inlineStr">
        <is>
          <t>Not Started</t>
        </is>
      </c>
      <c r="H241" s="7" t="inlineStr">
        <is>
          <t>COO</t>
        </is>
      </c>
      <c r="I241" s="8" t="n">
        <v>46207</v>
      </c>
      <c r="L241" s="7" t="inlineStr">
        <is>
          <t>Approved with conditions</t>
        </is>
      </c>
      <c r="M241" s="7" t="n">
        <v>0</v>
      </c>
      <c r="N241" s="7" t="n">
        <v>0</v>
      </c>
      <c r="O241" s="7">
        <f>A241&amp;"|"&amp;D241</f>
        <v/>
      </c>
    </row>
    <row r="242" ht="15" customHeight="1" s="5">
      <c r="A242" s="7" t="inlineStr">
        <is>
          <t>PRJ031</t>
        </is>
      </c>
      <c r="B242" s="7">
        <f>IFERROR(VLOOKUP(A242,Projects!$A:$AK,2,FALSE()),"")</f>
        <v/>
      </c>
      <c r="C242" s="7">
        <f>IFERROR(VLOOKUP(A242,Projects!$A:$AK,14,FALSE()),"")</f>
        <v/>
      </c>
      <c r="D242" s="7" t="inlineStr">
        <is>
          <t>Discovery</t>
        </is>
      </c>
      <c r="E242" s="7">
        <f>IFERROR(INDEX(_Stages!$A$1:$A$8,MIN(MATCH(D242,_Stages!$A$1:$A$8,0)+1,8)),"")</f>
        <v/>
      </c>
      <c r="F242" s="7" t="inlineStr">
        <is>
          <t>Approved</t>
        </is>
      </c>
      <c r="G242" s="7" t="inlineStr">
        <is>
          <t>Complete</t>
        </is>
      </c>
      <c r="H242" s="7" t="inlineStr">
        <is>
          <t>CIO</t>
        </is>
      </c>
      <c r="I242" s="8" t="n">
        <v>45896</v>
      </c>
      <c r="J242" s="8" t="n">
        <v>45881</v>
      </c>
      <c r="K242" s="7" t="inlineStr">
        <is>
          <t>Conditional</t>
        </is>
      </c>
      <c r="M242" s="7" t="n">
        <v>100</v>
      </c>
      <c r="N242" s="7" t="n">
        <v>0</v>
      </c>
      <c r="O242" s="7">
        <f>A242&amp;"|"&amp;D242</f>
        <v/>
      </c>
    </row>
    <row r="243" ht="15" customHeight="1" s="5">
      <c r="A243" s="7" t="inlineStr">
        <is>
          <t>PRJ031</t>
        </is>
      </c>
      <c r="B243" s="7">
        <f>IFERROR(VLOOKUP(A243,Projects!$A:$AK,2,FALSE()),"")</f>
        <v/>
      </c>
      <c r="C243" s="7">
        <f>IFERROR(VLOOKUP(A243,Projects!$A:$AK,14,FALSE()),"")</f>
        <v/>
      </c>
      <c r="D243" s="7" t="inlineStr">
        <is>
          <t>Business Case / Seed Funding</t>
        </is>
      </c>
      <c r="E243" s="7">
        <f>IFERROR(INDEX(_Stages!$A$1:$A$8,MIN(MATCH(D243,_Stages!$A$1:$A$8,0)+1,8)),"")</f>
        <v/>
      </c>
      <c r="F243" s="7" t="inlineStr">
        <is>
          <t>In Progress</t>
        </is>
      </c>
      <c r="G243" s="7" t="inlineStr">
        <is>
          <t>In Progress</t>
        </is>
      </c>
      <c r="H243" s="7" t="inlineStr">
        <is>
          <t>CIO</t>
        </is>
      </c>
      <c r="I243" s="8" t="n">
        <v>45956</v>
      </c>
      <c r="L243" s="7" t="inlineStr">
        <is>
          <t>Awaiting sponsor sign-off</t>
        </is>
      </c>
      <c r="M243" s="7" t="n">
        <v>73</v>
      </c>
      <c r="N243" s="7" t="n">
        <v>0</v>
      </c>
      <c r="O243" s="7">
        <f>A243&amp;"|"&amp;D243</f>
        <v/>
      </c>
    </row>
    <row r="244" ht="15" customHeight="1" s="5">
      <c r="A244" s="7" t="inlineStr">
        <is>
          <t>PRJ031</t>
        </is>
      </c>
      <c r="B244" s="7">
        <f>IFERROR(VLOOKUP(A244,Projects!$A:$AK,2,FALSE()),"")</f>
        <v/>
      </c>
      <c r="C244" s="7">
        <f>IFERROR(VLOOKUP(A244,Projects!$A:$AK,14,FALSE()),"")</f>
        <v/>
      </c>
      <c r="D244" s="7" t="inlineStr">
        <is>
          <t>Design</t>
        </is>
      </c>
      <c r="E244" s="7">
        <f>IFERROR(INDEX(_Stages!$A$1:$A$8,MIN(MATCH(D244,_Stages!$A$1:$A$8,0)+1,8)),"")</f>
        <v/>
      </c>
      <c r="F244" s="7" t="inlineStr">
        <is>
          <t>Not Started</t>
        </is>
      </c>
      <c r="G244" s="7" t="inlineStr">
        <is>
          <t>Not Started</t>
        </is>
      </c>
      <c r="H244" s="7" t="inlineStr">
        <is>
          <t>CIO</t>
        </is>
      </c>
      <c r="I244" s="8" t="n">
        <v>46016</v>
      </c>
      <c r="L244" s="7" t="inlineStr">
        <is>
          <t>Awaiting sponsor sign-off</t>
        </is>
      </c>
      <c r="M244" s="7" t="n">
        <v>0</v>
      </c>
      <c r="N244" s="7" t="n">
        <v>0</v>
      </c>
      <c r="O244" s="7">
        <f>A244&amp;"|"&amp;D244</f>
        <v/>
      </c>
    </row>
    <row r="245" ht="15" customHeight="1" s="5">
      <c r="A245" s="7" t="inlineStr">
        <is>
          <t>PRJ031</t>
        </is>
      </c>
      <c r="B245" s="7">
        <f>IFERROR(VLOOKUP(A245,Projects!$A:$AK,2,FALSE()),"")</f>
        <v/>
      </c>
      <c r="C245" s="7">
        <f>IFERROR(VLOOKUP(A245,Projects!$A:$AK,14,FALSE()),"")</f>
        <v/>
      </c>
      <c r="D245" s="7" t="inlineStr">
        <is>
          <t>Business Case / Full Funding</t>
        </is>
      </c>
      <c r="E245" s="7">
        <f>IFERROR(INDEX(_Stages!$A$1:$A$8,MIN(MATCH(D245,_Stages!$A$1:$A$8,0)+1,8)),"")</f>
        <v/>
      </c>
      <c r="F245" s="7" t="inlineStr">
        <is>
          <t>Not Started</t>
        </is>
      </c>
      <c r="G245" s="7" t="inlineStr">
        <is>
          <t>Not Started</t>
        </is>
      </c>
      <c r="H245" s="7" t="inlineStr">
        <is>
          <t>CIO</t>
        </is>
      </c>
      <c r="I245" s="8" t="n">
        <v>46076</v>
      </c>
      <c r="L245" s="7" t="inlineStr">
        <is>
          <t>Awaiting sponsor sign-off</t>
        </is>
      </c>
      <c r="M245" s="7" t="n">
        <v>0</v>
      </c>
      <c r="N245" s="7" t="n">
        <v>0</v>
      </c>
      <c r="O245" s="7">
        <f>A245&amp;"|"&amp;D245</f>
        <v/>
      </c>
    </row>
    <row r="246" ht="15" customHeight="1" s="5">
      <c r="A246" s="7" t="inlineStr">
        <is>
          <t>PRJ031</t>
        </is>
      </c>
      <c r="B246" s="7">
        <f>IFERROR(VLOOKUP(A246,Projects!$A:$AK,2,FALSE()),"")</f>
        <v/>
      </c>
      <c r="C246" s="7">
        <f>IFERROR(VLOOKUP(A246,Projects!$A:$AK,14,FALSE()),"")</f>
        <v/>
      </c>
      <c r="D246" s="7" t="inlineStr">
        <is>
          <t>Build</t>
        </is>
      </c>
      <c r="E246" s="7">
        <f>IFERROR(INDEX(_Stages!$A$1:$A$8,MIN(MATCH(D246,_Stages!$A$1:$A$8,0)+1,8)),"")</f>
        <v/>
      </c>
      <c r="F246" s="7" t="inlineStr">
        <is>
          <t>Not Started</t>
        </is>
      </c>
      <c r="G246" s="7" t="inlineStr">
        <is>
          <t>Not Started</t>
        </is>
      </c>
      <c r="H246" s="7" t="inlineStr">
        <is>
          <t>CIO</t>
        </is>
      </c>
      <c r="I246" s="8" t="n">
        <v>46136</v>
      </c>
      <c r="L246" s="7" t="inlineStr">
        <is>
          <t>Awaiting sponsor sign-off</t>
        </is>
      </c>
      <c r="M246" s="7" t="n">
        <v>0</v>
      </c>
      <c r="N246" s="7" t="n">
        <v>0</v>
      </c>
      <c r="O246" s="7">
        <f>A246&amp;"|"&amp;D246</f>
        <v/>
      </c>
    </row>
    <row r="247" ht="15" customHeight="1" s="5">
      <c r="A247" s="7" t="inlineStr">
        <is>
          <t>PRJ031</t>
        </is>
      </c>
      <c r="B247" s="7">
        <f>IFERROR(VLOOKUP(A247,Projects!$A:$AK,2,FALSE()),"")</f>
        <v/>
      </c>
      <c r="C247" s="7">
        <f>IFERROR(VLOOKUP(A247,Projects!$A:$AK,14,FALSE()),"")</f>
        <v/>
      </c>
      <c r="D247" s="7" t="inlineStr">
        <is>
          <t>Testing</t>
        </is>
      </c>
      <c r="E247" s="7">
        <f>IFERROR(INDEX(_Stages!$A$1:$A$8,MIN(MATCH(D247,_Stages!$A$1:$A$8,0)+1,8)),"")</f>
        <v/>
      </c>
      <c r="F247" s="7" t="inlineStr">
        <is>
          <t>Not Started</t>
        </is>
      </c>
      <c r="G247" s="7" t="inlineStr">
        <is>
          <t>Not Started</t>
        </is>
      </c>
      <c r="H247" s="7" t="inlineStr">
        <is>
          <t>CIO</t>
        </is>
      </c>
      <c r="I247" s="8" t="n">
        <v>46196</v>
      </c>
      <c r="M247" s="7" t="n">
        <v>0</v>
      </c>
      <c r="N247" s="7" t="n">
        <v>0</v>
      </c>
      <c r="O247" s="7">
        <f>A247&amp;"|"&amp;D247</f>
        <v/>
      </c>
    </row>
    <row r="248" ht="15" customHeight="1" s="5">
      <c r="A248" s="7" t="inlineStr">
        <is>
          <t>PRJ031</t>
        </is>
      </c>
      <c r="B248" s="7">
        <f>IFERROR(VLOOKUP(A248,Projects!$A:$AK,2,FALSE()),"")</f>
        <v/>
      </c>
      <c r="C248" s="7">
        <f>IFERROR(VLOOKUP(A248,Projects!$A:$AK,14,FALSE()),"")</f>
        <v/>
      </c>
      <c r="D248" s="7" t="inlineStr">
        <is>
          <t>Deployment</t>
        </is>
      </c>
      <c r="E248" s="7">
        <f>IFERROR(INDEX(_Stages!$A$1:$A$8,MIN(MATCH(D248,_Stages!$A$1:$A$8,0)+1,8)),"")</f>
        <v/>
      </c>
      <c r="F248" s="7" t="inlineStr">
        <is>
          <t>Not Started</t>
        </is>
      </c>
      <c r="G248" s="7" t="inlineStr">
        <is>
          <t>Not Started</t>
        </is>
      </c>
      <c r="H248" s="7" t="inlineStr">
        <is>
          <t>CIO</t>
        </is>
      </c>
      <c r="I248" s="8" t="n">
        <v>46256</v>
      </c>
      <c r="L248" s="7" t="inlineStr">
        <is>
          <t>On track</t>
        </is>
      </c>
      <c r="M248" s="7" t="n">
        <v>0</v>
      </c>
      <c r="N248" s="7" t="n">
        <v>0</v>
      </c>
      <c r="O248" s="7">
        <f>A248&amp;"|"&amp;D248</f>
        <v/>
      </c>
    </row>
    <row r="249" ht="15" customHeight="1" s="5">
      <c r="A249" s="7" t="inlineStr">
        <is>
          <t>PRJ031</t>
        </is>
      </c>
      <c r="B249" s="7">
        <f>IFERROR(VLOOKUP(A249,Projects!$A:$AK,2,FALSE()),"")</f>
        <v/>
      </c>
      <c r="C249" s="7">
        <f>IFERROR(VLOOKUP(A249,Projects!$A:$AK,14,FALSE()),"")</f>
        <v/>
      </c>
      <c r="D249" s="7" t="inlineStr">
        <is>
          <t>Handover</t>
        </is>
      </c>
      <c r="E249" s="7">
        <f>IFERROR(INDEX(_Stages!$A$1:$A$8,MIN(MATCH(D249,_Stages!$A$1:$A$8,0)+1,8)),"")</f>
        <v/>
      </c>
      <c r="F249" s="7" t="inlineStr">
        <is>
          <t>Not Started</t>
        </is>
      </c>
      <c r="G249" s="7" t="inlineStr">
        <is>
          <t>Not Started</t>
        </is>
      </c>
      <c r="H249" s="7" t="inlineStr">
        <is>
          <t>CIO</t>
        </is>
      </c>
      <c r="I249" s="8" t="n">
        <v>46316</v>
      </c>
      <c r="M249" s="7" t="n">
        <v>0</v>
      </c>
      <c r="N249" s="7" t="n">
        <v>0</v>
      </c>
      <c r="O249" s="7">
        <f>A249&amp;"|"&amp;D249</f>
        <v/>
      </c>
    </row>
    <row r="250" ht="15" customHeight="1" s="5">
      <c r="A250" s="7" t="inlineStr">
        <is>
          <t>PRJ032</t>
        </is>
      </c>
      <c r="B250" s="7">
        <f>IFERROR(VLOOKUP(A250,Projects!$A:$AK,2,FALSE()),"")</f>
        <v/>
      </c>
      <c r="C250" s="7">
        <f>IFERROR(VLOOKUP(A250,Projects!$A:$AK,14,FALSE()),"")</f>
        <v/>
      </c>
      <c r="D250" s="7" t="inlineStr">
        <is>
          <t>Discovery</t>
        </is>
      </c>
      <c r="E250" s="7">
        <f>IFERROR(INDEX(_Stages!$A$1:$A$8,MIN(MATCH(D250,_Stages!$A$1:$A$8,0)+1,8)),"")</f>
        <v/>
      </c>
      <c r="F250" s="7" t="inlineStr">
        <is>
          <t>Approved</t>
        </is>
      </c>
      <c r="G250" s="7" t="inlineStr">
        <is>
          <t>Complete</t>
        </is>
      </c>
      <c r="H250" s="7" t="inlineStr">
        <is>
          <t>CIO</t>
        </is>
      </c>
      <c r="I250" s="8" t="n">
        <v>46011</v>
      </c>
      <c r="J250" s="8" t="n">
        <v>46041</v>
      </c>
      <c r="K250" s="7" t="inlineStr">
        <is>
          <t>Proceed</t>
        </is>
      </c>
      <c r="L250" s="7" t="inlineStr">
        <is>
          <t>On track</t>
        </is>
      </c>
      <c r="M250" s="7" t="n">
        <v>100</v>
      </c>
      <c r="N250" s="7" t="n">
        <v>30</v>
      </c>
      <c r="O250" s="7">
        <f>A250&amp;"|"&amp;D250</f>
        <v/>
      </c>
    </row>
    <row r="251" ht="15" customHeight="1" s="5">
      <c r="A251" s="7" t="inlineStr">
        <is>
          <t>PRJ032</t>
        </is>
      </c>
      <c r="B251" s="7">
        <f>IFERROR(VLOOKUP(A251,Projects!$A:$AK,2,FALSE()),"")</f>
        <v/>
      </c>
      <c r="C251" s="7">
        <f>IFERROR(VLOOKUP(A251,Projects!$A:$AK,14,FALSE()),"")</f>
        <v/>
      </c>
      <c r="D251" s="7" t="inlineStr">
        <is>
          <t>Business Case / Seed Funding</t>
        </is>
      </c>
      <c r="E251" s="7">
        <f>IFERROR(INDEX(_Stages!$A$1:$A$8,MIN(MATCH(D251,_Stages!$A$1:$A$8,0)+1,8)),"")</f>
        <v/>
      </c>
      <c r="F251" s="7" t="inlineStr">
        <is>
          <t>Approved</t>
        </is>
      </c>
      <c r="G251" s="7" t="inlineStr">
        <is>
          <t>Complete</t>
        </is>
      </c>
      <c r="H251" s="7" t="inlineStr">
        <is>
          <t>CIO</t>
        </is>
      </c>
      <c r="I251" s="8" t="n">
        <v>46071</v>
      </c>
      <c r="J251" s="8" t="n">
        <v>46085</v>
      </c>
      <c r="K251" s="7" t="inlineStr">
        <is>
          <t>Rework</t>
        </is>
      </c>
      <c r="M251" s="7" t="n">
        <v>100</v>
      </c>
      <c r="N251" s="7" t="n">
        <v>14</v>
      </c>
      <c r="O251" s="7">
        <f>A251&amp;"|"&amp;D251</f>
        <v/>
      </c>
    </row>
    <row r="252" ht="15" customHeight="1" s="5">
      <c r="A252" s="7" t="inlineStr">
        <is>
          <t>PRJ032</t>
        </is>
      </c>
      <c r="B252" s="7">
        <f>IFERROR(VLOOKUP(A252,Projects!$A:$AK,2,FALSE()),"")</f>
        <v/>
      </c>
      <c r="C252" s="7">
        <f>IFERROR(VLOOKUP(A252,Projects!$A:$AK,14,FALSE()),"")</f>
        <v/>
      </c>
      <c r="D252" s="7" t="inlineStr">
        <is>
          <t>Design</t>
        </is>
      </c>
      <c r="E252" s="7">
        <f>IFERROR(INDEX(_Stages!$A$1:$A$8,MIN(MATCH(D252,_Stages!$A$1:$A$8,0)+1,8)),"")</f>
        <v/>
      </c>
      <c r="F252" s="7" t="inlineStr">
        <is>
          <t>Approved</t>
        </is>
      </c>
      <c r="G252" s="7" t="inlineStr">
        <is>
          <t>Complete</t>
        </is>
      </c>
      <c r="H252" s="7" t="inlineStr">
        <is>
          <t>CIO</t>
        </is>
      </c>
      <c r="I252" s="8" t="n">
        <v>46131</v>
      </c>
      <c r="J252" s="8" t="n">
        <v>46147</v>
      </c>
      <c r="K252" s="7" t="inlineStr">
        <is>
          <t>Conditional</t>
        </is>
      </c>
      <c r="L252" s="7" t="inlineStr">
        <is>
          <t>Awaiting sponsor sign-off</t>
        </is>
      </c>
      <c r="M252" s="7" t="n">
        <v>100</v>
      </c>
      <c r="N252" s="7" t="n">
        <v>16</v>
      </c>
      <c r="O252" s="7">
        <f>A252&amp;"|"&amp;D252</f>
        <v/>
      </c>
    </row>
    <row r="253" ht="15" customHeight="1" s="5">
      <c r="A253" s="7" t="inlineStr">
        <is>
          <t>PRJ032</t>
        </is>
      </c>
      <c r="B253" s="7">
        <f>IFERROR(VLOOKUP(A253,Projects!$A:$AK,2,FALSE()),"")</f>
        <v/>
      </c>
      <c r="C253" s="7">
        <f>IFERROR(VLOOKUP(A253,Projects!$A:$AK,14,FALSE()),"")</f>
        <v/>
      </c>
      <c r="D253" s="7" t="inlineStr">
        <is>
          <t>Business Case / Full Funding</t>
        </is>
      </c>
      <c r="E253" s="7">
        <f>IFERROR(INDEX(_Stages!$A$1:$A$8,MIN(MATCH(D253,_Stages!$A$1:$A$8,0)+1,8)),"")</f>
        <v/>
      </c>
      <c r="F253" s="7" t="inlineStr">
        <is>
          <t>Approved</t>
        </is>
      </c>
      <c r="G253" s="7" t="inlineStr">
        <is>
          <t>Complete</t>
        </is>
      </c>
      <c r="H253" s="7" t="inlineStr">
        <is>
          <t>CIO</t>
        </is>
      </c>
      <c r="I253" s="8" t="n">
        <v>46191</v>
      </c>
      <c r="J253" s="8" t="n">
        <v>46186</v>
      </c>
      <c r="K253" s="7" t="inlineStr">
        <is>
          <t>Rework</t>
        </is>
      </c>
      <c r="M253" s="7" t="n">
        <v>100</v>
      </c>
      <c r="N253" s="7" t="n">
        <v>0</v>
      </c>
      <c r="O253" s="7">
        <f>A253&amp;"|"&amp;D253</f>
        <v/>
      </c>
    </row>
    <row r="254" ht="15" customHeight="1" s="5">
      <c r="A254" s="7" t="inlineStr">
        <is>
          <t>PRJ032</t>
        </is>
      </c>
      <c r="B254" s="7">
        <f>IFERROR(VLOOKUP(A254,Projects!$A:$AK,2,FALSE()),"")</f>
        <v/>
      </c>
      <c r="C254" s="7">
        <f>IFERROR(VLOOKUP(A254,Projects!$A:$AK,14,FALSE()),"")</f>
        <v/>
      </c>
      <c r="D254" s="7" t="inlineStr">
        <is>
          <t>Build</t>
        </is>
      </c>
      <c r="E254" s="7">
        <f>IFERROR(INDEX(_Stages!$A$1:$A$8,MIN(MATCH(D254,_Stages!$A$1:$A$8,0)+1,8)),"")</f>
        <v/>
      </c>
      <c r="F254" s="7" t="inlineStr">
        <is>
          <t>Pending Approval</t>
        </is>
      </c>
      <c r="G254" s="7" t="inlineStr">
        <is>
          <t>In Progress</t>
        </is>
      </c>
      <c r="H254" s="7" t="inlineStr">
        <is>
          <t>CIO</t>
        </is>
      </c>
      <c r="I254" s="8" t="n">
        <v>46251</v>
      </c>
      <c r="L254" s="7" t="inlineStr">
        <is>
          <t>Approved with conditions</t>
        </is>
      </c>
      <c r="M254" s="7" t="n">
        <v>87</v>
      </c>
      <c r="N254" s="7" t="n">
        <v>0</v>
      </c>
      <c r="O254" s="7">
        <f>A254&amp;"|"&amp;D254</f>
        <v/>
      </c>
    </row>
    <row r="255" ht="15" customHeight="1" s="5">
      <c r="A255" s="7" t="inlineStr">
        <is>
          <t>PRJ032</t>
        </is>
      </c>
      <c r="B255" s="7">
        <f>IFERROR(VLOOKUP(A255,Projects!$A:$AK,2,FALSE()),"")</f>
        <v/>
      </c>
      <c r="C255" s="7">
        <f>IFERROR(VLOOKUP(A255,Projects!$A:$AK,14,FALSE()),"")</f>
        <v/>
      </c>
      <c r="D255" s="7" t="inlineStr">
        <is>
          <t>Testing</t>
        </is>
      </c>
      <c r="E255" s="7">
        <f>IFERROR(INDEX(_Stages!$A$1:$A$8,MIN(MATCH(D255,_Stages!$A$1:$A$8,0)+1,8)),"")</f>
        <v/>
      </c>
      <c r="F255" s="7" t="inlineStr">
        <is>
          <t>Not Started</t>
        </is>
      </c>
      <c r="G255" s="7" t="inlineStr">
        <is>
          <t>Not Started</t>
        </is>
      </c>
      <c r="H255" s="7" t="inlineStr">
        <is>
          <t>CIO</t>
        </is>
      </c>
      <c r="I255" s="8" t="n">
        <v>46311</v>
      </c>
      <c r="M255" s="7" t="n">
        <v>0</v>
      </c>
      <c r="N255" s="7" t="n">
        <v>0</v>
      </c>
      <c r="O255" s="7">
        <f>A255&amp;"|"&amp;D255</f>
        <v/>
      </c>
    </row>
    <row r="256" ht="15" customHeight="1" s="5">
      <c r="A256" s="7" t="inlineStr">
        <is>
          <t>PRJ032</t>
        </is>
      </c>
      <c r="B256" s="7">
        <f>IFERROR(VLOOKUP(A256,Projects!$A:$AK,2,FALSE()),"")</f>
        <v/>
      </c>
      <c r="C256" s="7">
        <f>IFERROR(VLOOKUP(A256,Projects!$A:$AK,14,FALSE()),"")</f>
        <v/>
      </c>
      <c r="D256" s="7" t="inlineStr">
        <is>
          <t>Deployment</t>
        </is>
      </c>
      <c r="E256" s="7">
        <f>IFERROR(INDEX(_Stages!$A$1:$A$8,MIN(MATCH(D256,_Stages!$A$1:$A$8,0)+1,8)),"")</f>
        <v/>
      </c>
      <c r="F256" s="7" t="inlineStr">
        <is>
          <t>Not Started</t>
        </is>
      </c>
      <c r="G256" s="7" t="inlineStr">
        <is>
          <t>Not Started</t>
        </is>
      </c>
      <c r="H256" s="7" t="inlineStr">
        <is>
          <t>CIO</t>
        </is>
      </c>
      <c r="I256" s="8" t="n">
        <v>46371</v>
      </c>
      <c r="M256" s="7" t="n">
        <v>0</v>
      </c>
      <c r="N256" s="7" t="n">
        <v>0</v>
      </c>
      <c r="O256" s="7">
        <f>A256&amp;"|"&amp;D256</f>
        <v/>
      </c>
    </row>
    <row r="257" ht="15" customHeight="1" s="5">
      <c r="A257" s="7" t="inlineStr">
        <is>
          <t>PRJ032</t>
        </is>
      </c>
      <c r="B257" s="7">
        <f>IFERROR(VLOOKUP(A257,Projects!$A:$AK,2,FALSE()),"")</f>
        <v/>
      </c>
      <c r="C257" s="7">
        <f>IFERROR(VLOOKUP(A257,Projects!$A:$AK,14,FALSE()),"")</f>
        <v/>
      </c>
      <c r="D257" s="7" t="inlineStr">
        <is>
          <t>Handover</t>
        </is>
      </c>
      <c r="E257" s="7">
        <f>IFERROR(INDEX(_Stages!$A$1:$A$8,MIN(MATCH(D257,_Stages!$A$1:$A$8,0)+1,8)),"")</f>
        <v/>
      </c>
      <c r="F257" s="7" t="inlineStr">
        <is>
          <t>Not Started</t>
        </is>
      </c>
      <c r="G257" s="7" t="inlineStr">
        <is>
          <t>Not Started</t>
        </is>
      </c>
      <c r="H257" s="7" t="inlineStr">
        <is>
          <t>CIO</t>
        </is>
      </c>
      <c r="I257" s="8" t="n">
        <v>46431</v>
      </c>
      <c r="M257" s="7" t="n">
        <v>0</v>
      </c>
      <c r="N257" s="7" t="n">
        <v>0</v>
      </c>
      <c r="O257" s="7">
        <f>A257&amp;"|"&amp;D257</f>
        <v/>
      </c>
    </row>
    <row r="258" ht="15" customHeight="1" s="5">
      <c r="A258" s="7" t="inlineStr">
        <is>
          <t>PRJ033</t>
        </is>
      </c>
      <c r="B258" s="7">
        <f>IFERROR(VLOOKUP(A258,Projects!$A:$AK,2,FALSE()),"")</f>
        <v/>
      </c>
      <c r="C258" s="7">
        <f>IFERROR(VLOOKUP(A258,Projects!$A:$AK,14,FALSE()),"")</f>
        <v/>
      </c>
      <c r="D258" s="7" t="inlineStr">
        <is>
          <t>Discovery</t>
        </is>
      </c>
      <c r="E258" s="7">
        <f>IFERROR(INDEX(_Stages!$A$1:$A$8,MIN(MATCH(D258,_Stages!$A$1:$A$8,0)+1,8)),"")</f>
        <v/>
      </c>
      <c r="F258" s="7" t="inlineStr">
        <is>
          <t>Approved</t>
        </is>
      </c>
      <c r="G258" s="7" t="inlineStr">
        <is>
          <t>Complete</t>
        </is>
      </c>
      <c r="H258" s="7" t="inlineStr">
        <is>
          <t>CTO</t>
        </is>
      </c>
      <c r="I258" s="8" t="n">
        <v>45983</v>
      </c>
      <c r="J258" s="8" t="n">
        <v>45991</v>
      </c>
      <c r="K258" s="7" t="inlineStr">
        <is>
          <t>Held</t>
        </is>
      </c>
      <c r="L258" s="7" t="inlineStr">
        <is>
          <t>Approved with conditions</t>
        </is>
      </c>
      <c r="M258" s="7" t="n">
        <v>100</v>
      </c>
      <c r="N258" s="7" t="n">
        <v>8</v>
      </c>
      <c r="O258" s="7">
        <f>A258&amp;"|"&amp;D258</f>
        <v/>
      </c>
    </row>
    <row r="259" ht="15" customHeight="1" s="5">
      <c r="A259" s="7" t="inlineStr">
        <is>
          <t>PRJ033</t>
        </is>
      </c>
      <c r="B259" s="7">
        <f>IFERROR(VLOOKUP(A259,Projects!$A:$AK,2,FALSE()),"")</f>
        <v/>
      </c>
      <c r="C259" s="7">
        <f>IFERROR(VLOOKUP(A259,Projects!$A:$AK,14,FALSE()),"")</f>
        <v/>
      </c>
      <c r="D259" s="7" t="inlineStr">
        <is>
          <t>Business Case / Seed Funding</t>
        </is>
      </c>
      <c r="E259" s="7">
        <f>IFERROR(INDEX(_Stages!$A$1:$A$8,MIN(MATCH(D259,_Stages!$A$1:$A$8,0)+1,8)),"")</f>
        <v/>
      </c>
      <c r="F259" s="7" t="inlineStr">
        <is>
          <t>Approved</t>
        </is>
      </c>
      <c r="G259" s="7" t="inlineStr">
        <is>
          <t>Complete</t>
        </is>
      </c>
      <c r="H259" s="7" t="inlineStr">
        <is>
          <t>CTO</t>
        </is>
      </c>
      <c r="I259" s="8" t="n">
        <v>46043</v>
      </c>
      <c r="J259" s="8" t="n">
        <v>46039</v>
      </c>
      <c r="K259" s="7" t="inlineStr">
        <is>
          <t>Proceed</t>
        </is>
      </c>
      <c r="L259" s="7" t="inlineStr">
        <is>
          <t>On track</t>
        </is>
      </c>
      <c r="M259" s="7" t="n">
        <v>100</v>
      </c>
      <c r="N259" s="7" t="n">
        <v>0</v>
      </c>
      <c r="O259" s="7">
        <f>A259&amp;"|"&amp;D259</f>
        <v/>
      </c>
    </row>
    <row r="260" ht="15" customHeight="1" s="5">
      <c r="A260" s="7" t="inlineStr">
        <is>
          <t>PRJ033</t>
        </is>
      </c>
      <c r="B260" s="7">
        <f>IFERROR(VLOOKUP(A260,Projects!$A:$AK,2,FALSE()),"")</f>
        <v/>
      </c>
      <c r="C260" s="7">
        <f>IFERROR(VLOOKUP(A260,Projects!$A:$AK,14,FALSE()),"")</f>
        <v/>
      </c>
      <c r="D260" s="7" t="inlineStr">
        <is>
          <t>Design</t>
        </is>
      </c>
      <c r="E260" s="7">
        <f>IFERROR(INDEX(_Stages!$A$1:$A$8,MIN(MATCH(D260,_Stages!$A$1:$A$8,0)+1,8)),"")</f>
        <v/>
      </c>
      <c r="F260" s="7" t="inlineStr">
        <is>
          <t>Approved</t>
        </is>
      </c>
      <c r="G260" s="7" t="inlineStr">
        <is>
          <t>Complete</t>
        </is>
      </c>
      <c r="H260" s="7" t="inlineStr">
        <is>
          <t>CTO</t>
        </is>
      </c>
      <c r="I260" s="8" t="n">
        <v>46103</v>
      </c>
      <c r="J260" s="8" t="n">
        <v>46102</v>
      </c>
      <c r="K260" s="7" t="inlineStr">
        <is>
          <t>Rework</t>
        </is>
      </c>
      <c r="L260" s="7" t="inlineStr">
        <is>
          <t>Approved with conditions</t>
        </is>
      </c>
      <c r="M260" s="7" t="n">
        <v>100</v>
      </c>
      <c r="N260" s="7" t="n">
        <v>0</v>
      </c>
      <c r="O260" s="7">
        <f>A260&amp;"|"&amp;D260</f>
        <v/>
      </c>
    </row>
    <row r="261" ht="15" customHeight="1" s="5">
      <c r="A261" s="7" t="inlineStr">
        <is>
          <t>PRJ033</t>
        </is>
      </c>
      <c r="B261" s="7">
        <f>IFERROR(VLOOKUP(A261,Projects!$A:$AK,2,FALSE()),"")</f>
        <v/>
      </c>
      <c r="C261" s="7">
        <f>IFERROR(VLOOKUP(A261,Projects!$A:$AK,14,FALSE()),"")</f>
        <v/>
      </c>
      <c r="D261" s="7" t="inlineStr">
        <is>
          <t>Business Case / Full Funding</t>
        </is>
      </c>
      <c r="E261" s="7">
        <f>IFERROR(INDEX(_Stages!$A$1:$A$8,MIN(MATCH(D261,_Stages!$A$1:$A$8,0)+1,8)),"")</f>
        <v/>
      </c>
      <c r="F261" s="7" t="inlineStr">
        <is>
          <t>Approved</t>
        </is>
      </c>
      <c r="G261" s="7" t="inlineStr">
        <is>
          <t>Complete</t>
        </is>
      </c>
      <c r="H261" s="7" t="inlineStr">
        <is>
          <t>CTO</t>
        </is>
      </c>
      <c r="I261" s="8" t="n">
        <v>46163</v>
      </c>
      <c r="J261" s="8" t="n">
        <v>46174</v>
      </c>
      <c r="K261" s="7" t="inlineStr">
        <is>
          <t>Rework</t>
        </is>
      </c>
      <c r="L261" s="7" t="inlineStr">
        <is>
          <t>Awaiting sponsor sign-off</t>
        </is>
      </c>
      <c r="M261" s="7" t="n">
        <v>100</v>
      </c>
      <c r="N261" s="7" t="n">
        <v>11</v>
      </c>
      <c r="O261" s="7">
        <f>A261&amp;"|"&amp;D261</f>
        <v/>
      </c>
    </row>
    <row r="262" ht="15" customHeight="1" s="5">
      <c r="A262" s="7" t="inlineStr">
        <is>
          <t>PRJ033</t>
        </is>
      </c>
      <c r="B262" s="7">
        <f>IFERROR(VLOOKUP(A262,Projects!$A:$AK,2,FALSE()),"")</f>
        <v/>
      </c>
      <c r="C262" s="7">
        <f>IFERROR(VLOOKUP(A262,Projects!$A:$AK,14,FALSE()),"")</f>
        <v/>
      </c>
      <c r="D262" s="7" t="inlineStr">
        <is>
          <t>Build</t>
        </is>
      </c>
      <c r="E262" s="7">
        <f>IFERROR(INDEX(_Stages!$A$1:$A$8,MIN(MATCH(D262,_Stages!$A$1:$A$8,0)+1,8)),"")</f>
        <v/>
      </c>
      <c r="F262" s="7" t="inlineStr">
        <is>
          <t>Approved</t>
        </is>
      </c>
      <c r="G262" s="7" t="inlineStr">
        <is>
          <t>Complete</t>
        </is>
      </c>
      <c r="H262" s="7" t="inlineStr">
        <is>
          <t>CTO</t>
        </is>
      </c>
      <c r="I262" s="8" t="n">
        <v>46223</v>
      </c>
      <c r="J262" s="8" t="n">
        <v>46212</v>
      </c>
      <c r="K262" s="7" t="inlineStr">
        <is>
          <t>Rework</t>
        </is>
      </c>
      <c r="M262" s="7" t="n">
        <v>100</v>
      </c>
      <c r="N262" s="7" t="n">
        <v>0</v>
      </c>
      <c r="O262" s="7">
        <f>A262&amp;"|"&amp;D262</f>
        <v/>
      </c>
    </row>
    <row r="263" ht="15" customHeight="1" s="5">
      <c r="A263" s="7" t="inlineStr">
        <is>
          <t>PRJ033</t>
        </is>
      </c>
      <c r="B263" s="7">
        <f>IFERROR(VLOOKUP(A263,Projects!$A:$AK,2,FALSE()),"")</f>
        <v/>
      </c>
      <c r="C263" s="7">
        <f>IFERROR(VLOOKUP(A263,Projects!$A:$AK,14,FALSE()),"")</f>
        <v/>
      </c>
      <c r="D263" s="7" t="inlineStr">
        <is>
          <t>Testing</t>
        </is>
      </c>
      <c r="E263" s="7">
        <f>IFERROR(INDEX(_Stages!$A$1:$A$8,MIN(MATCH(D263,_Stages!$A$1:$A$8,0)+1,8)),"")</f>
        <v/>
      </c>
      <c r="F263" s="7" t="inlineStr">
        <is>
          <t>Approved</t>
        </is>
      </c>
      <c r="G263" s="7" t="inlineStr">
        <is>
          <t>Complete</t>
        </is>
      </c>
      <c r="H263" s="7" t="inlineStr">
        <is>
          <t>CTO</t>
        </is>
      </c>
      <c r="I263" s="8" t="n">
        <v>46283</v>
      </c>
      <c r="J263" s="8" t="n">
        <v>46300</v>
      </c>
      <c r="K263" s="7" t="inlineStr">
        <is>
          <t>Proceed</t>
        </is>
      </c>
      <c r="L263" s="7" t="inlineStr">
        <is>
          <t>Approved with conditions</t>
        </is>
      </c>
      <c r="M263" s="7" t="n">
        <v>100</v>
      </c>
      <c r="N263" s="7" t="n">
        <v>17</v>
      </c>
      <c r="O263" s="7">
        <f>A263&amp;"|"&amp;D263</f>
        <v/>
      </c>
    </row>
    <row r="264" ht="15" customHeight="1" s="5">
      <c r="A264" s="7" t="inlineStr">
        <is>
          <t>PRJ033</t>
        </is>
      </c>
      <c r="B264" s="7">
        <f>IFERROR(VLOOKUP(A264,Projects!$A:$AK,2,FALSE()),"")</f>
        <v/>
      </c>
      <c r="C264" s="7">
        <f>IFERROR(VLOOKUP(A264,Projects!$A:$AK,14,FALSE()),"")</f>
        <v/>
      </c>
      <c r="D264" s="7" t="inlineStr">
        <is>
          <t>Deployment</t>
        </is>
      </c>
      <c r="E264" s="7">
        <f>IFERROR(INDEX(_Stages!$A$1:$A$8,MIN(MATCH(D264,_Stages!$A$1:$A$8,0)+1,8)),"")</f>
        <v/>
      </c>
      <c r="F264" s="7" t="inlineStr">
        <is>
          <t>Approved</t>
        </is>
      </c>
      <c r="G264" s="7" t="inlineStr">
        <is>
          <t>Complete</t>
        </is>
      </c>
      <c r="H264" s="7" t="inlineStr">
        <is>
          <t>CTO</t>
        </is>
      </c>
      <c r="I264" s="8" t="n">
        <v>46343</v>
      </c>
      <c r="J264" s="8" t="n">
        <v>46342</v>
      </c>
      <c r="K264" s="7" t="inlineStr">
        <is>
          <t>Proceed</t>
        </is>
      </c>
      <c r="L264" s="7" t="inlineStr">
        <is>
          <t>On track</t>
        </is>
      </c>
      <c r="M264" s="7" t="n">
        <v>100</v>
      </c>
      <c r="N264" s="7" t="n">
        <v>0</v>
      </c>
      <c r="O264" s="7">
        <f>A264&amp;"|"&amp;D264</f>
        <v/>
      </c>
    </row>
    <row r="265" ht="15" customHeight="1" s="5">
      <c r="A265" s="7" t="inlineStr">
        <is>
          <t>PRJ033</t>
        </is>
      </c>
      <c r="B265" s="7">
        <f>IFERROR(VLOOKUP(A265,Projects!$A:$AK,2,FALSE()),"")</f>
        <v/>
      </c>
      <c r="C265" s="7">
        <f>IFERROR(VLOOKUP(A265,Projects!$A:$AK,14,FALSE()),"")</f>
        <v/>
      </c>
      <c r="D265" s="7" t="inlineStr">
        <is>
          <t>Handover</t>
        </is>
      </c>
      <c r="E265" s="7">
        <f>IFERROR(INDEX(_Stages!$A$1:$A$8,MIN(MATCH(D265,_Stages!$A$1:$A$8,0)+1,8)),"")</f>
        <v/>
      </c>
      <c r="F265" s="7" t="inlineStr">
        <is>
          <t>In Progress</t>
        </is>
      </c>
      <c r="G265" s="7" t="inlineStr">
        <is>
          <t>In Progress</t>
        </is>
      </c>
      <c r="H265" s="7" t="inlineStr">
        <is>
          <t>CTO</t>
        </is>
      </c>
      <c r="I265" s="8" t="n">
        <v>46403</v>
      </c>
      <c r="L265" s="7" t="inlineStr">
        <is>
          <t>Awaiting sponsor sign-off</t>
        </is>
      </c>
      <c r="M265" s="7" t="n">
        <v>89</v>
      </c>
      <c r="N265" s="7" t="n">
        <v>0</v>
      </c>
      <c r="O265" s="7">
        <f>A265&amp;"|"&amp;D265</f>
        <v/>
      </c>
    </row>
    <row r="266" ht="15" customHeight="1" s="5">
      <c r="A266" s="7" t="inlineStr">
        <is>
          <t>PRJ034</t>
        </is>
      </c>
      <c r="B266" s="7">
        <f>IFERROR(VLOOKUP(A266,Projects!$A:$AK,2,FALSE()),"")</f>
        <v/>
      </c>
      <c r="C266" s="7">
        <f>IFERROR(VLOOKUP(A266,Projects!$A:$AK,14,FALSE()),"")</f>
        <v/>
      </c>
      <c r="D266" s="7" t="inlineStr">
        <is>
          <t>Discovery</t>
        </is>
      </c>
      <c r="E266" s="7">
        <f>IFERROR(INDEX(_Stages!$A$1:$A$8,MIN(MATCH(D266,_Stages!$A$1:$A$8,0)+1,8)),"")</f>
        <v/>
      </c>
      <c r="F266" s="7" t="inlineStr">
        <is>
          <t>Approved</t>
        </is>
      </c>
      <c r="G266" s="7" t="inlineStr">
        <is>
          <t>Complete</t>
        </is>
      </c>
      <c r="H266" s="7" t="inlineStr">
        <is>
          <t>CMO</t>
        </is>
      </c>
      <c r="I266" s="8" t="n">
        <v>45970</v>
      </c>
      <c r="J266" s="8" t="n">
        <v>45975</v>
      </c>
      <c r="K266" s="7" t="inlineStr">
        <is>
          <t>Proceed</t>
        </is>
      </c>
      <c r="L266" s="7" t="inlineStr">
        <is>
          <t>On track</t>
        </is>
      </c>
      <c r="M266" s="7" t="n">
        <v>100</v>
      </c>
      <c r="N266" s="7" t="n">
        <v>5</v>
      </c>
      <c r="O266" s="7">
        <f>A266&amp;"|"&amp;D266</f>
        <v/>
      </c>
    </row>
    <row r="267" ht="15" customHeight="1" s="5">
      <c r="A267" s="7" t="inlineStr">
        <is>
          <t>PRJ034</t>
        </is>
      </c>
      <c r="B267" s="7">
        <f>IFERROR(VLOOKUP(A267,Projects!$A:$AK,2,FALSE()),"")</f>
        <v/>
      </c>
      <c r="C267" s="7">
        <f>IFERROR(VLOOKUP(A267,Projects!$A:$AK,14,FALSE()),"")</f>
        <v/>
      </c>
      <c r="D267" s="7" t="inlineStr">
        <is>
          <t>Business Case / Seed Funding</t>
        </is>
      </c>
      <c r="E267" s="7">
        <f>IFERROR(INDEX(_Stages!$A$1:$A$8,MIN(MATCH(D267,_Stages!$A$1:$A$8,0)+1,8)),"")</f>
        <v/>
      </c>
      <c r="F267" s="7" t="inlineStr">
        <is>
          <t>Approved</t>
        </is>
      </c>
      <c r="G267" s="7" t="inlineStr">
        <is>
          <t>Complete</t>
        </is>
      </c>
      <c r="H267" s="7" t="inlineStr">
        <is>
          <t>CMO</t>
        </is>
      </c>
      <c r="I267" s="8" t="n">
        <v>46030</v>
      </c>
      <c r="J267" s="8" t="n">
        <v>46015</v>
      </c>
      <c r="K267" s="7" t="inlineStr">
        <is>
          <t>Rework</t>
        </is>
      </c>
      <c r="L267" s="7" t="inlineStr">
        <is>
          <t>Approved with conditions</t>
        </is>
      </c>
      <c r="M267" s="7" t="n">
        <v>100</v>
      </c>
      <c r="N267" s="7" t="n">
        <v>0</v>
      </c>
      <c r="O267" s="7">
        <f>A267&amp;"|"&amp;D267</f>
        <v/>
      </c>
    </row>
    <row r="268" ht="15" customHeight="1" s="5">
      <c r="A268" s="7" t="inlineStr">
        <is>
          <t>PRJ034</t>
        </is>
      </c>
      <c r="B268" s="7">
        <f>IFERROR(VLOOKUP(A268,Projects!$A:$AK,2,FALSE()),"")</f>
        <v/>
      </c>
      <c r="C268" s="7">
        <f>IFERROR(VLOOKUP(A268,Projects!$A:$AK,14,FALSE()),"")</f>
        <v/>
      </c>
      <c r="D268" s="7" t="inlineStr">
        <is>
          <t>Design</t>
        </is>
      </c>
      <c r="E268" s="7">
        <f>IFERROR(INDEX(_Stages!$A$1:$A$8,MIN(MATCH(D268,_Stages!$A$1:$A$8,0)+1,8)),"")</f>
        <v/>
      </c>
      <c r="F268" s="7" t="inlineStr">
        <is>
          <t>Approved</t>
        </is>
      </c>
      <c r="G268" s="7" t="inlineStr">
        <is>
          <t>Complete</t>
        </is>
      </c>
      <c r="H268" s="7" t="inlineStr">
        <is>
          <t>CMO</t>
        </is>
      </c>
      <c r="I268" s="8" t="n">
        <v>46090</v>
      </c>
      <c r="J268" s="8" t="n">
        <v>46093</v>
      </c>
      <c r="K268" s="7" t="inlineStr">
        <is>
          <t>Rework</t>
        </is>
      </c>
      <c r="L268" s="7" t="inlineStr">
        <is>
          <t>Approved with conditions</t>
        </is>
      </c>
      <c r="M268" s="7" t="n">
        <v>100</v>
      </c>
      <c r="N268" s="7" t="n">
        <v>3</v>
      </c>
      <c r="O268" s="7">
        <f>A268&amp;"|"&amp;D268</f>
        <v/>
      </c>
    </row>
    <row r="269" ht="15" customHeight="1" s="5">
      <c r="A269" s="7" t="inlineStr">
        <is>
          <t>PRJ034</t>
        </is>
      </c>
      <c r="B269" s="7">
        <f>IFERROR(VLOOKUP(A269,Projects!$A:$AK,2,FALSE()),"")</f>
        <v/>
      </c>
      <c r="C269" s="7">
        <f>IFERROR(VLOOKUP(A269,Projects!$A:$AK,14,FALSE()),"")</f>
        <v/>
      </c>
      <c r="D269" s="7" t="inlineStr">
        <is>
          <t>Business Case / Full Funding</t>
        </is>
      </c>
      <c r="E269" s="7">
        <f>IFERROR(INDEX(_Stages!$A$1:$A$8,MIN(MATCH(D269,_Stages!$A$1:$A$8,0)+1,8)),"")</f>
        <v/>
      </c>
      <c r="F269" s="7" t="inlineStr">
        <is>
          <t>Approved</t>
        </is>
      </c>
      <c r="G269" s="7" t="inlineStr">
        <is>
          <t>Complete</t>
        </is>
      </c>
      <c r="H269" s="7" t="inlineStr">
        <is>
          <t>CMO</t>
        </is>
      </c>
      <c r="I269" s="8" t="n">
        <v>46150</v>
      </c>
      <c r="J269" s="8" t="n">
        <v>46164</v>
      </c>
      <c r="K269" s="7" t="inlineStr">
        <is>
          <t>Rework</t>
        </is>
      </c>
      <c r="L269" s="7" t="inlineStr">
        <is>
          <t>On track</t>
        </is>
      </c>
      <c r="M269" s="7" t="n">
        <v>100</v>
      </c>
      <c r="N269" s="7" t="n">
        <v>14</v>
      </c>
      <c r="O269" s="7">
        <f>A269&amp;"|"&amp;D269</f>
        <v/>
      </c>
    </row>
    <row r="270" ht="15" customHeight="1" s="5">
      <c r="A270" s="7" t="inlineStr">
        <is>
          <t>PRJ034</t>
        </is>
      </c>
      <c r="B270" s="7">
        <f>IFERROR(VLOOKUP(A270,Projects!$A:$AK,2,FALSE()),"")</f>
        <v/>
      </c>
      <c r="C270" s="7">
        <f>IFERROR(VLOOKUP(A270,Projects!$A:$AK,14,FALSE()),"")</f>
        <v/>
      </c>
      <c r="D270" s="7" t="inlineStr">
        <is>
          <t>Build</t>
        </is>
      </c>
      <c r="E270" s="7">
        <f>IFERROR(INDEX(_Stages!$A$1:$A$8,MIN(MATCH(D270,_Stages!$A$1:$A$8,0)+1,8)),"")</f>
        <v/>
      </c>
      <c r="F270" s="7" t="inlineStr">
        <is>
          <t>Pending Approval</t>
        </is>
      </c>
      <c r="G270" s="7" t="inlineStr">
        <is>
          <t>In Progress</t>
        </is>
      </c>
      <c r="H270" s="7" t="inlineStr">
        <is>
          <t>CMO</t>
        </is>
      </c>
      <c r="I270" s="8" t="n">
        <v>46210</v>
      </c>
      <c r="L270" s="7" t="inlineStr">
        <is>
          <t>Approved with conditions</t>
        </is>
      </c>
      <c r="M270" s="7" t="n">
        <v>40</v>
      </c>
      <c r="N270" s="7" t="n">
        <v>0</v>
      </c>
      <c r="O270" s="7">
        <f>A270&amp;"|"&amp;D270</f>
        <v/>
      </c>
    </row>
    <row r="271" ht="15" customHeight="1" s="5">
      <c r="A271" s="7" t="inlineStr">
        <is>
          <t>PRJ034</t>
        </is>
      </c>
      <c r="B271" s="7">
        <f>IFERROR(VLOOKUP(A271,Projects!$A:$AK,2,FALSE()),"")</f>
        <v/>
      </c>
      <c r="C271" s="7">
        <f>IFERROR(VLOOKUP(A271,Projects!$A:$AK,14,FALSE()),"")</f>
        <v/>
      </c>
      <c r="D271" s="7" t="inlineStr">
        <is>
          <t>Testing</t>
        </is>
      </c>
      <c r="E271" s="7">
        <f>IFERROR(INDEX(_Stages!$A$1:$A$8,MIN(MATCH(D271,_Stages!$A$1:$A$8,0)+1,8)),"")</f>
        <v/>
      </c>
      <c r="F271" s="7" t="inlineStr">
        <is>
          <t>Not Started</t>
        </is>
      </c>
      <c r="G271" s="7" t="inlineStr">
        <is>
          <t>Not Started</t>
        </is>
      </c>
      <c r="H271" s="7" t="inlineStr">
        <is>
          <t>CMO</t>
        </is>
      </c>
      <c r="I271" s="8" t="n">
        <v>46270</v>
      </c>
      <c r="M271" s="7" t="n">
        <v>0</v>
      </c>
      <c r="N271" s="7" t="n">
        <v>0</v>
      </c>
      <c r="O271" s="7">
        <f>A271&amp;"|"&amp;D271</f>
        <v/>
      </c>
    </row>
    <row r="272" ht="15" customHeight="1" s="5">
      <c r="A272" s="7" t="inlineStr">
        <is>
          <t>PRJ034</t>
        </is>
      </c>
      <c r="B272" s="7">
        <f>IFERROR(VLOOKUP(A272,Projects!$A:$AK,2,FALSE()),"")</f>
        <v/>
      </c>
      <c r="C272" s="7">
        <f>IFERROR(VLOOKUP(A272,Projects!$A:$AK,14,FALSE()),"")</f>
        <v/>
      </c>
      <c r="D272" s="7" t="inlineStr">
        <is>
          <t>Deployment</t>
        </is>
      </c>
      <c r="E272" s="7">
        <f>IFERROR(INDEX(_Stages!$A$1:$A$8,MIN(MATCH(D272,_Stages!$A$1:$A$8,0)+1,8)),"")</f>
        <v/>
      </c>
      <c r="F272" s="7" t="inlineStr">
        <is>
          <t>Not Started</t>
        </is>
      </c>
      <c r="G272" s="7" t="inlineStr">
        <is>
          <t>Not Started</t>
        </is>
      </c>
      <c r="H272" s="7" t="inlineStr">
        <is>
          <t>CMO</t>
        </is>
      </c>
      <c r="I272" s="8" t="n">
        <v>46330</v>
      </c>
      <c r="L272" s="7" t="inlineStr">
        <is>
          <t>Awaiting sponsor sign-off</t>
        </is>
      </c>
      <c r="M272" s="7" t="n">
        <v>0</v>
      </c>
      <c r="N272" s="7" t="n">
        <v>0</v>
      </c>
      <c r="O272" s="7">
        <f>A272&amp;"|"&amp;D272</f>
        <v/>
      </c>
    </row>
    <row r="273" ht="15" customHeight="1" s="5">
      <c r="A273" s="7" t="inlineStr">
        <is>
          <t>PRJ034</t>
        </is>
      </c>
      <c r="B273" s="7">
        <f>IFERROR(VLOOKUP(A273,Projects!$A:$AK,2,FALSE()),"")</f>
        <v/>
      </c>
      <c r="C273" s="7">
        <f>IFERROR(VLOOKUP(A273,Projects!$A:$AK,14,FALSE()),"")</f>
        <v/>
      </c>
      <c r="D273" s="7" t="inlineStr">
        <is>
          <t>Handover</t>
        </is>
      </c>
      <c r="E273" s="7">
        <f>IFERROR(INDEX(_Stages!$A$1:$A$8,MIN(MATCH(D273,_Stages!$A$1:$A$8,0)+1,8)),"")</f>
        <v/>
      </c>
      <c r="F273" s="7" t="inlineStr">
        <is>
          <t>Not Started</t>
        </is>
      </c>
      <c r="G273" s="7" t="inlineStr">
        <is>
          <t>Not Started</t>
        </is>
      </c>
      <c r="H273" s="7" t="inlineStr">
        <is>
          <t>CMO</t>
        </is>
      </c>
      <c r="I273" s="8" t="n">
        <v>46390</v>
      </c>
      <c r="M273" s="7" t="n">
        <v>0</v>
      </c>
      <c r="N273" s="7" t="n">
        <v>0</v>
      </c>
      <c r="O273" s="7">
        <f>A273&amp;"|"&amp;D273</f>
        <v/>
      </c>
    </row>
    <row r="274" ht="15" customHeight="1" s="5">
      <c r="A274" s="7" t="inlineStr">
        <is>
          <t>PRJ035</t>
        </is>
      </c>
      <c r="B274" s="7">
        <f>IFERROR(VLOOKUP(A274,Projects!$A:$AK,2,FALSE()),"")</f>
        <v/>
      </c>
      <c r="C274" s="7">
        <f>IFERROR(VLOOKUP(A274,Projects!$A:$AK,14,FALSE()),"")</f>
        <v/>
      </c>
      <c r="D274" s="7" t="inlineStr">
        <is>
          <t>Discovery</t>
        </is>
      </c>
      <c r="E274" s="7">
        <f>IFERROR(INDEX(_Stages!$A$1:$A$8,MIN(MATCH(D274,_Stages!$A$1:$A$8,0)+1,8)),"")</f>
        <v/>
      </c>
      <c r="F274" s="7" t="inlineStr">
        <is>
          <t>Approved</t>
        </is>
      </c>
      <c r="G274" s="7" t="inlineStr">
        <is>
          <t>Complete</t>
        </is>
      </c>
      <c r="H274" s="7" t="inlineStr">
        <is>
          <t>COO</t>
        </is>
      </c>
      <c r="I274" s="8" t="n">
        <v>45781</v>
      </c>
      <c r="J274" s="8" t="n">
        <v>45766</v>
      </c>
      <c r="K274" s="7" t="inlineStr">
        <is>
          <t>Held</t>
        </is>
      </c>
      <c r="L274" s="7" t="inlineStr">
        <is>
          <t>Awaiting sponsor sign-off</t>
        </is>
      </c>
      <c r="M274" s="7" t="n">
        <v>100</v>
      </c>
      <c r="N274" s="7" t="n">
        <v>0</v>
      </c>
      <c r="O274" s="7">
        <f>A274&amp;"|"&amp;D274</f>
        <v/>
      </c>
    </row>
    <row r="275" ht="15" customHeight="1" s="5">
      <c r="A275" s="7" t="inlineStr">
        <is>
          <t>PRJ035</t>
        </is>
      </c>
      <c r="B275" s="7">
        <f>IFERROR(VLOOKUP(A275,Projects!$A:$AK,2,FALSE()),"")</f>
        <v/>
      </c>
      <c r="C275" s="7">
        <f>IFERROR(VLOOKUP(A275,Projects!$A:$AK,14,FALSE()),"")</f>
        <v/>
      </c>
      <c r="D275" s="7" t="inlineStr">
        <is>
          <t>Business Case / Seed Funding</t>
        </is>
      </c>
      <c r="E275" s="7">
        <f>IFERROR(INDEX(_Stages!$A$1:$A$8,MIN(MATCH(D275,_Stages!$A$1:$A$8,0)+1,8)),"")</f>
        <v/>
      </c>
      <c r="F275" s="7" t="inlineStr">
        <is>
          <t>Approved</t>
        </is>
      </c>
      <c r="G275" s="7" t="inlineStr">
        <is>
          <t>Complete</t>
        </is>
      </c>
      <c r="H275" s="7" t="inlineStr">
        <is>
          <t>COO</t>
        </is>
      </c>
      <c r="I275" s="8" t="n">
        <v>45841</v>
      </c>
      <c r="J275" s="8" t="n">
        <v>45832</v>
      </c>
      <c r="K275" s="7" t="inlineStr">
        <is>
          <t>Conditional</t>
        </is>
      </c>
      <c r="L275" s="7" t="inlineStr">
        <is>
          <t>Approved with conditions</t>
        </is>
      </c>
      <c r="M275" s="7" t="n">
        <v>100</v>
      </c>
      <c r="N275" s="7" t="n">
        <v>0</v>
      </c>
      <c r="O275" s="7">
        <f>A275&amp;"|"&amp;D275</f>
        <v/>
      </c>
    </row>
    <row r="276" ht="15" customHeight="1" s="5">
      <c r="A276" s="7" t="inlineStr">
        <is>
          <t>PRJ035</t>
        </is>
      </c>
      <c r="B276" s="7">
        <f>IFERROR(VLOOKUP(A276,Projects!$A:$AK,2,FALSE()),"")</f>
        <v/>
      </c>
      <c r="C276" s="7">
        <f>IFERROR(VLOOKUP(A276,Projects!$A:$AK,14,FALSE()),"")</f>
        <v/>
      </c>
      <c r="D276" s="7" t="inlineStr">
        <is>
          <t>Design</t>
        </is>
      </c>
      <c r="E276" s="7">
        <f>IFERROR(INDEX(_Stages!$A$1:$A$8,MIN(MATCH(D276,_Stages!$A$1:$A$8,0)+1,8)),"")</f>
        <v/>
      </c>
      <c r="F276" s="7" t="inlineStr">
        <is>
          <t>Approved</t>
        </is>
      </c>
      <c r="G276" s="7" t="inlineStr">
        <is>
          <t>Complete</t>
        </is>
      </c>
      <c r="H276" s="7" t="inlineStr">
        <is>
          <t>COO</t>
        </is>
      </c>
      <c r="I276" s="8" t="n">
        <v>45901</v>
      </c>
      <c r="J276" s="8" t="n">
        <v>45912</v>
      </c>
      <c r="K276" s="7" t="inlineStr">
        <is>
          <t>Held</t>
        </is>
      </c>
      <c r="M276" s="7" t="n">
        <v>100</v>
      </c>
      <c r="N276" s="7" t="n">
        <v>11</v>
      </c>
      <c r="O276" s="7">
        <f>A276&amp;"|"&amp;D276</f>
        <v/>
      </c>
    </row>
    <row r="277" ht="15" customHeight="1" s="5">
      <c r="A277" s="7" t="inlineStr">
        <is>
          <t>PRJ035</t>
        </is>
      </c>
      <c r="B277" s="7">
        <f>IFERROR(VLOOKUP(A277,Projects!$A:$AK,2,FALSE()),"")</f>
        <v/>
      </c>
      <c r="C277" s="7">
        <f>IFERROR(VLOOKUP(A277,Projects!$A:$AK,14,FALSE()),"")</f>
        <v/>
      </c>
      <c r="D277" s="7" t="inlineStr">
        <is>
          <t>Business Case / Full Funding</t>
        </is>
      </c>
      <c r="E277" s="7">
        <f>IFERROR(INDEX(_Stages!$A$1:$A$8,MIN(MATCH(D277,_Stages!$A$1:$A$8,0)+1,8)),"")</f>
        <v/>
      </c>
      <c r="F277" s="7" t="inlineStr">
        <is>
          <t>Approved</t>
        </is>
      </c>
      <c r="G277" s="7" t="inlineStr">
        <is>
          <t>Complete</t>
        </is>
      </c>
      <c r="H277" s="7" t="inlineStr">
        <is>
          <t>COO</t>
        </is>
      </c>
      <c r="I277" s="8" t="n">
        <v>45961</v>
      </c>
      <c r="J277" s="8" t="n">
        <v>45955</v>
      </c>
      <c r="K277" s="7" t="inlineStr">
        <is>
          <t>Rework</t>
        </is>
      </c>
      <c r="M277" s="7" t="n">
        <v>100</v>
      </c>
      <c r="N277" s="7" t="n">
        <v>0</v>
      </c>
      <c r="O277" s="7">
        <f>A277&amp;"|"&amp;D277</f>
        <v/>
      </c>
    </row>
    <row r="278" ht="15" customHeight="1" s="5">
      <c r="A278" s="7" t="inlineStr">
        <is>
          <t>PRJ035</t>
        </is>
      </c>
      <c r="B278" s="7">
        <f>IFERROR(VLOOKUP(A278,Projects!$A:$AK,2,FALSE()),"")</f>
        <v/>
      </c>
      <c r="C278" s="7">
        <f>IFERROR(VLOOKUP(A278,Projects!$A:$AK,14,FALSE()),"")</f>
        <v/>
      </c>
      <c r="D278" s="7" t="inlineStr">
        <is>
          <t>Build</t>
        </is>
      </c>
      <c r="E278" s="7">
        <f>IFERROR(INDEX(_Stages!$A$1:$A$8,MIN(MATCH(D278,_Stages!$A$1:$A$8,0)+1,8)),"")</f>
        <v/>
      </c>
      <c r="F278" s="7" t="inlineStr">
        <is>
          <t>Approved</t>
        </is>
      </c>
      <c r="G278" s="7" t="inlineStr">
        <is>
          <t>Complete</t>
        </is>
      </c>
      <c r="H278" s="7" t="inlineStr">
        <is>
          <t>COO</t>
        </is>
      </c>
      <c r="I278" s="8" t="n">
        <v>46021</v>
      </c>
      <c r="J278" s="8" t="n">
        <v>46008</v>
      </c>
      <c r="K278" s="7" t="inlineStr">
        <is>
          <t>Conditional</t>
        </is>
      </c>
      <c r="L278" s="7" t="inlineStr">
        <is>
          <t>On track</t>
        </is>
      </c>
      <c r="M278" s="7" t="n">
        <v>100</v>
      </c>
      <c r="N278" s="7" t="n">
        <v>0</v>
      </c>
      <c r="O278" s="7">
        <f>A278&amp;"|"&amp;D278</f>
        <v/>
      </c>
    </row>
    <row r="279" ht="15" customHeight="1" s="5">
      <c r="A279" s="7" t="inlineStr">
        <is>
          <t>PRJ035</t>
        </is>
      </c>
      <c r="B279" s="7">
        <f>IFERROR(VLOOKUP(A279,Projects!$A:$AK,2,FALSE()),"")</f>
        <v/>
      </c>
      <c r="C279" s="7">
        <f>IFERROR(VLOOKUP(A279,Projects!$A:$AK,14,FALSE()),"")</f>
        <v/>
      </c>
      <c r="D279" s="7" t="inlineStr">
        <is>
          <t>Testing</t>
        </is>
      </c>
      <c r="E279" s="7">
        <f>IFERROR(INDEX(_Stages!$A$1:$A$8,MIN(MATCH(D279,_Stages!$A$1:$A$8,0)+1,8)),"")</f>
        <v/>
      </c>
      <c r="F279" s="7" t="inlineStr">
        <is>
          <t>In Progress</t>
        </is>
      </c>
      <c r="G279" s="7" t="inlineStr">
        <is>
          <t>In Progress</t>
        </is>
      </c>
      <c r="H279" s="7" t="inlineStr">
        <is>
          <t>COO</t>
        </is>
      </c>
      <c r="I279" s="8" t="n">
        <v>46081</v>
      </c>
      <c r="L279" s="7" t="inlineStr">
        <is>
          <t>On track</t>
        </is>
      </c>
      <c r="M279" s="7" t="n">
        <v>87</v>
      </c>
      <c r="N279" s="7" t="n">
        <v>0</v>
      </c>
      <c r="O279" s="7">
        <f>A279&amp;"|"&amp;D279</f>
        <v/>
      </c>
    </row>
    <row r="280" ht="15" customHeight="1" s="5">
      <c r="A280" s="7" t="inlineStr">
        <is>
          <t>PRJ035</t>
        </is>
      </c>
      <c r="B280" s="7">
        <f>IFERROR(VLOOKUP(A280,Projects!$A:$AK,2,FALSE()),"")</f>
        <v/>
      </c>
      <c r="C280" s="7">
        <f>IFERROR(VLOOKUP(A280,Projects!$A:$AK,14,FALSE()),"")</f>
        <v/>
      </c>
      <c r="D280" s="7" t="inlineStr">
        <is>
          <t>Deployment</t>
        </is>
      </c>
      <c r="E280" s="7">
        <f>IFERROR(INDEX(_Stages!$A$1:$A$8,MIN(MATCH(D280,_Stages!$A$1:$A$8,0)+1,8)),"")</f>
        <v/>
      </c>
      <c r="F280" s="7" t="inlineStr">
        <is>
          <t>Not Started</t>
        </is>
      </c>
      <c r="G280" s="7" t="inlineStr">
        <is>
          <t>Not Started</t>
        </is>
      </c>
      <c r="H280" s="7" t="inlineStr">
        <is>
          <t>COO</t>
        </is>
      </c>
      <c r="I280" s="8" t="n">
        <v>46141</v>
      </c>
      <c r="M280" s="7" t="n">
        <v>0</v>
      </c>
      <c r="N280" s="7" t="n">
        <v>0</v>
      </c>
      <c r="O280" s="7">
        <f>A280&amp;"|"&amp;D280</f>
        <v/>
      </c>
    </row>
    <row r="281" ht="15" customHeight="1" s="5">
      <c r="A281" s="7" t="inlineStr">
        <is>
          <t>PRJ035</t>
        </is>
      </c>
      <c r="B281" s="7">
        <f>IFERROR(VLOOKUP(A281,Projects!$A:$AK,2,FALSE()),"")</f>
        <v/>
      </c>
      <c r="C281" s="7">
        <f>IFERROR(VLOOKUP(A281,Projects!$A:$AK,14,FALSE()),"")</f>
        <v/>
      </c>
      <c r="D281" s="7" t="inlineStr">
        <is>
          <t>Handover</t>
        </is>
      </c>
      <c r="E281" s="7">
        <f>IFERROR(INDEX(_Stages!$A$1:$A$8,MIN(MATCH(D281,_Stages!$A$1:$A$8,0)+1,8)),"")</f>
        <v/>
      </c>
      <c r="F281" s="7" t="inlineStr">
        <is>
          <t>Not Started</t>
        </is>
      </c>
      <c r="G281" s="7" t="inlineStr">
        <is>
          <t>Not Started</t>
        </is>
      </c>
      <c r="H281" s="7" t="inlineStr">
        <is>
          <t>COO</t>
        </is>
      </c>
      <c r="I281" s="8" t="n">
        <v>46201</v>
      </c>
      <c r="L281" s="7" t="inlineStr">
        <is>
          <t>Approved with conditions</t>
        </is>
      </c>
      <c r="M281" s="7" t="n">
        <v>0</v>
      </c>
      <c r="N281" s="7" t="n">
        <v>0</v>
      </c>
      <c r="O281" s="7">
        <f>A281&amp;"|"&amp;D281</f>
        <v/>
      </c>
    </row>
    <row r="282" ht="15" customHeight="1" s="5">
      <c r="A282" s="7" t="inlineStr">
        <is>
          <t>PRJ036</t>
        </is>
      </c>
      <c r="B282" s="7">
        <f>IFERROR(VLOOKUP(A282,Projects!$A:$AK,2,FALSE()),"")</f>
        <v/>
      </c>
      <c r="C282" s="7">
        <f>IFERROR(VLOOKUP(A282,Projects!$A:$AK,14,FALSE()),"")</f>
        <v/>
      </c>
      <c r="D282" s="7" t="inlineStr">
        <is>
          <t>Discovery</t>
        </is>
      </c>
      <c r="E282" s="7">
        <f>IFERROR(INDEX(_Stages!$A$1:$A$8,MIN(MATCH(D282,_Stages!$A$1:$A$8,0)+1,8)),"")</f>
        <v/>
      </c>
      <c r="F282" s="7" t="inlineStr">
        <is>
          <t>Approved</t>
        </is>
      </c>
      <c r="G282" s="7" t="inlineStr">
        <is>
          <t>Complete</t>
        </is>
      </c>
      <c r="H282" s="7" t="inlineStr">
        <is>
          <t>CFO</t>
        </is>
      </c>
      <c r="I282" s="8" t="n">
        <v>45786</v>
      </c>
      <c r="J282" s="8" t="n">
        <v>45775</v>
      </c>
      <c r="K282" s="7" t="inlineStr">
        <is>
          <t>Proceed</t>
        </is>
      </c>
      <c r="L282" s="7" t="inlineStr">
        <is>
          <t>On track</t>
        </is>
      </c>
      <c r="M282" s="7" t="n">
        <v>100</v>
      </c>
      <c r="N282" s="7" t="n">
        <v>0</v>
      </c>
      <c r="O282" s="7">
        <f>A282&amp;"|"&amp;D282</f>
        <v/>
      </c>
    </row>
    <row r="283" ht="15" customHeight="1" s="5">
      <c r="A283" s="7" t="inlineStr">
        <is>
          <t>PRJ036</t>
        </is>
      </c>
      <c r="B283" s="7">
        <f>IFERROR(VLOOKUP(A283,Projects!$A:$AK,2,FALSE()),"")</f>
        <v/>
      </c>
      <c r="C283" s="7">
        <f>IFERROR(VLOOKUP(A283,Projects!$A:$AK,14,FALSE()),"")</f>
        <v/>
      </c>
      <c r="D283" s="7" t="inlineStr">
        <is>
          <t>Business Case / Seed Funding</t>
        </is>
      </c>
      <c r="E283" s="7">
        <f>IFERROR(INDEX(_Stages!$A$1:$A$8,MIN(MATCH(D283,_Stages!$A$1:$A$8,0)+1,8)),"")</f>
        <v/>
      </c>
      <c r="F283" s="7" t="inlineStr">
        <is>
          <t>Approved</t>
        </is>
      </c>
      <c r="G283" s="7" t="inlineStr">
        <is>
          <t>Complete</t>
        </is>
      </c>
      <c r="H283" s="7" t="inlineStr">
        <is>
          <t>CFO</t>
        </is>
      </c>
      <c r="I283" s="8" t="n">
        <v>45846</v>
      </c>
      <c r="J283" s="8" t="n">
        <v>45873</v>
      </c>
      <c r="K283" s="7" t="inlineStr">
        <is>
          <t>Conditional</t>
        </is>
      </c>
      <c r="L283" s="7" t="inlineStr">
        <is>
          <t>Approved with conditions</t>
        </is>
      </c>
      <c r="M283" s="7" t="n">
        <v>100</v>
      </c>
      <c r="N283" s="7" t="n">
        <v>27</v>
      </c>
      <c r="O283" s="7">
        <f>A283&amp;"|"&amp;D283</f>
        <v/>
      </c>
    </row>
    <row r="284" ht="15" customHeight="1" s="5">
      <c r="A284" s="7" t="inlineStr">
        <is>
          <t>PRJ036</t>
        </is>
      </c>
      <c r="B284" s="7">
        <f>IFERROR(VLOOKUP(A284,Projects!$A:$AK,2,FALSE()),"")</f>
        <v/>
      </c>
      <c r="C284" s="7">
        <f>IFERROR(VLOOKUP(A284,Projects!$A:$AK,14,FALSE()),"")</f>
        <v/>
      </c>
      <c r="D284" s="7" t="inlineStr">
        <is>
          <t>Design</t>
        </is>
      </c>
      <c r="E284" s="7">
        <f>IFERROR(INDEX(_Stages!$A$1:$A$8,MIN(MATCH(D284,_Stages!$A$1:$A$8,0)+1,8)),"")</f>
        <v/>
      </c>
      <c r="F284" s="7" t="inlineStr">
        <is>
          <t>Approved</t>
        </is>
      </c>
      <c r="G284" s="7" t="inlineStr">
        <is>
          <t>Complete</t>
        </is>
      </c>
      <c r="H284" s="7" t="inlineStr">
        <is>
          <t>CFO</t>
        </is>
      </c>
      <c r="I284" s="8" t="n">
        <v>45906</v>
      </c>
      <c r="J284" s="8" t="n">
        <v>45909</v>
      </c>
      <c r="K284" s="7" t="inlineStr">
        <is>
          <t>Rework</t>
        </is>
      </c>
      <c r="L284" s="7" t="inlineStr">
        <is>
          <t>Awaiting sponsor sign-off</t>
        </is>
      </c>
      <c r="M284" s="7" t="n">
        <v>100</v>
      </c>
      <c r="N284" s="7" t="n">
        <v>3</v>
      </c>
      <c r="O284" s="7">
        <f>A284&amp;"|"&amp;D284</f>
        <v/>
      </c>
    </row>
    <row r="285" ht="15" customHeight="1" s="5">
      <c r="A285" s="7" t="inlineStr">
        <is>
          <t>PRJ036</t>
        </is>
      </c>
      <c r="B285" s="7">
        <f>IFERROR(VLOOKUP(A285,Projects!$A:$AK,2,FALSE()),"")</f>
        <v/>
      </c>
      <c r="C285" s="7">
        <f>IFERROR(VLOOKUP(A285,Projects!$A:$AK,14,FALSE()),"")</f>
        <v/>
      </c>
      <c r="D285" s="7" t="inlineStr">
        <is>
          <t>Business Case / Full Funding</t>
        </is>
      </c>
      <c r="E285" s="7">
        <f>IFERROR(INDEX(_Stages!$A$1:$A$8,MIN(MATCH(D285,_Stages!$A$1:$A$8,0)+1,8)),"")</f>
        <v/>
      </c>
      <c r="F285" s="7" t="inlineStr">
        <is>
          <t>Approved</t>
        </is>
      </c>
      <c r="G285" s="7" t="inlineStr">
        <is>
          <t>Complete</t>
        </is>
      </c>
      <c r="H285" s="7" t="inlineStr">
        <is>
          <t>CFO</t>
        </is>
      </c>
      <c r="I285" s="8" t="n">
        <v>45966</v>
      </c>
      <c r="J285" s="8" t="n">
        <v>45976</v>
      </c>
      <c r="K285" s="7" t="inlineStr">
        <is>
          <t>Rework</t>
        </is>
      </c>
      <c r="L285" s="7" t="inlineStr">
        <is>
          <t>Awaiting sponsor sign-off</t>
        </is>
      </c>
      <c r="M285" s="7" t="n">
        <v>100</v>
      </c>
      <c r="N285" s="7" t="n">
        <v>10</v>
      </c>
      <c r="O285" s="7">
        <f>A285&amp;"|"&amp;D285</f>
        <v/>
      </c>
    </row>
    <row r="286" ht="15" customHeight="1" s="5">
      <c r="A286" s="7" t="inlineStr">
        <is>
          <t>PRJ036</t>
        </is>
      </c>
      <c r="B286" s="7">
        <f>IFERROR(VLOOKUP(A286,Projects!$A:$AK,2,FALSE()),"")</f>
        <v/>
      </c>
      <c r="C286" s="7">
        <f>IFERROR(VLOOKUP(A286,Projects!$A:$AK,14,FALSE()),"")</f>
        <v/>
      </c>
      <c r="D286" s="7" t="inlineStr">
        <is>
          <t>Build</t>
        </is>
      </c>
      <c r="E286" s="7">
        <f>IFERROR(INDEX(_Stages!$A$1:$A$8,MIN(MATCH(D286,_Stages!$A$1:$A$8,0)+1,8)),"")</f>
        <v/>
      </c>
      <c r="F286" s="7" t="inlineStr">
        <is>
          <t>Approved</t>
        </is>
      </c>
      <c r="G286" s="7" t="inlineStr">
        <is>
          <t>Complete</t>
        </is>
      </c>
      <c r="H286" s="7" t="inlineStr">
        <is>
          <t>CFO</t>
        </is>
      </c>
      <c r="I286" s="8" t="n">
        <v>46026</v>
      </c>
      <c r="J286" s="8" t="n">
        <v>46039</v>
      </c>
      <c r="K286" s="7" t="inlineStr">
        <is>
          <t>Rework</t>
        </is>
      </c>
      <c r="L286" s="7" t="inlineStr">
        <is>
          <t>Approved with conditions</t>
        </is>
      </c>
      <c r="M286" s="7" t="n">
        <v>100</v>
      </c>
      <c r="N286" s="7" t="n">
        <v>13</v>
      </c>
      <c r="O286" s="7">
        <f>A286&amp;"|"&amp;D286</f>
        <v/>
      </c>
    </row>
    <row r="287" ht="15" customHeight="1" s="5">
      <c r="A287" s="7" t="inlineStr">
        <is>
          <t>PRJ036</t>
        </is>
      </c>
      <c r="B287" s="7">
        <f>IFERROR(VLOOKUP(A287,Projects!$A:$AK,2,FALSE()),"")</f>
        <v/>
      </c>
      <c r="C287" s="7">
        <f>IFERROR(VLOOKUP(A287,Projects!$A:$AK,14,FALSE()),"")</f>
        <v/>
      </c>
      <c r="D287" s="7" t="inlineStr">
        <is>
          <t>Testing</t>
        </is>
      </c>
      <c r="E287" s="7">
        <f>IFERROR(INDEX(_Stages!$A$1:$A$8,MIN(MATCH(D287,_Stages!$A$1:$A$8,0)+1,8)),"")</f>
        <v/>
      </c>
      <c r="F287" s="7" t="inlineStr">
        <is>
          <t>Approved</t>
        </is>
      </c>
      <c r="G287" s="7" t="inlineStr">
        <is>
          <t>Complete</t>
        </is>
      </c>
      <c r="H287" s="7" t="inlineStr">
        <is>
          <t>CFO</t>
        </is>
      </c>
      <c r="I287" s="8" t="n">
        <v>46086</v>
      </c>
      <c r="J287" s="8" t="n">
        <v>46075</v>
      </c>
      <c r="K287" s="7" t="inlineStr">
        <is>
          <t>Conditional</t>
        </is>
      </c>
      <c r="L287" s="7" t="inlineStr">
        <is>
          <t>Approved with conditions</t>
        </is>
      </c>
      <c r="M287" s="7" t="n">
        <v>100</v>
      </c>
      <c r="N287" s="7" t="n">
        <v>0</v>
      </c>
      <c r="O287" s="7">
        <f>A287&amp;"|"&amp;D287</f>
        <v/>
      </c>
    </row>
    <row r="288" ht="15" customHeight="1" s="5">
      <c r="A288" s="7" t="inlineStr">
        <is>
          <t>PRJ036</t>
        </is>
      </c>
      <c r="B288" s="7">
        <f>IFERROR(VLOOKUP(A288,Projects!$A:$AK,2,FALSE()),"")</f>
        <v/>
      </c>
      <c r="C288" s="7">
        <f>IFERROR(VLOOKUP(A288,Projects!$A:$AK,14,FALSE()),"")</f>
        <v/>
      </c>
      <c r="D288" s="7" t="inlineStr">
        <is>
          <t>Deployment</t>
        </is>
      </c>
      <c r="E288" s="7">
        <f>IFERROR(INDEX(_Stages!$A$1:$A$8,MIN(MATCH(D288,_Stages!$A$1:$A$8,0)+1,8)),"")</f>
        <v/>
      </c>
      <c r="F288" s="7" t="inlineStr">
        <is>
          <t>Pending Approval</t>
        </is>
      </c>
      <c r="G288" s="7" t="inlineStr">
        <is>
          <t>In Progress</t>
        </is>
      </c>
      <c r="H288" s="7" t="inlineStr">
        <is>
          <t>CFO</t>
        </is>
      </c>
      <c r="I288" s="8" t="n">
        <v>46146</v>
      </c>
      <c r="L288" s="7" t="inlineStr">
        <is>
          <t>Approved with conditions</t>
        </is>
      </c>
      <c r="M288" s="7" t="n">
        <v>46</v>
      </c>
      <c r="N288" s="7" t="n">
        <v>0</v>
      </c>
      <c r="O288" s="7">
        <f>A288&amp;"|"&amp;D288</f>
        <v/>
      </c>
    </row>
    <row r="289" ht="15" customHeight="1" s="5">
      <c r="A289" s="7" t="inlineStr">
        <is>
          <t>PRJ036</t>
        </is>
      </c>
      <c r="B289" s="7">
        <f>IFERROR(VLOOKUP(A289,Projects!$A:$AK,2,FALSE()),"")</f>
        <v/>
      </c>
      <c r="C289" s="7">
        <f>IFERROR(VLOOKUP(A289,Projects!$A:$AK,14,FALSE()),"")</f>
        <v/>
      </c>
      <c r="D289" s="7" t="inlineStr">
        <is>
          <t>Handover</t>
        </is>
      </c>
      <c r="E289" s="7">
        <f>IFERROR(INDEX(_Stages!$A$1:$A$8,MIN(MATCH(D289,_Stages!$A$1:$A$8,0)+1,8)),"")</f>
        <v/>
      </c>
      <c r="F289" s="7" t="inlineStr">
        <is>
          <t>Not Started</t>
        </is>
      </c>
      <c r="G289" s="7" t="inlineStr">
        <is>
          <t>Not Started</t>
        </is>
      </c>
      <c r="H289" s="7" t="inlineStr">
        <is>
          <t>CFO</t>
        </is>
      </c>
      <c r="I289" s="8" t="n">
        <v>46206</v>
      </c>
      <c r="L289" s="7" t="inlineStr">
        <is>
          <t>On track</t>
        </is>
      </c>
      <c r="M289" s="7" t="n">
        <v>0</v>
      </c>
      <c r="N289" s="7" t="n">
        <v>0</v>
      </c>
      <c r="O289" s="7">
        <f>A289&amp;"|"&amp;D289</f>
        <v/>
      </c>
    </row>
    <row r="290" ht="15" customHeight="1" s="5">
      <c r="A290" s="7" t="inlineStr">
        <is>
          <t>PRJ037</t>
        </is>
      </c>
      <c r="B290" s="7">
        <f>IFERROR(VLOOKUP(A290,Projects!$A:$AK,2,FALSE()),"")</f>
        <v/>
      </c>
      <c r="C290" s="7">
        <f>IFERROR(VLOOKUP(A290,Projects!$A:$AK,14,FALSE()),"")</f>
        <v/>
      </c>
      <c r="D290" s="7" t="inlineStr">
        <is>
          <t>Discovery</t>
        </is>
      </c>
      <c r="E290" s="7">
        <f>IFERROR(INDEX(_Stages!$A$1:$A$8,MIN(MATCH(D290,_Stages!$A$1:$A$8,0)+1,8)),"")</f>
        <v/>
      </c>
      <c r="F290" s="7" t="inlineStr">
        <is>
          <t>Approved</t>
        </is>
      </c>
      <c r="G290" s="7" t="inlineStr">
        <is>
          <t>Complete</t>
        </is>
      </c>
      <c r="H290" s="7" t="inlineStr">
        <is>
          <t>CMO</t>
        </is>
      </c>
      <c r="I290" s="8" t="n">
        <v>45722</v>
      </c>
      <c r="J290" s="8" t="n">
        <v>45727</v>
      </c>
      <c r="K290" s="7" t="inlineStr">
        <is>
          <t>Held</t>
        </is>
      </c>
      <c r="M290" s="7" t="n">
        <v>100</v>
      </c>
      <c r="N290" s="7" t="n">
        <v>5</v>
      </c>
      <c r="O290" s="7">
        <f>A290&amp;"|"&amp;D290</f>
        <v/>
      </c>
    </row>
    <row r="291" ht="15" customHeight="1" s="5">
      <c r="A291" s="7" t="inlineStr">
        <is>
          <t>PRJ037</t>
        </is>
      </c>
      <c r="B291" s="7">
        <f>IFERROR(VLOOKUP(A291,Projects!$A:$AK,2,FALSE()),"")</f>
        <v/>
      </c>
      <c r="C291" s="7">
        <f>IFERROR(VLOOKUP(A291,Projects!$A:$AK,14,FALSE()),"")</f>
        <v/>
      </c>
      <c r="D291" s="7" t="inlineStr">
        <is>
          <t>Business Case / Seed Funding</t>
        </is>
      </c>
      <c r="E291" s="7">
        <f>IFERROR(INDEX(_Stages!$A$1:$A$8,MIN(MATCH(D291,_Stages!$A$1:$A$8,0)+1,8)),"")</f>
        <v/>
      </c>
      <c r="F291" s="7" t="inlineStr">
        <is>
          <t>Approved</t>
        </is>
      </c>
      <c r="G291" s="7" t="inlineStr">
        <is>
          <t>Complete</t>
        </is>
      </c>
      <c r="H291" s="7" t="inlineStr">
        <is>
          <t>CMO</t>
        </is>
      </c>
      <c r="I291" s="8" t="n">
        <v>45782</v>
      </c>
      <c r="J291" s="8" t="n">
        <v>45801</v>
      </c>
      <c r="K291" s="7" t="inlineStr">
        <is>
          <t>Rework</t>
        </is>
      </c>
      <c r="L291" s="7" t="inlineStr">
        <is>
          <t>Approved with conditions</t>
        </is>
      </c>
      <c r="M291" s="7" t="n">
        <v>100</v>
      </c>
      <c r="N291" s="7" t="n">
        <v>19</v>
      </c>
      <c r="O291" s="7">
        <f>A291&amp;"|"&amp;D291</f>
        <v/>
      </c>
    </row>
    <row r="292" ht="15" customHeight="1" s="5">
      <c r="A292" s="7" t="inlineStr">
        <is>
          <t>PRJ037</t>
        </is>
      </c>
      <c r="B292" s="7">
        <f>IFERROR(VLOOKUP(A292,Projects!$A:$AK,2,FALSE()),"")</f>
        <v/>
      </c>
      <c r="C292" s="7">
        <f>IFERROR(VLOOKUP(A292,Projects!$A:$AK,14,FALSE()),"")</f>
        <v/>
      </c>
      <c r="D292" s="7" t="inlineStr">
        <is>
          <t>Design</t>
        </is>
      </c>
      <c r="E292" s="7">
        <f>IFERROR(INDEX(_Stages!$A$1:$A$8,MIN(MATCH(D292,_Stages!$A$1:$A$8,0)+1,8)),"")</f>
        <v/>
      </c>
      <c r="F292" s="7" t="inlineStr">
        <is>
          <t>Approved</t>
        </is>
      </c>
      <c r="G292" s="7" t="inlineStr">
        <is>
          <t>Complete</t>
        </is>
      </c>
      <c r="H292" s="7" t="inlineStr">
        <is>
          <t>CMO</t>
        </is>
      </c>
      <c r="I292" s="8" t="n">
        <v>45842</v>
      </c>
      <c r="J292" s="8" t="n">
        <v>45855</v>
      </c>
      <c r="K292" s="7" t="inlineStr">
        <is>
          <t>Rework</t>
        </is>
      </c>
      <c r="L292" s="7" t="inlineStr">
        <is>
          <t>On track</t>
        </is>
      </c>
      <c r="M292" s="7" t="n">
        <v>100</v>
      </c>
      <c r="N292" s="7" t="n">
        <v>13</v>
      </c>
      <c r="O292" s="7">
        <f>A292&amp;"|"&amp;D292</f>
        <v/>
      </c>
    </row>
    <row r="293" ht="15" customHeight="1" s="5">
      <c r="A293" s="7" t="inlineStr">
        <is>
          <t>PRJ037</t>
        </is>
      </c>
      <c r="B293" s="7">
        <f>IFERROR(VLOOKUP(A293,Projects!$A:$AK,2,FALSE()),"")</f>
        <v/>
      </c>
      <c r="C293" s="7">
        <f>IFERROR(VLOOKUP(A293,Projects!$A:$AK,14,FALSE()),"")</f>
        <v/>
      </c>
      <c r="D293" s="7" t="inlineStr">
        <is>
          <t>Business Case / Full Funding</t>
        </is>
      </c>
      <c r="E293" s="7">
        <f>IFERROR(INDEX(_Stages!$A$1:$A$8,MIN(MATCH(D293,_Stages!$A$1:$A$8,0)+1,8)),"")</f>
        <v/>
      </c>
      <c r="F293" s="7" t="inlineStr">
        <is>
          <t>Approved</t>
        </is>
      </c>
      <c r="G293" s="7" t="inlineStr">
        <is>
          <t>Complete</t>
        </is>
      </c>
      <c r="H293" s="7" t="inlineStr">
        <is>
          <t>CMO</t>
        </is>
      </c>
      <c r="I293" s="8" t="n">
        <v>45902</v>
      </c>
      <c r="J293" s="8" t="n">
        <v>45903</v>
      </c>
      <c r="K293" s="7" t="inlineStr">
        <is>
          <t>Proceed</t>
        </is>
      </c>
      <c r="M293" s="7" t="n">
        <v>100</v>
      </c>
      <c r="N293" s="7" t="n">
        <v>1</v>
      </c>
      <c r="O293" s="7">
        <f>A293&amp;"|"&amp;D293</f>
        <v/>
      </c>
    </row>
    <row r="294" ht="15" customHeight="1" s="5">
      <c r="A294" s="7" t="inlineStr">
        <is>
          <t>PRJ037</t>
        </is>
      </c>
      <c r="B294" s="7">
        <f>IFERROR(VLOOKUP(A294,Projects!$A:$AK,2,FALSE()),"")</f>
        <v/>
      </c>
      <c r="C294" s="7">
        <f>IFERROR(VLOOKUP(A294,Projects!$A:$AK,14,FALSE()),"")</f>
        <v/>
      </c>
      <c r="D294" s="7" t="inlineStr">
        <is>
          <t>Build</t>
        </is>
      </c>
      <c r="E294" s="7">
        <f>IFERROR(INDEX(_Stages!$A$1:$A$8,MIN(MATCH(D294,_Stages!$A$1:$A$8,0)+1,8)),"")</f>
        <v/>
      </c>
      <c r="F294" s="7" t="inlineStr">
        <is>
          <t>Approved</t>
        </is>
      </c>
      <c r="G294" s="7" t="inlineStr">
        <is>
          <t>Complete</t>
        </is>
      </c>
      <c r="H294" s="7" t="inlineStr">
        <is>
          <t>CMO</t>
        </is>
      </c>
      <c r="I294" s="8" t="n">
        <v>45962</v>
      </c>
      <c r="J294" s="8" t="n">
        <v>45957</v>
      </c>
      <c r="K294" s="7" t="inlineStr">
        <is>
          <t>Rework</t>
        </is>
      </c>
      <c r="M294" s="7" t="n">
        <v>100</v>
      </c>
      <c r="N294" s="7" t="n">
        <v>0</v>
      </c>
      <c r="O294" s="7">
        <f>A294&amp;"|"&amp;D294</f>
        <v/>
      </c>
    </row>
    <row r="295" ht="15" customHeight="1" s="5">
      <c r="A295" s="7" t="inlineStr">
        <is>
          <t>PRJ037</t>
        </is>
      </c>
      <c r="B295" s="7">
        <f>IFERROR(VLOOKUP(A295,Projects!$A:$AK,2,FALSE()),"")</f>
        <v/>
      </c>
      <c r="C295" s="7">
        <f>IFERROR(VLOOKUP(A295,Projects!$A:$AK,14,FALSE()),"")</f>
        <v/>
      </c>
      <c r="D295" s="7" t="inlineStr">
        <is>
          <t>Testing</t>
        </is>
      </c>
      <c r="E295" s="7">
        <f>IFERROR(INDEX(_Stages!$A$1:$A$8,MIN(MATCH(D295,_Stages!$A$1:$A$8,0)+1,8)),"")</f>
        <v/>
      </c>
      <c r="F295" s="7" t="inlineStr">
        <is>
          <t>Approved</t>
        </is>
      </c>
      <c r="G295" s="7" t="inlineStr">
        <is>
          <t>Complete</t>
        </is>
      </c>
      <c r="H295" s="7" t="inlineStr">
        <is>
          <t>CMO</t>
        </is>
      </c>
      <c r="I295" s="8" t="n">
        <v>46022</v>
      </c>
      <c r="J295" s="8" t="n">
        <v>46020</v>
      </c>
      <c r="K295" s="7" t="inlineStr">
        <is>
          <t>Rework</t>
        </is>
      </c>
      <c r="L295" s="7" t="inlineStr">
        <is>
          <t>Approved with conditions</t>
        </is>
      </c>
      <c r="M295" s="7" t="n">
        <v>100</v>
      </c>
      <c r="N295" s="7" t="n">
        <v>0</v>
      </c>
      <c r="O295" s="7">
        <f>A295&amp;"|"&amp;D295</f>
        <v/>
      </c>
    </row>
    <row r="296" ht="15" customHeight="1" s="5">
      <c r="A296" s="7" t="inlineStr">
        <is>
          <t>PRJ037</t>
        </is>
      </c>
      <c r="B296" s="7">
        <f>IFERROR(VLOOKUP(A296,Projects!$A:$AK,2,FALSE()),"")</f>
        <v/>
      </c>
      <c r="C296" s="7">
        <f>IFERROR(VLOOKUP(A296,Projects!$A:$AK,14,FALSE()),"")</f>
        <v/>
      </c>
      <c r="D296" s="7" t="inlineStr">
        <is>
          <t>Deployment</t>
        </is>
      </c>
      <c r="E296" s="7">
        <f>IFERROR(INDEX(_Stages!$A$1:$A$8,MIN(MATCH(D296,_Stages!$A$1:$A$8,0)+1,8)),"")</f>
        <v/>
      </c>
      <c r="F296" s="7" t="inlineStr">
        <is>
          <t>Approved</t>
        </is>
      </c>
      <c r="G296" s="7" t="inlineStr">
        <is>
          <t>Complete</t>
        </is>
      </c>
      <c r="H296" s="7" t="inlineStr">
        <is>
          <t>CMO</t>
        </is>
      </c>
      <c r="I296" s="8" t="n">
        <v>46082</v>
      </c>
      <c r="J296" s="8" t="n">
        <v>46072</v>
      </c>
      <c r="K296" s="7" t="inlineStr">
        <is>
          <t>Conditional</t>
        </is>
      </c>
      <c r="L296" s="7" t="inlineStr">
        <is>
          <t>Awaiting sponsor sign-off</t>
        </is>
      </c>
      <c r="M296" s="7" t="n">
        <v>100</v>
      </c>
      <c r="N296" s="7" t="n">
        <v>0</v>
      </c>
      <c r="O296" s="7">
        <f>A296&amp;"|"&amp;D296</f>
        <v/>
      </c>
    </row>
    <row r="297" ht="15" customHeight="1" s="5">
      <c r="A297" s="7" t="inlineStr">
        <is>
          <t>PRJ037</t>
        </is>
      </c>
      <c r="B297" s="7">
        <f>IFERROR(VLOOKUP(A297,Projects!$A:$AK,2,FALSE()),"")</f>
        <v/>
      </c>
      <c r="C297" s="7">
        <f>IFERROR(VLOOKUP(A297,Projects!$A:$AK,14,FALSE()),"")</f>
        <v/>
      </c>
      <c r="D297" s="7" t="inlineStr">
        <is>
          <t>Handover</t>
        </is>
      </c>
      <c r="E297" s="7">
        <f>IFERROR(INDEX(_Stages!$A$1:$A$8,MIN(MATCH(D297,_Stages!$A$1:$A$8,0)+1,8)),"")</f>
        <v/>
      </c>
      <c r="F297" s="7" t="inlineStr">
        <is>
          <t>Pending Approval</t>
        </is>
      </c>
      <c r="G297" s="7" t="inlineStr">
        <is>
          <t>In Progress</t>
        </is>
      </c>
      <c r="H297" s="7" t="inlineStr">
        <is>
          <t>CMO</t>
        </is>
      </c>
      <c r="I297" s="8" t="n">
        <v>46142</v>
      </c>
      <c r="L297" s="7" t="inlineStr">
        <is>
          <t>Awaiting sponsor sign-off</t>
        </is>
      </c>
      <c r="M297" s="7" t="n">
        <v>56</v>
      </c>
      <c r="N297" s="7" t="n">
        <v>0</v>
      </c>
      <c r="O297" s="7">
        <f>A297&amp;"|"&amp;D297</f>
        <v/>
      </c>
    </row>
    <row r="298" ht="15" customHeight="1" s="5">
      <c r="A298" s="7" t="inlineStr">
        <is>
          <t>PRJ038</t>
        </is>
      </c>
      <c r="B298" s="7">
        <f>IFERROR(VLOOKUP(A298,Projects!$A:$AK,2,FALSE()),"")</f>
        <v/>
      </c>
      <c r="C298" s="7">
        <f>IFERROR(VLOOKUP(A298,Projects!$A:$AK,14,FALSE()),"")</f>
        <v/>
      </c>
      <c r="D298" s="7" t="inlineStr">
        <is>
          <t>Discovery</t>
        </is>
      </c>
      <c r="E298" s="7">
        <f>IFERROR(INDEX(_Stages!$A$1:$A$8,MIN(MATCH(D298,_Stages!$A$1:$A$8,0)+1,8)),"")</f>
        <v/>
      </c>
      <c r="F298" s="7" t="inlineStr">
        <is>
          <t>Approved</t>
        </is>
      </c>
      <c r="G298" s="7" t="inlineStr">
        <is>
          <t>Complete</t>
        </is>
      </c>
      <c r="H298" s="7" t="inlineStr">
        <is>
          <t>CIO</t>
        </is>
      </c>
      <c r="I298" s="8" t="n">
        <v>45909</v>
      </c>
      <c r="J298" s="8" t="n">
        <v>45895</v>
      </c>
      <c r="K298" s="7" t="inlineStr">
        <is>
          <t>Held</t>
        </is>
      </c>
      <c r="L298" s="7" t="inlineStr">
        <is>
          <t>On track</t>
        </is>
      </c>
      <c r="M298" s="7" t="n">
        <v>100</v>
      </c>
      <c r="N298" s="7" t="n">
        <v>0</v>
      </c>
      <c r="O298" s="7">
        <f>A298&amp;"|"&amp;D298</f>
        <v/>
      </c>
    </row>
    <row r="299" ht="15" customHeight="1" s="5">
      <c r="A299" s="7" t="inlineStr">
        <is>
          <t>PRJ038</t>
        </is>
      </c>
      <c r="B299" s="7">
        <f>IFERROR(VLOOKUP(A299,Projects!$A:$AK,2,FALSE()),"")</f>
        <v/>
      </c>
      <c r="C299" s="7">
        <f>IFERROR(VLOOKUP(A299,Projects!$A:$AK,14,FALSE()),"")</f>
        <v/>
      </c>
      <c r="D299" s="7" t="inlineStr">
        <is>
          <t>Business Case / Seed Funding</t>
        </is>
      </c>
      <c r="E299" s="7">
        <f>IFERROR(INDEX(_Stages!$A$1:$A$8,MIN(MATCH(D299,_Stages!$A$1:$A$8,0)+1,8)),"")</f>
        <v/>
      </c>
      <c r="F299" s="7" t="inlineStr">
        <is>
          <t>Approved</t>
        </is>
      </c>
      <c r="G299" s="7" t="inlineStr">
        <is>
          <t>Complete</t>
        </is>
      </c>
      <c r="H299" s="7" t="inlineStr">
        <is>
          <t>CIO</t>
        </is>
      </c>
      <c r="I299" s="8" t="n">
        <v>45969</v>
      </c>
      <c r="J299" s="8" t="n">
        <v>45989</v>
      </c>
      <c r="K299" s="7" t="inlineStr">
        <is>
          <t>Conditional</t>
        </is>
      </c>
      <c r="M299" s="7" t="n">
        <v>100</v>
      </c>
      <c r="N299" s="7" t="n">
        <v>20</v>
      </c>
      <c r="O299" s="7">
        <f>A299&amp;"|"&amp;D299</f>
        <v/>
      </c>
    </row>
    <row r="300" ht="15" customHeight="1" s="5">
      <c r="A300" s="7" t="inlineStr">
        <is>
          <t>PRJ038</t>
        </is>
      </c>
      <c r="B300" s="7">
        <f>IFERROR(VLOOKUP(A300,Projects!$A:$AK,2,FALSE()),"")</f>
        <v/>
      </c>
      <c r="C300" s="7">
        <f>IFERROR(VLOOKUP(A300,Projects!$A:$AK,14,FALSE()),"")</f>
        <v/>
      </c>
      <c r="D300" s="7" t="inlineStr">
        <is>
          <t>Design</t>
        </is>
      </c>
      <c r="E300" s="7">
        <f>IFERROR(INDEX(_Stages!$A$1:$A$8,MIN(MATCH(D300,_Stages!$A$1:$A$8,0)+1,8)),"")</f>
        <v/>
      </c>
      <c r="F300" s="7" t="inlineStr">
        <is>
          <t>Pending Approval</t>
        </is>
      </c>
      <c r="G300" s="7" t="inlineStr">
        <is>
          <t>In Progress</t>
        </is>
      </c>
      <c r="H300" s="7" t="inlineStr">
        <is>
          <t>CIO</t>
        </is>
      </c>
      <c r="I300" s="8" t="n">
        <v>46029</v>
      </c>
      <c r="L300" s="7" t="inlineStr">
        <is>
          <t>Approved with conditions</t>
        </is>
      </c>
      <c r="M300" s="7" t="n">
        <v>47</v>
      </c>
      <c r="N300" s="7" t="n">
        <v>0</v>
      </c>
      <c r="O300" s="7">
        <f>A300&amp;"|"&amp;D300</f>
        <v/>
      </c>
    </row>
    <row r="301" ht="15" customHeight="1" s="5">
      <c r="A301" s="7" t="inlineStr">
        <is>
          <t>PRJ038</t>
        </is>
      </c>
      <c r="B301" s="7">
        <f>IFERROR(VLOOKUP(A301,Projects!$A:$AK,2,FALSE()),"")</f>
        <v/>
      </c>
      <c r="C301" s="7">
        <f>IFERROR(VLOOKUP(A301,Projects!$A:$AK,14,FALSE()),"")</f>
        <v/>
      </c>
      <c r="D301" s="7" t="inlineStr">
        <is>
          <t>Business Case / Full Funding</t>
        </is>
      </c>
      <c r="E301" s="7">
        <f>IFERROR(INDEX(_Stages!$A$1:$A$8,MIN(MATCH(D301,_Stages!$A$1:$A$8,0)+1,8)),"")</f>
        <v/>
      </c>
      <c r="F301" s="7" t="inlineStr">
        <is>
          <t>Not Started</t>
        </is>
      </c>
      <c r="G301" s="7" t="inlineStr">
        <is>
          <t>Not Started</t>
        </is>
      </c>
      <c r="H301" s="7" t="inlineStr">
        <is>
          <t>CIO</t>
        </is>
      </c>
      <c r="I301" s="8" t="n">
        <v>46089</v>
      </c>
      <c r="M301" s="7" t="n">
        <v>0</v>
      </c>
      <c r="N301" s="7" t="n">
        <v>0</v>
      </c>
      <c r="O301" s="7">
        <f>A301&amp;"|"&amp;D301</f>
        <v/>
      </c>
    </row>
    <row r="302" ht="15" customHeight="1" s="5">
      <c r="A302" s="7" t="inlineStr">
        <is>
          <t>PRJ038</t>
        </is>
      </c>
      <c r="B302" s="7">
        <f>IFERROR(VLOOKUP(A302,Projects!$A:$AK,2,FALSE()),"")</f>
        <v/>
      </c>
      <c r="C302" s="7">
        <f>IFERROR(VLOOKUP(A302,Projects!$A:$AK,14,FALSE()),"")</f>
        <v/>
      </c>
      <c r="D302" s="7" t="inlineStr">
        <is>
          <t>Build</t>
        </is>
      </c>
      <c r="E302" s="7">
        <f>IFERROR(INDEX(_Stages!$A$1:$A$8,MIN(MATCH(D302,_Stages!$A$1:$A$8,0)+1,8)),"")</f>
        <v/>
      </c>
      <c r="F302" s="7" t="inlineStr">
        <is>
          <t>Not Started</t>
        </is>
      </c>
      <c r="G302" s="7" t="inlineStr">
        <is>
          <t>Not Started</t>
        </is>
      </c>
      <c r="H302" s="7" t="inlineStr">
        <is>
          <t>CIO</t>
        </is>
      </c>
      <c r="I302" s="8" t="n">
        <v>46149</v>
      </c>
      <c r="L302" s="7" t="inlineStr">
        <is>
          <t>Approved with conditions</t>
        </is>
      </c>
      <c r="M302" s="7" t="n">
        <v>0</v>
      </c>
      <c r="N302" s="7" t="n">
        <v>0</v>
      </c>
      <c r="O302" s="7">
        <f>A302&amp;"|"&amp;D302</f>
        <v/>
      </c>
    </row>
    <row r="303" ht="15" customHeight="1" s="5">
      <c r="A303" s="7" t="inlineStr">
        <is>
          <t>PRJ038</t>
        </is>
      </c>
      <c r="B303" s="7">
        <f>IFERROR(VLOOKUP(A303,Projects!$A:$AK,2,FALSE()),"")</f>
        <v/>
      </c>
      <c r="C303" s="7">
        <f>IFERROR(VLOOKUP(A303,Projects!$A:$AK,14,FALSE()),"")</f>
        <v/>
      </c>
      <c r="D303" s="7" t="inlineStr">
        <is>
          <t>Testing</t>
        </is>
      </c>
      <c r="E303" s="7">
        <f>IFERROR(INDEX(_Stages!$A$1:$A$8,MIN(MATCH(D303,_Stages!$A$1:$A$8,0)+1,8)),"")</f>
        <v/>
      </c>
      <c r="F303" s="7" t="inlineStr">
        <is>
          <t>Not Started</t>
        </is>
      </c>
      <c r="G303" s="7" t="inlineStr">
        <is>
          <t>Not Started</t>
        </is>
      </c>
      <c r="H303" s="7" t="inlineStr">
        <is>
          <t>CIO</t>
        </is>
      </c>
      <c r="I303" s="8" t="n">
        <v>46209</v>
      </c>
      <c r="L303" s="7" t="inlineStr">
        <is>
          <t>On track</t>
        </is>
      </c>
      <c r="M303" s="7" t="n">
        <v>0</v>
      </c>
      <c r="N303" s="7" t="n">
        <v>0</v>
      </c>
      <c r="O303" s="7">
        <f>A303&amp;"|"&amp;D303</f>
        <v/>
      </c>
    </row>
    <row r="304" ht="15" customHeight="1" s="5">
      <c r="A304" s="7" t="inlineStr">
        <is>
          <t>PRJ038</t>
        </is>
      </c>
      <c r="B304" s="7">
        <f>IFERROR(VLOOKUP(A304,Projects!$A:$AK,2,FALSE()),"")</f>
        <v/>
      </c>
      <c r="C304" s="7">
        <f>IFERROR(VLOOKUP(A304,Projects!$A:$AK,14,FALSE()),"")</f>
        <v/>
      </c>
      <c r="D304" s="7" t="inlineStr">
        <is>
          <t>Deployment</t>
        </is>
      </c>
      <c r="E304" s="7">
        <f>IFERROR(INDEX(_Stages!$A$1:$A$8,MIN(MATCH(D304,_Stages!$A$1:$A$8,0)+1,8)),"")</f>
        <v/>
      </c>
      <c r="F304" s="7" t="inlineStr">
        <is>
          <t>Not Started</t>
        </is>
      </c>
      <c r="G304" s="7" t="inlineStr">
        <is>
          <t>Not Started</t>
        </is>
      </c>
      <c r="H304" s="7" t="inlineStr">
        <is>
          <t>CIO</t>
        </is>
      </c>
      <c r="I304" s="8" t="n">
        <v>46269</v>
      </c>
      <c r="M304" s="7" t="n">
        <v>0</v>
      </c>
      <c r="N304" s="7" t="n">
        <v>0</v>
      </c>
      <c r="O304" s="7">
        <f>A304&amp;"|"&amp;D304</f>
        <v/>
      </c>
    </row>
    <row r="305" ht="15" customHeight="1" s="5">
      <c r="A305" s="7" t="inlineStr">
        <is>
          <t>PRJ038</t>
        </is>
      </c>
      <c r="B305" s="7">
        <f>IFERROR(VLOOKUP(A305,Projects!$A:$AK,2,FALSE()),"")</f>
        <v/>
      </c>
      <c r="C305" s="7">
        <f>IFERROR(VLOOKUP(A305,Projects!$A:$AK,14,FALSE()),"")</f>
        <v/>
      </c>
      <c r="D305" s="7" t="inlineStr">
        <is>
          <t>Handover</t>
        </is>
      </c>
      <c r="E305" s="7">
        <f>IFERROR(INDEX(_Stages!$A$1:$A$8,MIN(MATCH(D305,_Stages!$A$1:$A$8,0)+1,8)),"")</f>
        <v/>
      </c>
      <c r="F305" s="7" t="inlineStr">
        <is>
          <t>Not Started</t>
        </is>
      </c>
      <c r="G305" s="7" t="inlineStr">
        <is>
          <t>Not Started</t>
        </is>
      </c>
      <c r="H305" s="7" t="inlineStr">
        <is>
          <t>CIO</t>
        </is>
      </c>
      <c r="I305" s="8" t="n">
        <v>46329</v>
      </c>
      <c r="L305" s="7" t="inlineStr">
        <is>
          <t>Awaiting sponsor sign-off</t>
        </is>
      </c>
      <c r="M305" s="7" t="n">
        <v>0</v>
      </c>
      <c r="N305" s="7" t="n">
        <v>0</v>
      </c>
      <c r="O305" s="7">
        <f>A305&amp;"|"&amp;D305</f>
        <v/>
      </c>
    </row>
    <row r="306" ht="15" customHeight="1" s="5">
      <c r="A306" s="7" t="inlineStr">
        <is>
          <t>PRJ039</t>
        </is>
      </c>
      <c r="B306" s="7">
        <f>IFERROR(VLOOKUP(A306,Projects!$A:$AK,2,FALSE()),"")</f>
        <v/>
      </c>
      <c r="C306" s="7">
        <f>IFERROR(VLOOKUP(A306,Projects!$A:$AK,14,FALSE()),"")</f>
        <v/>
      </c>
      <c r="D306" s="7" t="inlineStr">
        <is>
          <t>Discovery</t>
        </is>
      </c>
      <c r="E306" s="7">
        <f>IFERROR(INDEX(_Stages!$A$1:$A$8,MIN(MATCH(D306,_Stages!$A$1:$A$8,0)+1,8)),"")</f>
        <v/>
      </c>
      <c r="F306" s="7" t="inlineStr">
        <is>
          <t>Approved</t>
        </is>
      </c>
      <c r="G306" s="7" t="inlineStr">
        <is>
          <t>Complete</t>
        </is>
      </c>
      <c r="H306" s="7" t="inlineStr">
        <is>
          <t>CIO</t>
        </is>
      </c>
      <c r="I306" s="8" t="n">
        <v>45975</v>
      </c>
      <c r="J306" s="8" t="n">
        <v>45961</v>
      </c>
      <c r="K306" s="7" t="inlineStr">
        <is>
          <t>Proceed</t>
        </is>
      </c>
      <c r="L306" s="7" t="inlineStr">
        <is>
          <t>Approved with conditions</t>
        </is>
      </c>
      <c r="M306" s="7" t="n">
        <v>100</v>
      </c>
      <c r="N306" s="7" t="n">
        <v>0</v>
      </c>
      <c r="O306" s="7">
        <f>A306&amp;"|"&amp;D306</f>
        <v/>
      </c>
    </row>
    <row r="307" ht="15" customHeight="1" s="5">
      <c r="A307" s="7" t="inlineStr">
        <is>
          <t>PRJ039</t>
        </is>
      </c>
      <c r="B307" s="7">
        <f>IFERROR(VLOOKUP(A307,Projects!$A:$AK,2,FALSE()),"")</f>
        <v/>
      </c>
      <c r="C307" s="7">
        <f>IFERROR(VLOOKUP(A307,Projects!$A:$AK,14,FALSE()),"")</f>
        <v/>
      </c>
      <c r="D307" s="7" t="inlineStr">
        <is>
          <t>Business Case / Seed Funding</t>
        </is>
      </c>
      <c r="E307" s="7">
        <f>IFERROR(INDEX(_Stages!$A$1:$A$8,MIN(MATCH(D307,_Stages!$A$1:$A$8,0)+1,8)),"")</f>
        <v/>
      </c>
      <c r="F307" s="7" t="inlineStr">
        <is>
          <t>In Progress</t>
        </is>
      </c>
      <c r="G307" s="7" t="inlineStr">
        <is>
          <t>In Progress</t>
        </is>
      </c>
      <c r="H307" s="7" t="inlineStr">
        <is>
          <t>CIO</t>
        </is>
      </c>
      <c r="I307" s="8" t="n">
        <v>46035</v>
      </c>
      <c r="L307" s="7" t="inlineStr">
        <is>
          <t>Approved with conditions</t>
        </is>
      </c>
      <c r="M307" s="7" t="n">
        <v>45</v>
      </c>
      <c r="N307" s="7" t="n">
        <v>0</v>
      </c>
      <c r="O307" s="7">
        <f>A307&amp;"|"&amp;D307</f>
        <v/>
      </c>
    </row>
    <row r="308" ht="15" customHeight="1" s="5">
      <c r="A308" s="7" t="inlineStr">
        <is>
          <t>PRJ039</t>
        </is>
      </c>
      <c r="B308" s="7">
        <f>IFERROR(VLOOKUP(A308,Projects!$A:$AK,2,FALSE()),"")</f>
        <v/>
      </c>
      <c r="C308" s="7">
        <f>IFERROR(VLOOKUP(A308,Projects!$A:$AK,14,FALSE()),"")</f>
        <v/>
      </c>
      <c r="D308" s="7" t="inlineStr">
        <is>
          <t>Design</t>
        </is>
      </c>
      <c r="E308" s="7">
        <f>IFERROR(INDEX(_Stages!$A$1:$A$8,MIN(MATCH(D308,_Stages!$A$1:$A$8,0)+1,8)),"")</f>
        <v/>
      </c>
      <c r="F308" s="7" t="inlineStr">
        <is>
          <t>Not Started</t>
        </is>
      </c>
      <c r="G308" s="7" t="inlineStr">
        <is>
          <t>Not Started</t>
        </is>
      </c>
      <c r="H308" s="7" t="inlineStr">
        <is>
          <t>CIO</t>
        </is>
      </c>
      <c r="I308" s="8" t="n">
        <v>46095</v>
      </c>
      <c r="M308" s="7" t="n">
        <v>0</v>
      </c>
      <c r="N308" s="7" t="n">
        <v>0</v>
      </c>
      <c r="O308" s="7">
        <f>A308&amp;"|"&amp;D308</f>
        <v/>
      </c>
    </row>
    <row r="309" ht="15" customHeight="1" s="5">
      <c r="A309" s="7" t="inlineStr">
        <is>
          <t>PRJ039</t>
        </is>
      </c>
      <c r="B309" s="7">
        <f>IFERROR(VLOOKUP(A309,Projects!$A:$AK,2,FALSE()),"")</f>
        <v/>
      </c>
      <c r="C309" s="7">
        <f>IFERROR(VLOOKUP(A309,Projects!$A:$AK,14,FALSE()),"")</f>
        <v/>
      </c>
      <c r="D309" s="7" t="inlineStr">
        <is>
          <t>Business Case / Full Funding</t>
        </is>
      </c>
      <c r="E309" s="7">
        <f>IFERROR(INDEX(_Stages!$A$1:$A$8,MIN(MATCH(D309,_Stages!$A$1:$A$8,0)+1,8)),"")</f>
        <v/>
      </c>
      <c r="F309" s="7" t="inlineStr">
        <is>
          <t>Not Started</t>
        </is>
      </c>
      <c r="G309" s="7" t="inlineStr">
        <is>
          <t>Not Started</t>
        </is>
      </c>
      <c r="H309" s="7" t="inlineStr">
        <is>
          <t>CIO</t>
        </is>
      </c>
      <c r="I309" s="8" t="n">
        <v>46155</v>
      </c>
      <c r="L309" s="7" t="inlineStr">
        <is>
          <t>On track</t>
        </is>
      </c>
      <c r="M309" s="7" t="n">
        <v>0</v>
      </c>
      <c r="N309" s="7" t="n">
        <v>0</v>
      </c>
      <c r="O309" s="7">
        <f>A309&amp;"|"&amp;D309</f>
        <v/>
      </c>
    </row>
    <row r="310" ht="15" customHeight="1" s="5">
      <c r="A310" s="7" t="inlineStr">
        <is>
          <t>PRJ039</t>
        </is>
      </c>
      <c r="B310" s="7">
        <f>IFERROR(VLOOKUP(A310,Projects!$A:$AK,2,FALSE()),"")</f>
        <v/>
      </c>
      <c r="C310" s="7">
        <f>IFERROR(VLOOKUP(A310,Projects!$A:$AK,14,FALSE()),"")</f>
        <v/>
      </c>
      <c r="D310" s="7" t="inlineStr">
        <is>
          <t>Build</t>
        </is>
      </c>
      <c r="E310" s="7">
        <f>IFERROR(INDEX(_Stages!$A$1:$A$8,MIN(MATCH(D310,_Stages!$A$1:$A$8,0)+1,8)),"")</f>
        <v/>
      </c>
      <c r="F310" s="7" t="inlineStr">
        <is>
          <t>Not Started</t>
        </is>
      </c>
      <c r="G310" s="7" t="inlineStr">
        <is>
          <t>Not Started</t>
        </is>
      </c>
      <c r="H310" s="7" t="inlineStr">
        <is>
          <t>CIO</t>
        </is>
      </c>
      <c r="I310" s="8" t="n">
        <v>46215</v>
      </c>
      <c r="L310" s="7" t="inlineStr">
        <is>
          <t>Approved with conditions</t>
        </is>
      </c>
      <c r="M310" s="7" t="n">
        <v>0</v>
      </c>
      <c r="N310" s="7" t="n">
        <v>0</v>
      </c>
      <c r="O310" s="7">
        <f>A310&amp;"|"&amp;D310</f>
        <v/>
      </c>
    </row>
    <row r="311" ht="15" customHeight="1" s="5">
      <c r="A311" s="7" t="inlineStr">
        <is>
          <t>PRJ039</t>
        </is>
      </c>
      <c r="B311" s="7">
        <f>IFERROR(VLOOKUP(A311,Projects!$A:$AK,2,FALSE()),"")</f>
        <v/>
      </c>
      <c r="C311" s="7">
        <f>IFERROR(VLOOKUP(A311,Projects!$A:$AK,14,FALSE()),"")</f>
        <v/>
      </c>
      <c r="D311" s="7" t="inlineStr">
        <is>
          <t>Testing</t>
        </is>
      </c>
      <c r="E311" s="7">
        <f>IFERROR(INDEX(_Stages!$A$1:$A$8,MIN(MATCH(D311,_Stages!$A$1:$A$8,0)+1,8)),"")</f>
        <v/>
      </c>
      <c r="F311" s="7" t="inlineStr">
        <is>
          <t>Not Started</t>
        </is>
      </c>
      <c r="G311" s="7" t="inlineStr">
        <is>
          <t>Not Started</t>
        </is>
      </c>
      <c r="H311" s="7" t="inlineStr">
        <is>
          <t>CIO</t>
        </is>
      </c>
      <c r="I311" s="8" t="n">
        <v>46275</v>
      </c>
      <c r="L311" s="7" t="inlineStr">
        <is>
          <t>On track</t>
        </is>
      </c>
      <c r="M311" s="7" t="n">
        <v>0</v>
      </c>
      <c r="N311" s="7" t="n">
        <v>0</v>
      </c>
      <c r="O311" s="7">
        <f>A311&amp;"|"&amp;D311</f>
        <v/>
      </c>
    </row>
    <row r="312" ht="15" customHeight="1" s="5">
      <c r="A312" s="7" t="inlineStr">
        <is>
          <t>PRJ039</t>
        </is>
      </c>
      <c r="B312" s="7">
        <f>IFERROR(VLOOKUP(A312,Projects!$A:$AK,2,FALSE()),"")</f>
        <v/>
      </c>
      <c r="C312" s="7">
        <f>IFERROR(VLOOKUP(A312,Projects!$A:$AK,14,FALSE()),"")</f>
        <v/>
      </c>
      <c r="D312" s="7" t="inlineStr">
        <is>
          <t>Deployment</t>
        </is>
      </c>
      <c r="E312" s="7">
        <f>IFERROR(INDEX(_Stages!$A$1:$A$8,MIN(MATCH(D312,_Stages!$A$1:$A$8,0)+1,8)),"")</f>
        <v/>
      </c>
      <c r="F312" s="7" t="inlineStr">
        <is>
          <t>Not Started</t>
        </is>
      </c>
      <c r="G312" s="7" t="inlineStr">
        <is>
          <t>Not Started</t>
        </is>
      </c>
      <c r="H312" s="7" t="inlineStr">
        <is>
          <t>CIO</t>
        </is>
      </c>
      <c r="I312" s="8" t="n">
        <v>46335</v>
      </c>
      <c r="L312" s="7" t="inlineStr">
        <is>
          <t>On track</t>
        </is>
      </c>
      <c r="M312" s="7" t="n">
        <v>0</v>
      </c>
      <c r="N312" s="7" t="n">
        <v>0</v>
      </c>
      <c r="O312" s="7">
        <f>A312&amp;"|"&amp;D312</f>
        <v/>
      </c>
    </row>
    <row r="313" ht="15" customHeight="1" s="5">
      <c r="A313" s="7" t="inlineStr">
        <is>
          <t>PRJ039</t>
        </is>
      </c>
      <c r="B313" s="7">
        <f>IFERROR(VLOOKUP(A313,Projects!$A:$AK,2,FALSE()),"")</f>
        <v/>
      </c>
      <c r="C313" s="7">
        <f>IFERROR(VLOOKUP(A313,Projects!$A:$AK,14,FALSE()),"")</f>
        <v/>
      </c>
      <c r="D313" s="7" t="inlineStr">
        <is>
          <t>Handover</t>
        </is>
      </c>
      <c r="E313" s="7">
        <f>IFERROR(INDEX(_Stages!$A$1:$A$8,MIN(MATCH(D313,_Stages!$A$1:$A$8,0)+1,8)),"")</f>
        <v/>
      </c>
      <c r="F313" s="7" t="inlineStr">
        <is>
          <t>Not Started</t>
        </is>
      </c>
      <c r="G313" s="7" t="inlineStr">
        <is>
          <t>Not Started</t>
        </is>
      </c>
      <c r="H313" s="7" t="inlineStr">
        <is>
          <t>CIO</t>
        </is>
      </c>
      <c r="I313" s="8" t="n">
        <v>46395</v>
      </c>
      <c r="L313" s="7" t="inlineStr">
        <is>
          <t>On track</t>
        </is>
      </c>
      <c r="M313" s="7" t="n">
        <v>0</v>
      </c>
      <c r="N313" s="7" t="n">
        <v>0</v>
      </c>
      <c r="O313" s="7">
        <f>A313&amp;"|"&amp;D313</f>
        <v/>
      </c>
    </row>
    <row r="314" ht="15" customHeight="1" s="5">
      <c r="A314" s="7" t="inlineStr">
        <is>
          <t>PRJ040</t>
        </is>
      </c>
      <c r="B314" s="7">
        <f>IFERROR(VLOOKUP(A314,Projects!$A:$AK,2,FALSE()),"")</f>
        <v/>
      </c>
      <c r="C314" s="7">
        <f>IFERROR(VLOOKUP(A314,Projects!$A:$AK,14,FALSE()),"")</f>
        <v/>
      </c>
      <c r="D314" s="7" t="inlineStr">
        <is>
          <t>Discovery</t>
        </is>
      </c>
      <c r="E314" s="7">
        <f>IFERROR(INDEX(_Stages!$A$1:$A$8,MIN(MATCH(D314,_Stages!$A$1:$A$8,0)+1,8)),"")</f>
        <v/>
      </c>
      <c r="F314" s="7" t="inlineStr">
        <is>
          <t>Approved</t>
        </is>
      </c>
      <c r="G314" s="7" t="inlineStr">
        <is>
          <t>Complete</t>
        </is>
      </c>
      <c r="H314" s="7" t="inlineStr">
        <is>
          <t>CIO</t>
        </is>
      </c>
      <c r="I314" s="8" t="n">
        <v>45694</v>
      </c>
      <c r="J314" s="8" t="n">
        <v>45690</v>
      </c>
      <c r="K314" s="7" t="inlineStr">
        <is>
          <t>Rework</t>
        </is>
      </c>
      <c r="L314" s="7" t="inlineStr">
        <is>
          <t>Approved with conditions</t>
        </is>
      </c>
      <c r="M314" s="7" t="n">
        <v>100</v>
      </c>
      <c r="N314" s="7" t="n">
        <v>0</v>
      </c>
      <c r="O314" s="7">
        <f>A314&amp;"|"&amp;D314</f>
        <v/>
      </c>
    </row>
    <row r="315" ht="15" customHeight="1" s="5">
      <c r="A315" s="7" t="inlineStr">
        <is>
          <t>PRJ040</t>
        </is>
      </c>
      <c r="B315" s="7">
        <f>IFERROR(VLOOKUP(A315,Projects!$A:$AK,2,FALSE()),"")</f>
        <v/>
      </c>
      <c r="C315" s="7">
        <f>IFERROR(VLOOKUP(A315,Projects!$A:$AK,14,FALSE()),"")</f>
        <v/>
      </c>
      <c r="D315" s="7" t="inlineStr">
        <is>
          <t>Business Case / Seed Funding</t>
        </is>
      </c>
      <c r="E315" s="7">
        <f>IFERROR(INDEX(_Stages!$A$1:$A$8,MIN(MATCH(D315,_Stages!$A$1:$A$8,0)+1,8)),"")</f>
        <v/>
      </c>
      <c r="F315" s="7" t="inlineStr">
        <is>
          <t>Approved</t>
        </is>
      </c>
      <c r="G315" s="7" t="inlineStr">
        <is>
          <t>Complete</t>
        </is>
      </c>
      <c r="H315" s="7" t="inlineStr">
        <is>
          <t>CIO</t>
        </is>
      </c>
      <c r="I315" s="8" t="n">
        <v>45754</v>
      </c>
      <c r="J315" s="8" t="n">
        <v>45750</v>
      </c>
      <c r="K315" s="7" t="inlineStr">
        <is>
          <t>Rework</t>
        </is>
      </c>
      <c r="L315" s="7" t="inlineStr">
        <is>
          <t>Awaiting sponsor sign-off</t>
        </is>
      </c>
      <c r="M315" s="7" t="n">
        <v>100</v>
      </c>
      <c r="N315" s="7" t="n">
        <v>0</v>
      </c>
      <c r="O315" s="7">
        <f>A315&amp;"|"&amp;D315</f>
        <v/>
      </c>
    </row>
    <row r="316" ht="15" customHeight="1" s="5">
      <c r="A316" s="7" t="inlineStr">
        <is>
          <t>PRJ040</t>
        </is>
      </c>
      <c r="B316" s="7">
        <f>IFERROR(VLOOKUP(A316,Projects!$A:$AK,2,FALSE()),"")</f>
        <v/>
      </c>
      <c r="C316" s="7">
        <f>IFERROR(VLOOKUP(A316,Projects!$A:$AK,14,FALSE()),"")</f>
        <v/>
      </c>
      <c r="D316" s="7" t="inlineStr">
        <is>
          <t>Design</t>
        </is>
      </c>
      <c r="E316" s="7">
        <f>IFERROR(INDEX(_Stages!$A$1:$A$8,MIN(MATCH(D316,_Stages!$A$1:$A$8,0)+1,8)),"")</f>
        <v/>
      </c>
      <c r="F316" s="7" t="inlineStr">
        <is>
          <t>Approved</t>
        </is>
      </c>
      <c r="G316" s="7" t="inlineStr">
        <is>
          <t>Complete</t>
        </is>
      </c>
      <c r="H316" s="7" t="inlineStr">
        <is>
          <t>CIO</t>
        </is>
      </c>
      <c r="I316" s="8" t="n">
        <v>45814</v>
      </c>
      <c r="J316" s="8" t="n">
        <v>45827</v>
      </c>
      <c r="K316" s="7" t="inlineStr">
        <is>
          <t>Conditional</t>
        </is>
      </c>
      <c r="M316" s="7" t="n">
        <v>100</v>
      </c>
      <c r="N316" s="7" t="n">
        <v>13</v>
      </c>
      <c r="O316" s="7">
        <f>A316&amp;"|"&amp;D316</f>
        <v/>
      </c>
    </row>
    <row r="317" ht="15" customHeight="1" s="5">
      <c r="A317" s="7" t="inlineStr">
        <is>
          <t>PRJ040</t>
        </is>
      </c>
      <c r="B317" s="7">
        <f>IFERROR(VLOOKUP(A317,Projects!$A:$AK,2,FALSE()),"")</f>
        <v/>
      </c>
      <c r="C317" s="7">
        <f>IFERROR(VLOOKUP(A317,Projects!$A:$AK,14,FALSE()),"")</f>
        <v/>
      </c>
      <c r="D317" s="7" t="inlineStr">
        <is>
          <t>Business Case / Full Funding</t>
        </is>
      </c>
      <c r="E317" s="7">
        <f>IFERROR(INDEX(_Stages!$A$1:$A$8,MIN(MATCH(D317,_Stages!$A$1:$A$8,0)+1,8)),"")</f>
        <v/>
      </c>
      <c r="F317" s="7" t="inlineStr">
        <is>
          <t>Approved</t>
        </is>
      </c>
      <c r="G317" s="7" t="inlineStr">
        <is>
          <t>Complete</t>
        </is>
      </c>
      <c r="H317" s="7" t="inlineStr">
        <is>
          <t>CIO</t>
        </is>
      </c>
      <c r="I317" s="8" t="n">
        <v>45874</v>
      </c>
      <c r="J317" s="8" t="n">
        <v>45898</v>
      </c>
      <c r="K317" s="7" t="inlineStr">
        <is>
          <t>Conditional</t>
        </is>
      </c>
      <c r="L317" s="7" t="inlineStr">
        <is>
          <t>Awaiting sponsor sign-off</t>
        </is>
      </c>
      <c r="M317" s="7" t="n">
        <v>100</v>
      </c>
      <c r="N317" s="7" t="n">
        <v>24</v>
      </c>
      <c r="O317" s="7">
        <f>A317&amp;"|"&amp;D317</f>
        <v/>
      </c>
    </row>
    <row r="318" ht="15" customHeight="1" s="5">
      <c r="A318" s="7" t="inlineStr">
        <is>
          <t>PRJ040</t>
        </is>
      </c>
      <c r="B318" s="7">
        <f>IFERROR(VLOOKUP(A318,Projects!$A:$AK,2,FALSE()),"")</f>
        <v/>
      </c>
      <c r="C318" s="7">
        <f>IFERROR(VLOOKUP(A318,Projects!$A:$AK,14,FALSE()),"")</f>
        <v/>
      </c>
      <c r="D318" s="7" t="inlineStr">
        <is>
          <t>Build</t>
        </is>
      </c>
      <c r="E318" s="7">
        <f>IFERROR(INDEX(_Stages!$A$1:$A$8,MIN(MATCH(D318,_Stages!$A$1:$A$8,0)+1,8)),"")</f>
        <v/>
      </c>
      <c r="F318" s="7" t="inlineStr">
        <is>
          <t>Approved</t>
        </is>
      </c>
      <c r="G318" s="7" t="inlineStr">
        <is>
          <t>Complete</t>
        </is>
      </c>
      <c r="H318" s="7" t="inlineStr">
        <is>
          <t>CIO</t>
        </is>
      </c>
      <c r="I318" s="8" t="n">
        <v>45934</v>
      </c>
      <c r="J318" s="8" t="n">
        <v>45950</v>
      </c>
      <c r="K318" s="7" t="inlineStr">
        <is>
          <t>Held</t>
        </is>
      </c>
      <c r="L318" s="7" t="inlineStr">
        <is>
          <t>On track</t>
        </is>
      </c>
      <c r="M318" s="7" t="n">
        <v>100</v>
      </c>
      <c r="N318" s="7" t="n">
        <v>16</v>
      </c>
      <c r="O318" s="7">
        <f>A318&amp;"|"&amp;D318</f>
        <v/>
      </c>
    </row>
    <row r="319" ht="15" customHeight="1" s="5">
      <c r="A319" s="7" t="inlineStr">
        <is>
          <t>PRJ040</t>
        </is>
      </c>
      <c r="B319" s="7">
        <f>IFERROR(VLOOKUP(A319,Projects!$A:$AK,2,FALSE()),"")</f>
        <v/>
      </c>
      <c r="C319" s="7">
        <f>IFERROR(VLOOKUP(A319,Projects!$A:$AK,14,FALSE()),"")</f>
        <v/>
      </c>
      <c r="D319" s="7" t="inlineStr">
        <is>
          <t>Testing</t>
        </is>
      </c>
      <c r="E319" s="7">
        <f>IFERROR(INDEX(_Stages!$A$1:$A$8,MIN(MATCH(D319,_Stages!$A$1:$A$8,0)+1,8)),"")</f>
        <v/>
      </c>
      <c r="F319" s="7" t="inlineStr">
        <is>
          <t>Approved</t>
        </is>
      </c>
      <c r="G319" s="7" t="inlineStr">
        <is>
          <t>Complete</t>
        </is>
      </c>
      <c r="H319" s="7" t="inlineStr">
        <is>
          <t>CIO</t>
        </is>
      </c>
      <c r="I319" s="8" t="n">
        <v>45994</v>
      </c>
      <c r="J319" s="8" t="n">
        <v>45982</v>
      </c>
      <c r="K319" s="7" t="inlineStr">
        <is>
          <t>Proceed</t>
        </is>
      </c>
      <c r="L319" s="7" t="inlineStr">
        <is>
          <t>Awaiting sponsor sign-off</t>
        </is>
      </c>
      <c r="M319" s="7" t="n">
        <v>100</v>
      </c>
      <c r="N319" s="7" t="n">
        <v>0</v>
      </c>
      <c r="O319" s="7">
        <f>A319&amp;"|"&amp;D319</f>
        <v/>
      </c>
    </row>
    <row r="320" ht="15" customHeight="1" s="5">
      <c r="A320" s="7" t="inlineStr">
        <is>
          <t>PRJ040</t>
        </is>
      </c>
      <c r="B320" s="7">
        <f>IFERROR(VLOOKUP(A320,Projects!$A:$AK,2,FALSE()),"")</f>
        <v/>
      </c>
      <c r="C320" s="7">
        <f>IFERROR(VLOOKUP(A320,Projects!$A:$AK,14,FALSE()),"")</f>
        <v/>
      </c>
      <c r="D320" s="7" t="inlineStr">
        <is>
          <t>Deployment</t>
        </is>
      </c>
      <c r="E320" s="7">
        <f>IFERROR(INDEX(_Stages!$A$1:$A$8,MIN(MATCH(D320,_Stages!$A$1:$A$8,0)+1,8)),"")</f>
        <v/>
      </c>
      <c r="F320" s="7" t="inlineStr">
        <is>
          <t>Pending Approval</t>
        </is>
      </c>
      <c r="G320" s="7" t="inlineStr">
        <is>
          <t>In Progress</t>
        </is>
      </c>
      <c r="H320" s="7" t="inlineStr">
        <is>
          <t>CIO</t>
        </is>
      </c>
      <c r="I320" s="8" t="n">
        <v>46054</v>
      </c>
      <c r="L320" s="7" t="inlineStr">
        <is>
          <t>On track</t>
        </is>
      </c>
      <c r="M320" s="7" t="n">
        <v>52</v>
      </c>
      <c r="N320" s="7" t="n">
        <v>0</v>
      </c>
      <c r="O320" s="7">
        <f>A320&amp;"|"&amp;D320</f>
        <v/>
      </c>
    </row>
    <row r="321" ht="15" customHeight="1" s="5">
      <c r="A321" s="7" t="inlineStr">
        <is>
          <t>PRJ040</t>
        </is>
      </c>
      <c r="B321" s="7">
        <f>IFERROR(VLOOKUP(A321,Projects!$A:$AK,2,FALSE()),"")</f>
        <v/>
      </c>
      <c r="C321" s="7">
        <f>IFERROR(VLOOKUP(A321,Projects!$A:$AK,14,FALSE()),"")</f>
        <v/>
      </c>
      <c r="D321" s="7" t="inlineStr">
        <is>
          <t>Handover</t>
        </is>
      </c>
      <c r="E321" s="7">
        <f>IFERROR(INDEX(_Stages!$A$1:$A$8,MIN(MATCH(D321,_Stages!$A$1:$A$8,0)+1,8)),"")</f>
        <v/>
      </c>
      <c r="F321" s="7" t="inlineStr">
        <is>
          <t>Not Started</t>
        </is>
      </c>
      <c r="G321" s="7" t="inlineStr">
        <is>
          <t>Not Started</t>
        </is>
      </c>
      <c r="H321" s="7" t="inlineStr">
        <is>
          <t>CIO</t>
        </is>
      </c>
      <c r="I321" s="8" t="n">
        <v>46114</v>
      </c>
      <c r="L321" s="7" t="inlineStr">
        <is>
          <t>Approved with conditions</t>
        </is>
      </c>
      <c r="M321" s="7" t="n">
        <v>0</v>
      </c>
      <c r="N321" s="7" t="n">
        <v>0</v>
      </c>
      <c r="O321" s="7">
        <f>A321&amp;"|"&amp;D321</f>
        <v/>
      </c>
    </row>
    <row r="322" ht="15" customHeight="1" s="5">
      <c r="G322" s="7" t="n"/>
    </row>
    <row r="323" ht="15" customHeight="1" s="5">
      <c r="G323" s="7" t="n"/>
    </row>
    <row r="324" ht="15" customHeight="1" s="5">
      <c r="G324" s="7" t="n"/>
    </row>
    <row r="325" ht="15" customHeight="1" s="5">
      <c r="G325" s="7" t="n"/>
    </row>
    <row r="326" ht="15" customHeight="1" s="5">
      <c r="G326" s="7" t="n"/>
    </row>
    <row r="327" ht="15" customHeight="1" s="5">
      <c r="G327" s="7" t="n"/>
    </row>
    <row r="328" ht="15" customHeight="1" s="5">
      <c r="G328" s="7" t="n"/>
    </row>
    <row r="329" ht="15" customHeight="1" s="5">
      <c r="G329" s="7" t="n"/>
    </row>
    <row r="330" ht="15" customHeight="1" s="5">
      <c r="G330" s="7" t="n"/>
    </row>
    <row r="331" ht="15" customHeight="1" s="5">
      <c r="G331" s="7" t="n"/>
    </row>
    <row r="332" ht="15" customHeight="1" s="5">
      <c r="G332" s="7" t="n"/>
    </row>
    <row r="333" ht="15" customHeight="1" s="5">
      <c r="G333" s="7" t="n"/>
    </row>
    <row r="334" ht="15" customHeight="1" s="5">
      <c r="G334" s="7" t="n"/>
    </row>
    <row r="335" ht="15" customHeight="1" s="5">
      <c r="G335" s="7" t="n"/>
    </row>
    <row r="336" ht="15" customHeight="1" s="5">
      <c r="G336" s="7" t="n"/>
    </row>
    <row r="337" ht="15" customHeight="1" s="5">
      <c r="G337" s="7" t="n"/>
    </row>
    <row r="338" ht="15" customHeight="1" s="5">
      <c r="G338" s="7" t="n"/>
    </row>
    <row r="339" ht="15" customHeight="1" s="5">
      <c r="G339" s="7" t="n"/>
    </row>
    <row r="340" ht="15" customHeight="1" s="5">
      <c r="G340" s="7" t="n"/>
    </row>
    <row r="341" ht="15" customHeight="1" s="5">
      <c r="G341" s="7" t="n"/>
    </row>
    <row r="342" ht="15" customHeight="1" s="5">
      <c r="G342" s="7" t="n"/>
    </row>
    <row r="343" ht="15" customHeight="1" s="5">
      <c r="G343" s="7" t="n"/>
    </row>
    <row r="344" ht="15" customHeight="1" s="5">
      <c r="G344" s="7" t="n"/>
    </row>
    <row r="345" ht="15" customHeight="1" s="5">
      <c r="G345" s="7" t="n"/>
    </row>
    <row r="346" ht="15" customHeight="1" s="5">
      <c r="G346" s="7" t="n"/>
    </row>
    <row r="347" ht="15" customHeight="1" s="5">
      <c r="G347" s="7" t="n"/>
    </row>
    <row r="348" ht="15" customHeight="1" s="5">
      <c r="G348" s="7" t="n"/>
    </row>
    <row r="349" ht="15" customHeight="1" s="5">
      <c r="G349" s="7" t="n"/>
    </row>
    <row r="350" ht="15" customHeight="1" s="5">
      <c r="G350" s="7" t="n"/>
    </row>
    <row r="351" ht="15" customHeight="1" s="5">
      <c r="G351" s="7" t="n"/>
    </row>
    <row r="352" ht="15" customHeight="1" s="5">
      <c r="G352" s="7" t="n"/>
    </row>
    <row r="353" ht="15" customHeight="1" s="5">
      <c r="G353" s="7" t="n"/>
    </row>
    <row r="354" ht="15" customHeight="1" s="5">
      <c r="G354" s="7" t="n"/>
    </row>
    <row r="355" ht="15" customHeight="1" s="5">
      <c r="G355" s="7" t="n"/>
    </row>
    <row r="356" ht="15" customHeight="1" s="5">
      <c r="G356" s="7" t="n"/>
    </row>
    <row r="357" ht="15" customHeight="1" s="5">
      <c r="G357" s="7" t="n"/>
    </row>
    <row r="358" ht="15" customHeight="1" s="5">
      <c r="G358" s="7" t="n"/>
    </row>
    <row r="359" ht="15" customHeight="1" s="5">
      <c r="G359" s="7" t="n"/>
    </row>
    <row r="360" ht="15" customHeight="1" s="5">
      <c r="G360" s="7" t="n"/>
    </row>
    <row r="361" ht="15" customHeight="1" s="5">
      <c r="G361" s="7" t="n"/>
    </row>
    <row r="362" ht="15" customHeight="1" s="5">
      <c r="G362" s="7" t="n"/>
    </row>
    <row r="363" ht="15" customHeight="1" s="5">
      <c r="G363" s="7" t="n"/>
    </row>
    <row r="364" ht="15" customHeight="1" s="5">
      <c r="G364" s="7" t="n"/>
    </row>
    <row r="365" ht="15" customHeight="1" s="5">
      <c r="G365" s="7" t="n"/>
    </row>
    <row r="366" ht="15" customHeight="1" s="5">
      <c r="G366" s="7" t="n"/>
    </row>
    <row r="367" ht="15" customHeight="1" s="5">
      <c r="G367" s="7" t="n"/>
    </row>
    <row r="368" ht="15" customHeight="1" s="5">
      <c r="G368" s="7" t="n"/>
    </row>
    <row r="369" ht="15" customHeight="1" s="5">
      <c r="G369" s="7" t="n"/>
    </row>
    <row r="370" ht="15" customHeight="1" s="5">
      <c r="G370" s="7" t="n"/>
    </row>
    <row r="371" ht="15" customHeight="1" s="5">
      <c r="G371" s="7" t="n"/>
    </row>
    <row r="372" ht="15" customHeight="1" s="5">
      <c r="G372" s="7" t="n"/>
    </row>
    <row r="373" ht="15" customHeight="1" s="5">
      <c r="G373" s="7" t="n"/>
    </row>
    <row r="374" ht="15" customHeight="1" s="5">
      <c r="G374" s="7" t="n"/>
    </row>
    <row r="375" ht="15" customHeight="1" s="5">
      <c r="G375" s="7" t="n"/>
    </row>
    <row r="376" ht="15" customHeight="1" s="5">
      <c r="G376" s="7" t="n"/>
    </row>
    <row r="377" ht="15" customHeight="1" s="5">
      <c r="G377" s="7" t="n"/>
    </row>
    <row r="378" ht="15" customHeight="1" s="5">
      <c r="G378" s="7" t="n"/>
    </row>
    <row r="379" ht="15" customHeight="1" s="5">
      <c r="G379" s="7" t="n"/>
    </row>
    <row r="380" ht="15" customHeight="1" s="5">
      <c r="G380" s="7" t="n"/>
    </row>
    <row r="381" ht="15" customHeight="1" s="5">
      <c r="G381" s="7" t="n"/>
    </row>
    <row r="382" ht="15" customHeight="1" s="5">
      <c r="G382" s="7" t="n"/>
    </row>
    <row r="383" ht="15" customHeight="1" s="5">
      <c r="G383" s="7" t="n"/>
    </row>
    <row r="384" ht="15" customHeight="1" s="5">
      <c r="G384" s="7" t="n"/>
    </row>
    <row r="385" ht="15" customHeight="1" s="5">
      <c r="G385" s="7" t="n"/>
    </row>
    <row r="386" ht="15" customHeight="1" s="5">
      <c r="G386" s="7" t="n"/>
    </row>
    <row r="387" ht="15" customHeight="1" s="5">
      <c r="G387" s="7" t="n"/>
    </row>
    <row r="388" ht="15" customHeight="1" s="5">
      <c r="G388" s="7" t="n"/>
    </row>
    <row r="389" ht="15" customHeight="1" s="5">
      <c r="G389" s="7" t="n"/>
    </row>
    <row r="390" ht="15" customHeight="1" s="5">
      <c r="G390" s="7" t="n"/>
    </row>
    <row r="391" ht="15" customHeight="1" s="5">
      <c r="G391" s="7" t="n"/>
    </row>
    <row r="392" ht="15" customHeight="1" s="5">
      <c r="G392" s="7" t="n"/>
    </row>
    <row r="393" ht="15" customHeight="1" s="5">
      <c r="G393" s="7" t="n"/>
    </row>
    <row r="394" ht="15" customHeight="1" s="5">
      <c r="G394" s="7" t="n"/>
    </row>
    <row r="395" ht="15" customHeight="1" s="5">
      <c r="G395" s="7" t="n"/>
    </row>
    <row r="396" ht="15" customHeight="1" s="5">
      <c r="G396" s="7" t="n"/>
    </row>
    <row r="397" ht="15" customHeight="1" s="5">
      <c r="G397" s="7" t="n"/>
    </row>
    <row r="398" ht="15" customHeight="1" s="5">
      <c r="G398" s="7" t="n"/>
    </row>
    <row r="399" ht="15" customHeight="1" s="5">
      <c r="G399" s="7" t="n"/>
    </row>
    <row r="400" ht="15" customHeight="1" s="5">
      <c r="G400" s="7" t="n"/>
    </row>
    <row r="401" ht="15" customHeight="1" s="5">
      <c r="G401" s="7" t="n"/>
    </row>
    <row r="402" ht="15" customHeight="1" s="5">
      <c r="G402" s="7" t="n"/>
    </row>
    <row r="403" ht="15" customHeight="1" s="5">
      <c r="G403" s="7" t="n"/>
    </row>
    <row r="404" ht="15" customHeight="1" s="5">
      <c r="G404" s="7" t="n"/>
    </row>
    <row r="405" ht="15" customHeight="1" s="5">
      <c r="G405" s="7" t="n"/>
    </row>
    <row r="406" ht="15" customHeight="1" s="5">
      <c r="G406" s="7" t="n"/>
    </row>
    <row r="407" ht="15" customHeight="1" s="5">
      <c r="G407" s="7" t="n"/>
    </row>
    <row r="408" ht="15" customHeight="1" s="5">
      <c r="G408" s="7" t="n"/>
    </row>
    <row r="409" ht="15" customHeight="1" s="5">
      <c r="G409" s="7" t="n"/>
    </row>
    <row r="410" ht="15" customHeight="1" s="5">
      <c r="G410" s="7" t="n"/>
    </row>
    <row r="411" ht="15" customHeight="1" s="5">
      <c r="G411" s="7" t="n"/>
    </row>
    <row r="412" ht="15" customHeight="1" s="5">
      <c r="G412" s="7" t="n"/>
    </row>
    <row r="413" ht="15" customHeight="1" s="5">
      <c r="G413" s="7" t="n"/>
    </row>
    <row r="414" ht="15" customHeight="1" s="5">
      <c r="G414" s="7" t="n"/>
    </row>
    <row r="415" ht="15" customHeight="1" s="5">
      <c r="G415" s="7" t="n"/>
    </row>
    <row r="416" ht="15" customHeight="1" s="5">
      <c r="G416" s="7" t="n"/>
    </row>
    <row r="417" ht="15" customHeight="1" s="5">
      <c r="G417" s="7" t="n"/>
    </row>
    <row r="418" ht="15" customHeight="1" s="5">
      <c r="G418" s="7" t="n"/>
    </row>
    <row r="419" ht="15" customHeight="1" s="5">
      <c r="G419" s="7" t="n"/>
    </row>
    <row r="420" ht="15" customHeight="1" s="5">
      <c r="G420" s="7" t="n"/>
    </row>
    <row r="421" ht="15" customHeight="1" s="5">
      <c r="G421" s="7" t="n"/>
    </row>
    <row r="422" ht="15" customHeight="1" s="5">
      <c r="G422" s="7" t="n"/>
    </row>
    <row r="423" ht="15" customHeight="1" s="5">
      <c r="G423" s="7" t="n"/>
    </row>
    <row r="424" ht="15" customHeight="1" s="5">
      <c r="G424" s="7" t="n"/>
    </row>
    <row r="425" ht="15" customHeight="1" s="5">
      <c r="G425" s="7" t="n"/>
    </row>
    <row r="426" ht="15" customHeight="1" s="5">
      <c r="G426" s="7" t="n"/>
    </row>
    <row r="427" ht="15" customHeight="1" s="5">
      <c r="G427" s="7" t="n"/>
    </row>
    <row r="428" ht="15" customHeight="1" s="5">
      <c r="G428" s="7" t="n"/>
    </row>
    <row r="429" ht="15" customHeight="1" s="5">
      <c r="G429" s="7" t="n"/>
    </row>
    <row r="430" ht="15" customHeight="1" s="5">
      <c r="G430" s="7" t="n"/>
    </row>
    <row r="431" ht="15" customHeight="1" s="5">
      <c r="G431" s="7" t="n"/>
    </row>
    <row r="432" ht="15" customHeight="1" s="5">
      <c r="G432" s="7" t="n"/>
    </row>
    <row r="433" ht="15" customHeight="1" s="5">
      <c r="G433" s="7" t="n"/>
    </row>
    <row r="434" ht="15" customHeight="1" s="5">
      <c r="G434" s="7" t="n"/>
    </row>
    <row r="435" ht="15" customHeight="1" s="5">
      <c r="G435" s="7" t="n"/>
    </row>
    <row r="436" ht="15" customHeight="1" s="5">
      <c r="G436" s="7" t="n"/>
    </row>
    <row r="437" ht="15" customHeight="1" s="5">
      <c r="G437" s="7" t="n"/>
    </row>
    <row r="438" ht="15" customHeight="1" s="5">
      <c r="G438" s="7" t="n"/>
    </row>
    <row r="439" ht="15" customHeight="1" s="5">
      <c r="G439" s="7" t="n"/>
    </row>
    <row r="440" ht="15" customHeight="1" s="5">
      <c r="G440" s="7" t="n"/>
    </row>
    <row r="441" ht="15" customHeight="1" s="5">
      <c r="G441" s="7" t="n"/>
    </row>
    <row r="442" ht="15" customHeight="1" s="5">
      <c r="G442" s="7" t="n"/>
    </row>
    <row r="443" ht="15" customHeight="1" s="5">
      <c r="G443" s="7" t="n"/>
    </row>
    <row r="444" ht="15" customHeight="1" s="5">
      <c r="G444" s="7" t="n"/>
    </row>
    <row r="445" ht="15" customHeight="1" s="5">
      <c r="G445" s="7" t="n"/>
    </row>
    <row r="446" ht="15" customHeight="1" s="5">
      <c r="G446" s="7" t="n"/>
    </row>
    <row r="447" ht="15" customHeight="1" s="5">
      <c r="G447" s="7" t="n"/>
    </row>
    <row r="448" ht="15" customHeight="1" s="5">
      <c r="G448" s="7" t="n"/>
    </row>
    <row r="449" ht="15" customHeight="1" s="5">
      <c r="G449" s="7" t="n"/>
    </row>
    <row r="450" ht="15" customHeight="1" s="5">
      <c r="G450" s="7" t="n"/>
    </row>
    <row r="451" ht="15" customHeight="1" s="5">
      <c r="G451" s="7" t="n"/>
    </row>
    <row r="452" ht="15" customHeight="1" s="5">
      <c r="G452" s="7" t="n"/>
    </row>
    <row r="453" ht="15" customHeight="1" s="5">
      <c r="G453" s="7" t="n"/>
    </row>
    <row r="454" ht="15" customHeight="1" s="5">
      <c r="G454" s="7" t="n"/>
    </row>
    <row r="455" ht="15" customHeight="1" s="5">
      <c r="G455" s="7" t="n"/>
    </row>
    <row r="456" ht="15" customHeight="1" s="5">
      <c r="G456" s="7" t="n"/>
    </row>
    <row r="457" ht="15" customHeight="1" s="5">
      <c r="G457" s="7" t="n"/>
    </row>
    <row r="458" ht="15" customHeight="1" s="5">
      <c r="G458" s="7" t="n"/>
    </row>
    <row r="459" ht="15" customHeight="1" s="5">
      <c r="G459" s="7" t="n"/>
    </row>
    <row r="460" ht="15" customHeight="1" s="5">
      <c r="G460" s="7" t="n"/>
    </row>
    <row r="461" ht="15" customHeight="1" s="5">
      <c r="G461" s="7" t="n"/>
    </row>
    <row r="462" ht="15" customHeight="1" s="5">
      <c r="G462" s="7" t="n"/>
    </row>
    <row r="463" ht="15" customHeight="1" s="5">
      <c r="G463" s="7" t="n"/>
    </row>
    <row r="464" ht="15" customHeight="1" s="5">
      <c r="G464" s="7" t="n"/>
    </row>
    <row r="465" ht="15" customHeight="1" s="5">
      <c r="G465" s="7" t="n"/>
    </row>
    <row r="466" ht="15" customHeight="1" s="5">
      <c r="G466" s="7" t="n"/>
    </row>
    <row r="467" ht="15" customHeight="1" s="5">
      <c r="G467" s="7" t="n"/>
    </row>
    <row r="468" ht="15" customHeight="1" s="5">
      <c r="G468" s="7" t="n"/>
    </row>
    <row r="469" ht="15" customHeight="1" s="5">
      <c r="G469" s="7" t="n"/>
    </row>
    <row r="470" ht="15" customHeight="1" s="5">
      <c r="G470" s="7" t="n"/>
    </row>
    <row r="471" ht="15" customHeight="1" s="5">
      <c r="G471" s="7" t="n"/>
    </row>
    <row r="472" ht="15" customHeight="1" s="5">
      <c r="G472" s="7" t="n"/>
    </row>
    <row r="473" ht="15" customHeight="1" s="5">
      <c r="G473" s="7" t="n"/>
    </row>
    <row r="474" ht="15" customHeight="1" s="5">
      <c r="G474" s="7" t="n"/>
    </row>
    <row r="475" ht="15" customHeight="1" s="5">
      <c r="G475" s="7" t="n"/>
    </row>
    <row r="476" ht="15" customHeight="1" s="5">
      <c r="G476" s="7" t="n"/>
    </row>
    <row r="477" ht="15" customHeight="1" s="5">
      <c r="G477" s="7" t="n"/>
    </row>
    <row r="478" ht="15" customHeight="1" s="5">
      <c r="G478" s="7" t="n"/>
    </row>
    <row r="479" ht="15" customHeight="1" s="5">
      <c r="G479" s="7" t="n"/>
    </row>
    <row r="480" ht="15" customHeight="1" s="5">
      <c r="G480" s="7" t="n"/>
    </row>
    <row r="481" ht="15" customHeight="1" s="5">
      <c r="G481" s="7" t="n"/>
    </row>
    <row r="482" ht="15" customHeight="1" s="5">
      <c r="G482" s="7" t="n"/>
    </row>
    <row r="483" ht="15" customHeight="1" s="5">
      <c r="G483" s="7" t="n"/>
    </row>
    <row r="484" ht="15" customHeight="1" s="5">
      <c r="G484" s="7" t="n"/>
    </row>
    <row r="485" ht="15" customHeight="1" s="5">
      <c r="G485" s="7" t="n"/>
    </row>
    <row r="486" ht="15" customHeight="1" s="5">
      <c r="G486" s="7" t="n"/>
    </row>
    <row r="487" ht="15" customHeight="1" s="5">
      <c r="G487" s="7" t="n"/>
    </row>
    <row r="488" ht="15" customHeight="1" s="5">
      <c r="G488" s="7" t="n"/>
    </row>
    <row r="489" ht="15" customHeight="1" s="5">
      <c r="G489" s="7" t="n"/>
    </row>
    <row r="490" ht="15" customHeight="1" s="5">
      <c r="G490" s="7" t="n"/>
    </row>
    <row r="491" ht="15" customHeight="1" s="5">
      <c r="G491" s="7" t="n"/>
    </row>
    <row r="492" ht="15" customHeight="1" s="5">
      <c r="G492" s="7" t="n"/>
    </row>
    <row r="493" ht="15" customHeight="1" s="5">
      <c r="G493" s="7" t="n"/>
    </row>
    <row r="494" ht="15" customHeight="1" s="5">
      <c r="G494" s="7" t="n"/>
    </row>
    <row r="495" ht="15" customHeight="1" s="5">
      <c r="G495" s="7" t="n"/>
    </row>
    <row r="496" ht="15" customHeight="1" s="5">
      <c r="G496" s="7" t="n"/>
    </row>
    <row r="497" ht="15" customHeight="1" s="5">
      <c r="G497" s="7" t="n"/>
    </row>
    <row r="498" ht="15" customHeight="1" s="5">
      <c r="G498" s="7" t="n"/>
    </row>
    <row r="499" ht="15" customHeight="1" s="5">
      <c r="G499" s="7" t="n"/>
    </row>
    <row r="500" ht="15" customHeight="1" s="5">
      <c r="G500" s="7" t="n"/>
    </row>
    <row r="501" ht="15" customHeight="1" s="5">
      <c r="G501" s="7" t="n"/>
    </row>
    <row r="502" ht="15" customHeight="1" s="5">
      <c r="G502" s="7" t="n"/>
    </row>
    <row r="503" ht="15" customHeight="1" s="5">
      <c r="G503" s="7" t="n"/>
    </row>
    <row r="504" ht="15" customHeight="1" s="5">
      <c r="G504" s="7" t="n"/>
    </row>
    <row r="505" ht="15" customHeight="1" s="5">
      <c r="G505" s="7" t="n"/>
    </row>
    <row r="506" ht="15" customHeight="1" s="5">
      <c r="G506" s="7" t="n"/>
    </row>
    <row r="507" ht="15" customHeight="1" s="5">
      <c r="G507" s="7" t="n"/>
    </row>
    <row r="508" ht="15" customHeight="1" s="5">
      <c r="G508" s="7" t="n"/>
    </row>
    <row r="509" ht="15" customHeight="1" s="5">
      <c r="G509" s="7" t="n"/>
    </row>
    <row r="510" ht="15" customHeight="1" s="5">
      <c r="G510" s="7" t="n"/>
    </row>
    <row r="511" ht="15" customHeight="1" s="5">
      <c r="G511" s="7" t="n"/>
    </row>
    <row r="512" ht="15" customHeight="1" s="5">
      <c r="G512" s="7" t="n"/>
    </row>
    <row r="513" ht="15" customHeight="1" s="5">
      <c r="G513" s="7" t="n"/>
    </row>
    <row r="514" ht="15" customHeight="1" s="5">
      <c r="G514" s="7" t="n"/>
    </row>
    <row r="515" ht="15" customHeight="1" s="5">
      <c r="G515" s="7" t="n"/>
    </row>
    <row r="516" ht="15" customHeight="1" s="5">
      <c r="G516" s="7" t="n"/>
    </row>
    <row r="517" ht="15" customHeight="1" s="5">
      <c r="G517" s="7" t="n"/>
    </row>
    <row r="518" ht="15" customHeight="1" s="5">
      <c r="G518" s="7" t="n"/>
    </row>
    <row r="519" ht="15" customHeight="1" s="5">
      <c r="G519" s="7" t="n"/>
    </row>
    <row r="520" ht="15" customHeight="1" s="5">
      <c r="G520" s="7" t="n"/>
    </row>
    <row r="521" ht="15" customHeight="1" s="5">
      <c r="G521" s="7" t="n"/>
    </row>
    <row r="522" ht="15" customHeight="1" s="5">
      <c r="G522" s="7" t="n"/>
    </row>
    <row r="523" ht="15" customHeight="1" s="5">
      <c r="G523" s="7" t="n"/>
    </row>
    <row r="524" ht="15" customHeight="1" s="5">
      <c r="G524" s="7" t="n"/>
    </row>
    <row r="525" ht="15" customHeight="1" s="5">
      <c r="G525" s="7" t="n"/>
    </row>
    <row r="526" ht="15" customHeight="1" s="5">
      <c r="G526" s="7" t="n"/>
    </row>
    <row r="527" ht="15" customHeight="1" s="5">
      <c r="G527" s="7" t="n"/>
    </row>
    <row r="528" ht="15" customHeight="1" s="5">
      <c r="G528" s="7" t="n"/>
    </row>
    <row r="529" ht="15" customHeight="1" s="5">
      <c r="G529" s="7" t="n"/>
    </row>
    <row r="530" ht="15" customHeight="1" s="5">
      <c r="G530" s="7" t="n"/>
    </row>
    <row r="531" ht="15" customHeight="1" s="5">
      <c r="G531" s="7" t="n"/>
    </row>
    <row r="532" ht="15" customHeight="1" s="5">
      <c r="G532" s="7" t="n"/>
    </row>
    <row r="533" ht="15" customHeight="1" s="5">
      <c r="G533" s="7" t="n"/>
    </row>
    <row r="534" ht="15" customHeight="1" s="5">
      <c r="G534" s="7" t="n"/>
    </row>
    <row r="535" ht="15" customHeight="1" s="5">
      <c r="G535" s="7" t="n"/>
    </row>
    <row r="536" ht="15" customHeight="1" s="5">
      <c r="G536" s="7" t="n"/>
    </row>
    <row r="537" ht="15" customHeight="1" s="5">
      <c r="G537" s="7" t="n"/>
    </row>
    <row r="538" ht="15" customHeight="1" s="5">
      <c r="G538" s="7" t="n"/>
    </row>
    <row r="539" ht="15" customHeight="1" s="5">
      <c r="G539" s="7" t="n"/>
    </row>
    <row r="540" ht="15" customHeight="1" s="5">
      <c r="G540" s="7" t="n"/>
    </row>
    <row r="541" ht="15" customHeight="1" s="5">
      <c r="G541" s="7" t="n"/>
    </row>
    <row r="542" ht="15" customHeight="1" s="5">
      <c r="G542" s="7" t="n"/>
    </row>
    <row r="543" ht="15" customHeight="1" s="5">
      <c r="G543" s="7" t="n"/>
    </row>
    <row r="544" ht="15" customHeight="1" s="5">
      <c r="G544" s="7" t="n"/>
    </row>
    <row r="545" ht="15" customHeight="1" s="5">
      <c r="G545" s="7" t="n"/>
    </row>
    <row r="546" ht="15" customHeight="1" s="5">
      <c r="G546" s="7" t="n"/>
    </row>
    <row r="547" ht="15" customHeight="1" s="5">
      <c r="G547" s="7" t="n"/>
    </row>
    <row r="548" ht="15" customHeight="1" s="5">
      <c r="G548" s="7" t="n"/>
    </row>
    <row r="549" ht="15" customHeight="1" s="5">
      <c r="G549" s="7" t="n"/>
    </row>
    <row r="550" ht="15" customHeight="1" s="5">
      <c r="G550" s="7" t="n"/>
    </row>
    <row r="551" ht="15" customHeight="1" s="5">
      <c r="G551" s="7" t="n"/>
    </row>
    <row r="552" ht="15" customHeight="1" s="5">
      <c r="G552" s="7" t="n"/>
    </row>
    <row r="553" ht="15" customHeight="1" s="5">
      <c r="G553" s="7" t="n"/>
    </row>
    <row r="554" ht="15" customHeight="1" s="5">
      <c r="G554" s="7" t="n"/>
    </row>
    <row r="555" ht="15" customHeight="1" s="5">
      <c r="G555" s="7" t="n"/>
    </row>
    <row r="556" ht="15" customHeight="1" s="5">
      <c r="G556" s="7" t="n"/>
    </row>
    <row r="557" ht="15" customHeight="1" s="5">
      <c r="G557" s="7" t="n"/>
    </row>
    <row r="558" ht="15" customHeight="1" s="5">
      <c r="G558" s="7" t="n"/>
    </row>
    <row r="559" ht="15" customHeight="1" s="5">
      <c r="G559" s="7" t="n"/>
    </row>
    <row r="560" ht="15" customHeight="1" s="5">
      <c r="G560" s="7" t="n"/>
    </row>
    <row r="561" ht="15" customHeight="1" s="5">
      <c r="G561" s="7" t="n"/>
    </row>
    <row r="562" ht="15" customHeight="1" s="5">
      <c r="G562" s="7" t="n"/>
    </row>
    <row r="563" ht="15" customHeight="1" s="5">
      <c r="G563" s="7" t="n"/>
    </row>
    <row r="564" ht="15" customHeight="1" s="5">
      <c r="G564" s="7" t="n"/>
    </row>
    <row r="565" ht="15" customHeight="1" s="5">
      <c r="G565" s="7" t="n"/>
    </row>
    <row r="566" ht="15" customHeight="1" s="5">
      <c r="G566" s="7" t="n"/>
    </row>
    <row r="567" ht="15" customHeight="1" s="5">
      <c r="G567" s="7" t="n"/>
    </row>
    <row r="568" ht="15" customHeight="1" s="5">
      <c r="G568" s="7" t="n"/>
    </row>
    <row r="569" ht="15" customHeight="1" s="5">
      <c r="G569" s="7" t="n"/>
    </row>
    <row r="570" ht="15" customHeight="1" s="5">
      <c r="G570" s="7" t="n"/>
    </row>
    <row r="571" ht="15" customHeight="1" s="5">
      <c r="G571" s="7" t="n"/>
    </row>
    <row r="572" ht="15" customHeight="1" s="5">
      <c r="G572" s="7" t="n"/>
    </row>
    <row r="573" ht="15" customHeight="1" s="5">
      <c r="G573" s="7" t="n"/>
    </row>
    <row r="574" ht="15" customHeight="1" s="5">
      <c r="G574" s="7" t="n"/>
    </row>
    <row r="575" ht="15" customHeight="1" s="5">
      <c r="G575" s="7" t="n"/>
    </row>
    <row r="576" ht="15" customHeight="1" s="5">
      <c r="G576" s="7" t="n"/>
    </row>
    <row r="577" ht="15" customHeight="1" s="5">
      <c r="G577" s="7" t="n"/>
    </row>
    <row r="578" ht="15" customHeight="1" s="5">
      <c r="G578" s="7" t="n"/>
    </row>
    <row r="579" ht="15" customHeight="1" s="5">
      <c r="G579" s="7" t="n"/>
    </row>
    <row r="580" ht="15" customHeight="1" s="5">
      <c r="G580" s="7" t="n"/>
    </row>
    <row r="581" ht="15" customHeight="1" s="5">
      <c r="G581" s="7" t="n"/>
    </row>
    <row r="582" ht="15" customHeight="1" s="5">
      <c r="G582" s="7" t="n"/>
    </row>
    <row r="583" ht="15" customHeight="1" s="5">
      <c r="G583" s="7" t="n"/>
    </row>
    <row r="584" ht="15" customHeight="1" s="5">
      <c r="G584" s="7" t="n"/>
    </row>
    <row r="585" ht="15" customHeight="1" s="5">
      <c r="G585" s="7" t="n"/>
    </row>
    <row r="586" ht="15" customHeight="1" s="5">
      <c r="G586" s="7" t="n"/>
    </row>
    <row r="587" ht="15" customHeight="1" s="5">
      <c r="G587" s="7" t="n"/>
    </row>
    <row r="588" ht="15" customHeight="1" s="5">
      <c r="G588" s="7" t="n"/>
    </row>
    <row r="589" ht="15" customHeight="1" s="5">
      <c r="G589" s="7" t="n"/>
    </row>
    <row r="590" ht="15" customHeight="1" s="5">
      <c r="G590" s="7" t="n"/>
    </row>
    <row r="591" ht="15" customHeight="1" s="5">
      <c r="G591" s="7" t="n"/>
    </row>
    <row r="592" ht="15" customHeight="1" s="5">
      <c r="G592" s="7" t="n"/>
    </row>
    <row r="593" ht="15" customHeight="1" s="5">
      <c r="G593" s="7" t="n"/>
    </row>
    <row r="594" ht="15" customHeight="1" s="5">
      <c r="G594" s="7" t="n"/>
    </row>
    <row r="595" ht="15" customHeight="1" s="5">
      <c r="G595" s="7" t="n"/>
    </row>
    <row r="596" ht="15" customHeight="1" s="5">
      <c r="G596" s="7" t="n"/>
    </row>
    <row r="597" ht="15" customHeight="1" s="5">
      <c r="G597" s="7" t="n"/>
    </row>
    <row r="598" ht="15" customHeight="1" s="5">
      <c r="G598" s="7" t="n"/>
    </row>
    <row r="599" ht="15" customHeight="1" s="5">
      <c r="G599" s="7" t="n"/>
    </row>
    <row r="600" ht="15" customHeight="1" s="5">
      <c r="G600" s="7" t="n"/>
    </row>
    <row r="601" ht="15" customHeight="1" s="5">
      <c r="G601" s="7" t="n"/>
    </row>
    <row r="602" ht="15" customHeight="1" s="5">
      <c r="G602" s="7" t="n"/>
    </row>
    <row r="603" ht="15" customHeight="1" s="5">
      <c r="G603" s="7" t="n"/>
    </row>
    <row r="604" ht="15" customHeight="1" s="5">
      <c r="G604" s="7" t="n"/>
    </row>
    <row r="605" ht="15" customHeight="1" s="5">
      <c r="G605" s="7" t="n"/>
    </row>
    <row r="606" ht="15" customHeight="1" s="5">
      <c r="G606" s="7" t="n"/>
    </row>
    <row r="607" ht="15" customHeight="1" s="5">
      <c r="G607" s="7" t="n"/>
    </row>
    <row r="608" ht="15" customHeight="1" s="5">
      <c r="G608" s="7" t="n"/>
    </row>
    <row r="609" ht="15" customHeight="1" s="5">
      <c r="G609" s="7" t="n"/>
    </row>
    <row r="610" ht="15" customHeight="1" s="5">
      <c r="G610" s="7" t="n"/>
    </row>
    <row r="611" ht="15" customHeight="1" s="5">
      <c r="G611" s="7" t="n"/>
    </row>
    <row r="612" ht="15" customHeight="1" s="5">
      <c r="G612" s="7" t="n"/>
    </row>
    <row r="613" ht="15" customHeight="1" s="5">
      <c r="G613" s="7" t="n"/>
    </row>
    <row r="614" ht="15" customHeight="1" s="5">
      <c r="G614" s="7" t="n"/>
    </row>
    <row r="615" ht="15" customHeight="1" s="5">
      <c r="G615" s="7" t="n"/>
    </row>
    <row r="616" ht="15" customHeight="1" s="5">
      <c r="G616" s="7" t="n"/>
    </row>
    <row r="617" ht="15" customHeight="1" s="5">
      <c r="G617" s="7" t="n"/>
    </row>
    <row r="618" ht="15" customHeight="1" s="5">
      <c r="G618" s="7" t="n"/>
    </row>
    <row r="619" ht="15" customHeight="1" s="5">
      <c r="G619" s="7" t="n"/>
    </row>
    <row r="620" ht="15" customHeight="1" s="5">
      <c r="G620" s="7" t="n"/>
    </row>
    <row r="621" ht="15" customHeight="1" s="5">
      <c r="G621" s="7" t="n"/>
    </row>
    <row r="622" ht="15" customHeight="1" s="5">
      <c r="G622" s="7" t="n"/>
    </row>
    <row r="623" ht="15" customHeight="1" s="5">
      <c r="G623" s="7" t="n"/>
    </row>
    <row r="624" ht="15" customHeight="1" s="5">
      <c r="G624" s="7" t="n"/>
    </row>
    <row r="625" ht="15" customHeight="1" s="5">
      <c r="G625" s="7" t="n"/>
    </row>
    <row r="626" ht="15" customHeight="1" s="5">
      <c r="G626" s="7" t="n"/>
    </row>
    <row r="627" ht="15" customHeight="1" s="5">
      <c r="G627" s="7" t="n"/>
    </row>
    <row r="628" ht="15" customHeight="1" s="5">
      <c r="G628" s="7" t="n"/>
    </row>
    <row r="629" ht="15" customHeight="1" s="5">
      <c r="G629" s="7" t="n"/>
    </row>
    <row r="630" ht="15" customHeight="1" s="5">
      <c r="G630" s="7" t="n"/>
    </row>
    <row r="631" ht="15" customHeight="1" s="5">
      <c r="G631" s="7" t="n"/>
    </row>
    <row r="632" ht="15" customHeight="1" s="5">
      <c r="G632" s="7" t="n"/>
    </row>
    <row r="633" ht="15" customHeight="1" s="5">
      <c r="G633" s="7" t="n"/>
    </row>
    <row r="634" ht="15" customHeight="1" s="5">
      <c r="G634" s="7" t="n"/>
    </row>
    <row r="635" ht="15" customHeight="1" s="5">
      <c r="G635" s="7" t="n"/>
    </row>
    <row r="636" ht="15" customHeight="1" s="5">
      <c r="G636" s="7" t="n"/>
    </row>
    <row r="637" ht="15" customHeight="1" s="5">
      <c r="G637" s="7" t="n"/>
    </row>
    <row r="638" ht="15" customHeight="1" s="5">
      <c r="G638" s="7" t="n"/>
    </row>
    <row r="639" ht="15" customHeight="1" s="5">
      <c r="G639" s="7" t="n"/>
    </row>
    <row r="640" ht="15" customHeight="1" s="5">
      <c r="G640" s="7" t="n"/>
    </row>
    <row r="641" ht="15" customHeight="1" s="5">
      <c r="G641" s="7" t="n"/>
    </row>
    <row r="642" ht="15" customHeight="1" s="5">
      <c r="G642" s="7" t="n"/>
    </row>
    <row r="643" ht="15" customHeight="1" s="5">
      <c r="G643" s="7" t="n"/>
    </row>
    <row r="644" ht="15" customHeight="1" s="5">
      <c r="G644" s="7" t="n"/>
    </row>
    <row r="645" ht="15" customHeight="1" s="5">
      <c r="G645" s="7" t="n"/>
    </row>
    <row r="646" ht="15" customHeight="1" s="5">
      <c r="G646" s="7" t="n"/>
    </row>
    <row r="647" ht="15" customHeight="1" s="5">
      <c r="G647" s="7" t="n"/>
    </row>
    <row r="648" ht="15" customHeight="1" s="5">
      <c r="G648" s="7" t="n"/>
    </row>
    <row r="649" ht="15" customHeight="1" s="5">
      <c r="G649" s="7" t="n"/>
    </row>
    <row r="650" ht="15" customHeight="1" s="5">
      <c r="G650" s="7" t="n"/>
    </row>
    <row r="651" ht="15" customHeight="1" s="5">
      <c r="G651" s="7" t="n"/>
    </row>
    <row r="652" ht="15" customHeight="1" s="5">
      <c r="G652" s="7" t="n"/>
    </row>
    <row r="653" ht="15" customHeight="1" s="5">
      <c r="G653" s="7" t="n"/>
    </row>
    <row r="654" ht="15" customHeight="1" s="5">
      <c r="G654" s="7" t="n"/>
    </row>
    <row r="655" ht="15" customHeight="1" s="5">
      <c r="G655" s="7" t="n"/>
    </row>
    <row r="656" ht="15" customHeight="1" s="5">
      <c r="G656" s="7" t="n"/>
    </row>
    <row r="657" ht="15" customHeight="1" s="5">
      <c r="G657" s="7" t="n"/>
    </row>
    <row r="658" ht="15" customHeight="1" s="5">
      <c r="G658" s="7" t="n"/>
    </row>
    <row r="659" ht="15" customHeight="1" s="5">
      <c r="G659" s="7" t="n"/>
    </row>
    <row r="660" ht="15" customHeight="1" s="5">
      <c r="G660" s="7" t="n"/>
    </row>
    <row r="661" ht="15" customHeight="1" s="5">
      <c r="G661" s="7" t="n"/>
    </row>
    <row r="662" ht="15" customHeight="1" s="5">
      <c r="G662" s="7" t="n"/>
    </row>
    <row r="663" ht="15" customHeight="1" s="5">
      <c r="G663" s="7" t="n"/>
    </row>
    <row r="664" ht="15" customHeight="1" s="5">
      <c r="G664" s="7" t="n"/>
    </row>
    <row r="665" ht="15" customHeight="1" s="5">
      <c r="G665" s="7" t="n"/>
    </row>
    <row r="666" ht="15" customHeight="1" s="5">
      <c r="G666" s="7" t="n"/>
    </row>
    <row r="667" ht="15" customHeight="1" s="5">
      <c r="G667" s="7" t="n"/>
    </row>
    <row r="668" ht="15" customHeight="1" s="5">
      <c r="G668" s="7" t="n"/>
    </row>
    <row r="669" ht="15" customHeight="1" s="5">
      <c r="G669" s="7" t="n"/>
    </row>
    <row r="670" ht="15" customHeight="1" s="5">
      <c r="G670" s="7" t="n"/>
    </row>
    <row r="671" ht="15" customHeight="1" s="5">
      <c r="G671" s="7" t="n"/>
    </row>
    <row r="672" ht="15" customHeight="1" s="5">
      <c r="G672" s="7" t="n"/>
    </row>
    <row r="673" ht="15" customHeight="1" s="5">
      <c r="G673" s="7" t="n"/>
    </row>
    <row r="674" ht="15" customHeight="1" s="5">
      <c r="G674" s="7" t="n"/>
    </row>
    <row r="675" ht="15" customHeight="1" s="5">
      <c r="G675" s="7" t="n"/>
    </row>
    <row r="676" ht="15" customHeight="1" s="5">
      <c r="G676" s="7" t="n"/>
    </row>
    <row r="677" ht="15" customHeight="1" s="5">
      <c r="G677" s="7" t="n"/>
    </row>
    <row r="678" ht="15" customHeight="1" s="5">
      <c r="G678" s="7" t="n"/>
    </row>
    <row r="679" ht="15" customHeight="1" s="5">
      <c r="G679" s="7" t="n"/>
    </row>
    <row r="680" ht="15" customHeight="1" s="5">
      <c r="G680" s="7" t="n"/>
    </row>
    <row r="681" ht="15" customHeight="1" s="5">
      <c r="G681" s="7" t="n"/>
    </row>
    <row r="682" ht="15" customHeight="1" s="5">
      <c r="G682" s="7" t="n"/>
    </row>
    <row r="683" ht="15" customHeight="1" s="5">
      <c r="G683" s="7" t="n"/>
    </row>
    <row r="684" ht="15" customHeight="1" s="5">
      <c r="G684" s="7" t="n"/>
    </row>
    <row r="685" ht="15" customHeight="1" s="5">
      <c r="G685" s="7" t="n"/>
    </row>
    <row r="686" ht="15" customHeight="1" s="5">
      <c r="G686" s="7" t="n"/>
    </row>
    <row r="687" ht="15" customHeight="1" s="5">
      <c r="G687" s="7" t="n"/>
    </row>
    <row r="688" ht="15" customHeight="1" s="5">
      <c r="G688" s="7" t="n"/>
    </row>
    <row r="689" ht="15" customHeight="1" s="5">
      <c r="G689" s="7" t="n"/>
    </row>
    <row r="690" ht="15" customHeight="1" s="5">
      <c r="G690" s="7" t="n"/>
    </row>
    <row r="691" ht="15" customHeight="1" s="5">
      <c r="G691" s="7" t="n"/>
    </row>
    <row r="692" ht="15" customHeight="1" s="5">
      <c r="G692" s="7" t="n"/>
    </row>
    <row r="693" ht="15" customHeight="1" s="5">
      <c r="G693" s="7" t="n"/>
    </row>
    <row r="694" ht="15" customHeight="1" s="5">
      <c r="G694" s="7" t="n"/>
    </row>
    <row r="695" ht="15" customHeight="1" s="5">
      <c r="G695" s="7" t="n"/>
    </row>
    <row r="696" ht="15" customHeight="1" s="5">
      <c r="G696" s="7" t="n"/>
    </row>
    <row r="697" ht="15" customHeight="1" s="5">
      <c r="G697" s="7" t="n"/>
    </row>
    <row r="698" ht="15" customHeight="1" s="5">
      <c r="G698" s="7" t="n"/>
    </row>
    <row r="699" ht="15" customHeight="1" s="5">
      <c r="G699" s="7" t="n"/>
    </row>
    <row r="700" ht="15" customHeight="1" s="5">
      <c r="G700" s="7" t="n"/>
    </row>
    <row r="701" ht="15" customHeight="1" s="5">
      <c r="G701" s="7" t="n"/>
    </row>
    <row r="702" ht="15" customHeight="1" s="5">
      <c r="G702" s="7" t="n"/>
    </row>
    <row r="703" ht="15" customHeight="1" s="5">
      <c r="G703" s="7" t="n"/>
    </row>
    <row r="704" ht="15" customHeight="1" s="5">
      <c r="G704" s="7" t="n"/>
    </row>
    <row r="705" ht="15" customHeight="1" s="5">
      <c r="G705" s="7" t="n"/>
    </row>
    <row r="706" ht="15" customHeight="1" s="5">
      <c r="G706" s="7" t="n"/>
    </row>
    <row r="707" ht="15" customHeight="1" s="5">
      <c r="G707" s="7" t="n"/>
    </row>
    <row r="708" ht="15" customHeight="1" s="5">
      <c r="G708" s="7" t="n"/>
    </row>
    <row r="709" ht="15" customHeight="1" s="5">
      <c r="G709" s="7" t="n"/>
    </row>
    <row r="710" ht="15" customHeight="1" s="5">
      <c r="G710" s="7" t="n"/>
    </row>
    <row r="711" ht="15" customHeight="1" s="5">
      <c r="G711" s="7" t="n"/>
    </row>
    <row r="712" ht="15" customHeight="1" s="5">
      <c r="G712" s="7" t="n"/>
    </row>
    <row r="713" ht="15" customHeight="1" s="5">
      <c r="G713" s="7" t="n"/>
    </row>
    <row r="714" ht="15" customHeight="1" s="5">
      <c r="G714" s="7" t="n"/>
    </row>
    <row r="715" ht="15" customHeight="1" s="5">
      <c r="G715" s="7" t="n"/>
    </row>
    <row r="716" ht="15" customHeight="1" s="5">
      <c r="G716" s="7" t="n"/>
    </row>
    <row r="717" ht="15" customHeight="1" s="5">
      <c r="G717" s="7" t="n"/>
    </row>
    <row r="718" ht="15" customHeight="1" s="5">
      <c r="G718" s="7" t="n"/>
    </row>
    <row r="719" ht="15" customHeight="1" s="5">
      <c r="G719" s="7" t="n"/>
    </row>
    <row r="720" ht="15" customHeight="1" s="5">
      <c r="G720" s="7" t="n"/>
    </row>
    <row r="721" ht="15" customHeight="1" s="5">
      <c r="G721" s="7" t="n"/>
    </row>
    <row r="722" ht="15" customHeight="1" s="5">
      <c r="G722" s="7" t="n"/>
    </row>
    <row r="723" ht="15" customHeight="1" s="5">
      <c r="G723" s="7" t="n"/>
    </row>
    <row r="724" ht="15" customHeight="1" s="5">
      <c r="G724" s="7" t="n"/>
    </row>
    <row r="725" ht="15" customHeight="1" s="5">
      <c r="G725" s="7" t="n"/>
    </row>
    <row r="726" ht="15" customHeight="1" s="5">
      <c r="G726" s="7" t="n"/>
    </row>
    <row r="727" ht="15" customHeight="1" s="5">
      <c r="G727" s="7" t="n"/>
    </row>
    <row r="728" ht="15" customHeight="1" s="5">
      <c r="G728" s="7" t="n"/>
    </row>
    <row r="729" ht="15" customHeight="1" s="5">
      <c r="G729" s="7" t="n"/>
    </row>
    <row r="730" ht="15" customHeight="1" s="5">
      <c r="G730" s="7" t="n"/>
    </row>
    <row r="731" ht="15" customHeight="1" s="5">
      <c r="G731" s="7" t="n"/>
    </row>
    <row r="732" ht="15" customHeight="1" s="5">
      <c r="G732" s="7" t="n"/>
    </row>
    <row r="733" ht="15" customHeight="1" s="5">
      <c r="G733" s="7" t="n"/>
    </row>
    <row r="734" ht="15" customHeight="1" s="5">
      <c r="G734" s="7" t="n"/>
    </row>
    <row r="735" ht="15" customHeight="1" s="5">
      <c r="G735" s="7" t="n"/>
    </row>
    <row r="736" ht="15" customHeight="1" s="5">
      <c r="G736" s="7" t="n"/>
    </row>
    <row r="737" ht="15" customHeight="1" s="5">
      <c r="G737" s="7" t="n"/>
    </row>
    <row r="738" ht="15" customHeight="1" s="5">
      <c r="G738" s="7" t="n"/>
    </row>
    <row r="739" ht="15" customHeight="1" s="5">
      <c r="G739" s="7" t="n"/>
    </row>
    <row r="740" ht="15" customHeight="1" s="5">
      <c r="G740" s="7" t="n"/>
    </row>
    <row r="741" ht="15" customHeight="1" s="5">
      <c r="G741" s="7" t="n"/>
    </row>
    <row r="742" ht="15" customHeight="1" s="5">
      <c r="G742" s="7" t="n"/>
    </row>
    <row r="743" ht="15" customHeight="1" s="5">
      <c r="G743" s="7" t="n"/>
    </row>
    <row r="744" ht="15" customHeight="1" s="5">
      <c r="G744" s="7" t="n"/>
    </row>
    <row r="745" ht="15" customHeight="1" s="5">
      <c r="G745" s="7" t="n"/>
    </row>
    <row r="746" ht="15" customHeight="1" s="5">
      <c r="G746" s="7" t="n"/>
    </row>
    <row r="747" ht="15" customHeight="1" s="5">
      <c r="G747" s="7" t="n"/>
    </row>
    <row r="748" ht="15" customHeight="1" s="5">
      <c r="G748" s="7" t="n"/>
    </row>
    <row r="749" ht="15" customHeight="1" s="5">
      <c r="G749" s="7" t="n"/>
    </row>
    <row r="750" ht="15" customHeight="1" s="5">
      <c r="G750" s="7" t="n"/>
    </row>
    <row r="751" ht="15" customHeight="1" s="5">
      <c r="G751" s="7" t="n"/>
    </row>
    <row r="752" ht="15" customHeight="1" s="5">
      <c r="G752" s="7" t="n"/>
    </row>
    <row r="753" ht="15" customHeight="1" s="5">
      <c r="G753" s="7" t="n"/>
    </row>
    <row r="754" ht="15" customHeight="1" s="5">
      <c r="G754" s="7" t="n"/>
    </row>
    <row r="755" ht="15" customHeight="1" s="5">
      <c r="G755" s="7" t="n"/>
    </row>
    <row r="756" ht="15" customHeight="1" s="5">
      <c r="G756" s="7" t="n"/>
    </row>
    <row r="757" ht="15" customHeight="1" s="5">
      <c r="G757" s="7" t="n"/>
    </row>
    <row r="758" ht="15" customHeight="1" s="5">
      <c r="G758" s="7" t="n"/>
    </row>
    <row r="759" ht="15" customHeight="1" s="5">
      <c r="G759" s="7" t="n"/>
    </row>
    <row r="760" ht="15" customHeight="1" s="5">
      <c r="G760" s="7" t="n"/>
    </row>
    <row r="761" ht="15" customHeight="1" s="5">
      <c r="G761" s="7" t="n"/>
    </row>
    <row r="762" ht="15" customHeight="1" s="5">
      <c r="G762" s="7" t="n"/>
    </row>
    <row r="763" ht="15" customHeight="1" s="5">
      <c r="G763" s="7" t="n"/>
    </row>
    <row r="764" ht="15" customHeight="1" s="5">
      <c r="G764" s="7" t="n"/>
    </row>
    <row r="765" ht="15" customHeight="1" s="5">
      <c r="G765" s="7" t="n"/>
    </row>
    <row r="766" ht="15" customHeight="1" s="5">
      <c r="G766" s="7" t="n"/>
    </row>
    <row r="767" ht="15" customHeight="1" s="5">
      <c r="G767" s="7" t="n"/>
    </row>
    <row r="768" ht="15" customHeight="1" s="5">
      <c r="G768" s="7" t="n"/>
    </row>
    <row r="769" ht="15" customHeight="1" s="5">
      <c r="G769" s="7" t="n"/>
    </row>
    <row r="770" ht="15" customHeight="1" s="5">
      <c r="G770" s="7" t="n"/>
    </row>
    <row r="771" ht="15" customHeight="1" s="5">
      <c r="G771" s="7" t="n"/>
    </row>
    <row r="772" ht="15" customHeight="1" s="5">
      <c r="G772" s="7" t="n"/>
    </row>
    <row r="773" ht="15" customHeight="1" s="5">
      <c r="G773" s="7" t="n"/>
    </row>
    <row r="774" ht="15" customHeight="1" s="5">
      <c r="G774" s="7" t="n"/>
    </row>
    <row r="775" ht="15" customHeight="1" s="5">
      <c r="G775" s="7" t="n"/>
    </row>
    <row r="776" ht="15" customHeight="1" s="5">
      <c r="G776" s="7" t="n"/>
    </row>
    <row r="777" ht="15" customHeight="1" s="5">
      <c r="G777" s="7" t="n"/>
    </row>
    <row r="778" ht="15" customHeight="1" s="5">
      <c r="G778" s="7" t="n"/>
    </row>
    <row r="779" ht="15" customHeight="1" s="5">
      <c r="G779" s="7" t="n"/>
    </row>
    <row r="780" ht="15" customHeight="1" s="5">
      <c r="G780" s="7" t="n"/>
    </row>
    <row r="781" ht="15" customHeight="1" s="5">
      <c r="G781" s="7" t="n"/>
    </row>
    <row r="782" ht="15" customHeight="1" s="5">
      <c r="G782" s="7" t="n"/>
    </row>
    <row r="783" ht="15" customHeight="1" s="5">
      <c r="G783" s="7" t="n"/>
    </row>
    <row r="784" ht="15" customHeight="1" s="5">
      <c r="G784" s="7" t="n"/>
    </row>
    <row r="785" ht="15" customHeight="1" s="5">
      <c r="G785" s="7" t="n"/>
    </row>
    <row r="786" ht="15" customHeight="1" s="5">
      <c r="G786" s="7" t="n"/>
    </row>
    <row r="787" ht="15" customHeight="1" s="5">
      <c r="G787" s="7" t="n"/>
    </row>
    <row r="788" ht="15" customHeight="1" s="5">
      <c r="G788" s="7" t="n"/>
    </row>
    <row r="789" ht="15" customHeight="1" s="5">
      <c r="G789" s="7" t="n"/>
    </row>
    <row r="790" ht="15" customHeight="1" s="5">
      <c r="G790" s="7" t="n"/>
    </row>
    <row r="791" ht="15" customHeight="1" s="5">
      <c r="G791" s="7" t="n"/>
    </row>
    <row r="792" ht="15" customHeight="1" s="5">
      <c r="G792" s="7" t="n"/>
    </row>
    <row r="793" ht="15" customHeight="1" s="5">
      <c r="G793" s="7" t="n"/>
    </row>
    <row r="794" ht="15" customHeight="1" s="5">
      <c r="G794" s="7" t="n"/>
    </row>
    <row r="795" ht="15" customHeight="1" s="5">
      <c r="G795" s="7" t="n"/>
    </row>
    <row r="796" ht="15" customHeight="1" s="5">
      <c r="G796" s="7" t="n"/>
    </row>
    <row r="797" ht="15" customHeight="1" s="5">
      <c r="G797" s="7" t="n"/>
    </row>
    <row r="798" ht="15" customHeight="1" s="5">
      <c r="G798" s="7" t="n"/>
    </row>
    <row r="799" ht="15" customHeight="1" s="5">
      <c r="G799" s="7" t="n"/>
    </row>
    <row r="800" ht="15" customHeight="1" s="5">
      <c r="G800" s="7" t="n"/>
    </row>
    <row r="801" ht="15" customHeight="1" s="5">
      <c r="G801" s="7" t="n"/>
    </row>
    <row r="802" ht="15" customHeight="1" s="5">
      <c r="G802" s="7" t="n"/>
    </row>
    <row r="803" ht="15" customHeight="1" s="5">
      <c r="G803" s="7" t="n"/>
    </row>
    <row r="804" ht="15" customHeight="1" s="5">
      <c r="G804" s="7" t="n"/>
    </row>
    <row r="805" ht="15" customHeight="1" s="5">
      <c r="G805" s="7" t="n"/>
    </row>
    <row r="806" ht="15" customHeight="1" s="5">
      <c r="G806" s="7" t="n"/>
    </row>
    <row r="807" ht="15" customHeight="1" s="5">
      <c r="G807" s="7" t="n"/>
    </row>
    <row r="808" ht="15" customHeight="1" s="5">
      <c r="G808" s="7" t="n"/>
    </row>
    <row r="809" ht="15" customHeight="1" s="5">
      <c r="G809" s="7" t="n"/>
    </row>
    <row r="810" ht="15" customHeight="1" s="5">
      <c r="G810" s="7" t="n"/>
    </row>
    <row r="811" ht="15" customHeight="1" s="5">
      <c r="G811" s="7" t="n"/>
    </row>
    <row r="812" ht="15" customHeight="1" s="5">
      <c r="G812" s="7" t="n"/>
    </row>
    <row r="813" ht="15" customHeight="1" s="5">
      <c r="G813" s="7" t="n"/>
    </row>
    <row r="814" ht="15" customHeight="1" s="5">
      <c r="G814" s="7" t="n"/>
    </row>
    <row r="815" ht="15" customHeight="1" s="5">
      <c r="G815" s="7" t="n"/>
    </row>
    <row r="816" ht="15" customHeight="1" s="5">
      <c r="G816" s="7" t="n"/>
    </row>
    <row r="817" ht="15" customHeight="1" s="5">
      <c r="G817" s="7" t="n"/>
    </row>
    <row r="818" ht="15" customHeight="1" s="5">
      <c r="G818" s="7" t="n"/>
    </row>
    <row r="819" ht="15" customHeight="1" s="5">
      <c r="G819" s="7" t="n"/>
    </row>
    <row r="820" ht="15" customHeight="1" s="5">
      <c r="G820" s="7" t="n"/>
    </row>
    <row r="821" ht="15" customHeight="1" s="5">
      <c r="G821" s="7" t="n"/>
    </row>
  </sheetData>
  <dataValidations count="2">
    <dataValidation sqref="G2:G821" showDropDown="0" showInputMessage="0" showErrorMessage="0" allowBlank="1" errorTitle="Not in Config list" error="Value not in Config; will still be saved." promptTitle="Gate Status" prompt="Pick from Config → Gate Status" type="list" errorStyle="warning" operator="between">
      <formula1>"Not Started,In Progress,Pending Approval,Approved,Rejected,Complete,On Hold"</formula1>
      <formula2>0</formula2>
    </dataValidation>
    <dataValidation sqref="G2:G1321" showDropDown="0" showInputMessage="0" showErrorMessage="0" allowBlank="1" errorTitle="Not in Config list" error="Value not in Config; will still be saved." promptTitle="Gate Status" prompt="Pick from Config → Gate Status" type="list" errorStyle="warning">
      <formula1>"Not Started,In Progress,Pending Approval,Approved,Rejected,Complete,On Hold"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4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Project ID</t>
        </is>
      </c>
      <c r="B1" s="6" t="inlineStr">
        <is>
          <t>Month</t>
        </is>
      </c>
      <c r="C1" s="6" t="inlineStr">
        <is>
          <t>CAPEX</t>
        </is>
      </c>
      <c r="D1" s="6" t="inlineStr">
        <is>
          <t>OPEX</t>
        </is>
      </c>
      <c r="E1" s="6" t="inlineStr">
        <is>
          <t>Actual</t>
        </is>
      </c>
      <c r="F1" s="6" t="inlineStr">
        <is>
          <t>Forecast</t>
        </is>
      </c>
      <c r="G1" s="6" t="inlineStr">
        <is>
          <t>Variance</t>
        </is>
      </c>
      <c r="H1" s="6" t="inlineStr">
        <is>
          <t>Planned Value</t>
        </is>
      </c>
      <c r="I1" s="6" t="inlineStr">
        <is>
          <t>Earned Value</t>
        </is>
      </c>
    </row>
    <row r="2" ht="15" customHeight="1" s="5">
      <c r="A2" s="7" t="inlineStr">
        <is>
          <t>PRJ001</t>
        </is>
      </c>
      <c r="B2" s="7" t="inlineStr">
        <is>
          <t>Jan</t>
        </is>
      </c>
      <c r="C2" s="7">
        <f>IFERROR(VLOOKUP(A2,Projects!$A:$AK,21,FALSE())/12,0)</f>
        <v/>
      </c>
      <c r="D2" s="7">
        <f>IFERROR(VLOOKUP(A2,Projects!$A:$AK,22,FALSE())/12,0)</f>
        <v/>
      </c>
      <c r="E2" s="7" t="n">
        <v>261933</v>
      </c>
      <c r="F2" s="7" t="n">
        <v>301306</v>
      </c>
      <c r="G2" s="7">
        <f>F2-E2</f>
        <v/>
      </c>
      <c r="H2" s="7" t="n">
        <v>251156</v>
      </c>
      <c r="I2" s="7" t="n">
        <v>195289</v>
      </c>
    </row>
    <row r="3" ht="15" customHeight="1" s="5">
      <c r="A3" s="7" t="inlineStr">
        <is>
          <t>PRJ001</t>
        </is>
      </c>
      <c r="B3" s="7" t="inlineStr">
        <is>
          <t>Feb</t>
        </is>
      </c>
      <c r="C3" s="7">
        <f>IFERROR(VLOOKUP(A3,Projects!$A:$AK,21,FALSE())/12,0)</f>
        <v/>
      </c>
      <c r="D3" s="7">
        <f>IFERROR(VLOOKUP(A3,Projects!$A:$AK,22,FALSE())/12,0)</f>
        <v/>
      </c>
      <c r="E3" s="7" t="n">
        <v>231778</v>
      </c>
      <c r="F3" s="7" t="n">
        <v>225033</v>
      </c>
      <c r="G3" s="7">
        <f>F3-E3</f>
        <v/>
      </c>
      <c r="H3" s="7" t="n">
        <v>192576</v>
      </c>
      <c r="I3" s="7" t="n">
        <v>147431</v>
      </c>
    </row>
    <row r="4" ht="15" customHeight="1" s="5">
      <c r="A4" s="7" t="inlineStr">
        <is>
          <t>PRJ001</t>
        </is>
      </c>
      <c r="B4" s="7" t="inlineStr">
        <is>
          <t>Mar</t>
        </is>
      </c>
      <c r="C4" s="7">
        <f>IFERROR(VLOOKUP(A4,Projects!$A:$AK,21,FALSE())/12,0)</f>
        <v/>
      </c>
      <c r="D4" s="7">
        <f>IFERROR(VLOOKUP(A4,Projects!$A:$AK,22,FALSE())/12,0)</f>
        <v/>
      </c>
      <c r="E4" s="7" t="n">
        <v>174362</v>
      </c>
      <c r="F4" s="7" t="n">
        <v>182142</v>
      </c>
      <c r="G4" s="7">
        <f>F4-E4</f>
        <v/>
      </c>
      <c r="H4" s="7" t="n">
        <v>135066</v>
      </c>
      <c r="I4" s="7" t="n">
        <v>165831</v>
      </c>
    </row>
    <row r="5" ht="15" customHeight="1" s="5">
      <c r="A5" s="7" t="inlineStr">
        <is>
          <t>PRJ001</t>
        </is>
      </c>
      <c r="B5" s="7" t="inlineStr">
        <is>
          <t>Apr</t>
        </is>
      </c>
      <c r="C5" s="7">
        <f>IFERROR(VLOOKUP(A5,Projects!$A:$AK,21,FALSE())/12,0)</f>
        <v/>
      </c>
      <c r="D5" s="7">
        <f>IFERROR(VLOOKUP(A5,Projects!$A:$AK,22,FALSE())/12,0)</f>
        <v/>
      </c>
      <c r="E5" s="7" t="n">
        <v>272440</v>
      </c>
      <c r="F5" s="7" t="n">
        <v>283263</v>
      </c>
      <c r="G5" s="7">
        <f>F5-E5</f>
        <v/>
      </c>
      <c r="H5" s="7" t="n">
        <v>203135</v>
      </c>
      <c r="I5" s="7" t="n">
        <v>213717</v>
      </c>
    </row>
    <row r="6" ht="15" customHeight="1" s="5">
      <c r="A6" s="7" t="inlineStr">
        <is>
          <t>PRJ001</t>
        </is>
      </c>
      <c r="B6" s="7" t="inlineStr">
        <is>
          <t>May</t>
        </is>
      </c>
      <c r="C6" s="7">
        <f>IFERROR(VLOOKUP(A6,Projects!$A:$AK,21,FALSE())/12,0)</f>
        <v/>
      </c>
      <c r="D6" s="7">
        <f>IFERROR(VLOOKUP(A6,Projects!$A:$AK,22,FALSE())/12,0)</f>
        <v/>
      </c>
      <c r="E6" s="7" t="n">
        <v>237193</v>
      </c>
      <c r="F6" s="7" t="n">
        <v>204783</v>
      </c>
      <c r="G6" s="7">
        <f>F6-E6</f>
        <v/>
      </c>
      <c r="H6" s="7" t="n">
        <v>223895</v>
      </c>
      <c r="I6" s="7" t="n">
        <v>154098</v>
      </c>
    </row>
    <row r="7" ht="15" customHeight="1" s="5">
      <c r="A7" s="7" t="inlineStr">
        <is>
          <t>PRJ001</t>
        </is>
      </c>
      <c r="B7" s="7" t="inlineStr">
        <is>
          <t>Jun</t>
        </is>
      </c>
      <c r="C7" s="7">
        <f>IFERROR(VLOOKUP(A7,Projects!$A:$AK,21,FALSE())/12,0)</f>
        <v/>
      </c>
      <c r="D7" s="7">
        <f>IFERROR(VLOOKUP(A7,Projects!$A:$AK,22,FALSE())/12,0)</f>
        <v/>
      </c>
      <c r="E7" s="7" t="n">
        <v>222203</v>
      </c>
      <c r="F7" s="7" t="n">
        <v>317214</v>
      </c>
      <c r="G7" s="7">
        <f>F7-E7</f>
        <v/>
      </c>
      <c r="H7" s="7" t="n">
        <v>276980</v>
      </c>
      <c r="I7" s="7" t="n">
        <v>191631</v>
      </c>
    </row>
    <row r="8" ht="15" customHeight="1" s="5">
      <c r="A8" s="7" t="inlineStr">
        <is>
          <t>PRJ001</t>
        </is>
      </c>
      <c r="B8" s="7" t="inlineStr">
        <is>
          <t>Jul</t>
        </is>
      </c>
      <c r="C8" s="7">
        <f>IFERROR(VLOOKUP(A8,Projects!$A:$AK,21,FALSE())/12,0)</f>
        <v/>
      </c>
      <c r="D8" s="7">
        <f>IFERROR(VLOOKUP(A8,Projects!$A:$AK,22,FALSE())/12,0)</f>
        <v/>
      </c>
      <c r="E8" s="7" t="n">
        <v>245586</v>
      </c>
      <c r="F8" s="7" t="n">
        <v>292094</v>
      </c>
      <c r="G8" s="7">
        <f>F8-E8</f>
        <v/>
      </c>
      <c r="H8" s="7" t="n">
        <v>208528</v>
      </c>
      <c r="I8" s="7" t="n">
        <v>227833</v>
      </c>
    </row>
    <row r="9" ht="15" customHeight="1" s="5">
      <c r="A9" s="7" t="inlineStr">
        <is>
          <t>PRJ001</t>
        </is>
      </c>
      <c r="B9" s="7" t="inlineStr">
        <is>
          <t>Aug</t>
        </is>
      </c>
      <c r="C9" s="7">
        <f>IFERROR(VLOOKUP(A9,Projects!$A:$AK,21,FALSE())/12,0)</f>
        <v/>
      </c>
      <c r="D9" s="7">
        <f>IFERROR(VLOOKUP(A9,Projects!$A:$AK,22,FALSE())/12,0)</f>
        <v/>
      </c>
      <c r="E9" s="7" t="n">
        <v>239886</v>
      </c>
      <c r="F9" s="7" t="n">
        <v>257711</v>
      </c>
      <c r="G9" s="7">
        <f>F9-E9</f>
        <v/>
      </c>
      <c r="H9" s="7" t="n">
        <v>271464</v>
      </c>
      <c r="I9" s="7" t="n">
        <v>259232</v>
      </c>
    </row>
    <row r="10" ht="15" customHeight="1" s="5">
      <c r="A10" s="7" t="inlineStr">
        <is>
          <t>PRJ001</t>
        </is>
      </c>
      <c r="B10" s="7" t="inlineStr">
        <is>
          <t>Sep</t>
        </is>
      </c>
      <c r="C10" s="7">
        <f>IFERROR(VLOOKUP(A10,Projects!$A:$AK,21,FALSE())/12,0)</f>
        <v/>
      </c>
      <c r="D10" s="7">
        <f>IFERROR(VLOOKUP(A10,Projects!$A:$AK,22,FALSE())/12,0)</f>
        <v/>
      </c>
      <c r="E10" s="7" t="n">
        <v>164832</v>
      </c>
      <c r="F10" s="7" t="n">
        <v>179916</v>
      </c>
      <c r="G10" s="7">
        <f>F10-E10</f>
        <v/>
      </c>
      <c r="H10" s="7" t="n">
        <v>165087</v>
      </c>
      <c r="I10" s="7" t="n">
        <v>134079</v>
      </c>
    </row>
    <row r="11" ht="15" customHeight="1" s="5">
      <c r="A11" s="7" t="inlineStr">
        <is>
          <t>PRJ001</t>
        </is>
      </c>
      <c r="B11" s="7" t="inlineStr">
        <is>
          <t>Oct</t>
        </is>
      </c>
      <c r="C11" s="7">
        <f>IFERROR(VLOOKUP(A11,Projects!$A:$AK,21,FALSE())/12,0)</f>
        <v/>
      </c>
      <c r="D11" s="7">
        <f>IFERROR(VLOOKUP(A11,Projects!$A:$AK,22,FALSE())/12,0)</f>
        <v/>
      </c>
      <c r="E11" s="7" t="n">
        <v>175825</v>
      </c>
      <c r="F11" s="7" t="n">
        <v>157796</v>
      </c>
      <c r="G11" s="7">
        <f>F11-E11</f>
        <v/>
      </c>
      <c r="H11" s="7" t="n">
        <v>137163</v>
      </c>
      <c r="I11" s="7" t="n">
        <v>147237</v>
      </c>
    </row>
    <row r="12" ht="15" customHeight="1" s="5">
      <c r="A12" s="7" t="inlineStr">
        <is>
          <t>PRJ001</t>
        </is>
      </c>
      <c r="B12" s="7" t="inlineStr">
        <is>
          <t>Nov</t>
        </is>
      </c>
      <c r="C12" s="7">
        <f>IFERROR(VLOOKUP(A12,Projects!$A:$AK,21,FALSE())/12,0)</f>
        <v/>
      </c>
      <c r="D12" s="7">
        <f>IFERROR(VLOOKUP(A12,Projects!$A:$AK,22,FALSE())/12,0)</f>
        <v/>
      </c>
      <c r="E12" s="7" t="n">
        <v>227590</v>
      </c>
      <c r="F12" s="7" t="n">
        <v>270516</v>
      </c>
      <c r="G12" s="7">
        <f>F12-E12</f>
        <v/>
      </c>
      <c r="H12" s="7" t="n">
        <v>274054</v>
      </c>
      <c r="I12" s="7" t="n">
        <v>288863</v>
      </c>
    </row>
    <row r="13" ht="15" customHeight="1" s="5">
      <c r="A13" s="7" t="inlineStr">
        <is>
          <t>PRJ001</t>
        </is>
      </c>
      <c r="B13" s="7" t="inlineStr">
        <is>
          <t>Dec</t>
        </is>
      </c>
      <c r="C13" s="7">
        <f>IFERROR(VLOOKUP(A13,Projects!$A:$AK,21,FALSE())/12,0)</f>
        <v/>
      </c>
      <c r="D13" s="7">
        <f>IFERROR(VLOOKUP(A13,Projects!$A:$AK,22,FALSE())/12,0)</f>
        <v/>
      </c>
      <c r="E13" s="7" t="n">
        <v>291696</v>
      </c>
      <c r="F13" s="7" t="n">
        <v>322783</v>
      </c>
      <c r="G13" s="7">
        <f>F13-E13</f>
        <v/>
      </c>
      <c r="H13" s="7" t="n">
        <v>247640</v>
      </c>
      <c r="I13" s="7" t="n">
        <v>276531</v>
      </c>
    </row>
    <row r="14" ht="15" customHeight="1" s="5">
      <c r="A14" s="7" t="inlineStr">
        <is>
          <t>PRJ002</t>
        </is>
      </c>
      <c r="B14" s="7" t="inlineStr">
        <is>
          <t>Jan</t>
        </is>
      </c>
      <c r="C14" s="7">
        <f>IFERROR(VLOOKUP(A14,Projects!$A:$AK,21,FALSE())/12,0)</f>
        <v/>
      </c>
      <c r="D14" s="7">
        <f>IFERROR(VLOOKUP(A14,Projects!$A:$AK,22,FALSE())/12,0)</f>
        <v/>
      </c>
      <c r="E14" s="7" t="n">
        <v>90038</v>
      </c>
      <c r="F14" s="7" t="n">
        <v>112009</v>
      </c>
      <c r="G14" s="7">
        <f>F14-E14</f>
        <v/>
      </c>
      <c r="H14" s="7" t="n">
        <v>99705</v>
      </c>
      <c r="I14" s="7" t="n">
        <v>117449</v>
      </c>
    </row>
    <row r="15" ht="15" customHeight="1" s="5">
      <c r="A15" s="7" t="inlineStr">
        <is>
          <t>PRJ002</t>
        </is>
      </c>
      <c r="B15" s="7" t="inlineStr">
        <is>
          <t>Feb</t>
        </is>
      </c>
      <c r="C15" s="7">
        <f>IFERROR(VLOOKUP(A15,Projects!$A:$AK,21,FALSE())/12,0)</f>
        <v/>
      </c>
      <c r="D15" s="7">
        <f>IFERROR(VLOOKUP(A15,Projects!$A:$AK,22,FALSE())/12,0)</f>
        <v/>
      </c>
      <c r="E15" s="7" t="n">
        <v>194030</v>
      </c>
      <c r="F15" s="7" t="n">
        <v>198009</v>
      </c>
      <c r="G15" s="7">
        <f>F15-E15</f>
        <v/>
      </c>
      <c r="H15" s="7" t="n">
        <v>208543</v>
      </c>
      <c r="I15" s="7" t="n">
        <v>184132</v>
      </c>
    </row>
    <row r="16" ht="15" customHeight="1" s="5">
      <c r="A16" s="7" t="inlineStr">
        <is>
          <t>PRJ002</t>
        </is>
      </c>
      <c r="B16" s="7" t="inlineStr">
        <is>
          <t>Mar</t>
        </is>
      </c>
      <c r="C16" s="7">
        <f>IFERROR(VLOOKUP(A16,Projects!$A:$AK,21,FALSE())/12,0)</f>
        <v/>
      </c>
      <c r="D16" s="7">
        <f>IFERROR(VLOOKUP(A16,Projects!$A:$AK,22,FALSE())/12,0)</f>
        <v/>
      </c>
      <c r="E16" s="7" t="n">
        <v>150645</v>
      </c>
      <c r="F16" s="7" t="n">
        <v>221694</v>
      </c>
      <c r="G16" s="7">
        <f>F16-E16</f>
        <v/>
      </c>
      <c r="H16" s="7" t="n">
        <v>176779</v>
      </c>
      <c r="I16" s="7" t="n">
        <v>152997</v>
      </c>
    </row>
    <row r="17" ht="15" customHeight="1" s="5">
      <c r="A17" s="7" t="inlineStr">
        <is>
          <t>PRJ002</t>
        </is>
      </c>
      <c r="B17" s="7" t="inlineStr">
        <is>
          <t>Apr</t>
        </is>
      </c>
      <c r="C17" s="7">
        <f>IFERROR(VLOOKUP(A17,Projects!$A:$AK,21,FALSE())/12,0)</f>
        <v/>
      </c>
      <c r="D17" s="7">
        <f>IFERROR(VLOOKUP(A17,Projects!$A:$AK,22,FALSE())/12,0)</f>
        <v/>
      </c>
      <c r="E17" s="7" t="n">
        <v>143262</v>
      </c>
      <c r="F17" s="7" t="n">
        <v>168928</v>
      </c>
      <c r="G17" s="7">
        <f>F17-E17</f>
        <v/>
      </c>
      <c r="H17" s="7" t="n">
        <v>147024</v>
      </c>
      <c r="I17" s="7" t="n">
        <v>112397</v>
      </c>
    </row>
    <row r="18" ht="15" customHeight="1" s="5">
      <c r="A18" s="7" t="inlineStr">
        <is>
          <t>PRJ002</t>
        </is>
      </c>
      <c r="B18" s="7" t="inlineStr">
        <is>
          <t>May</t>
        </is>
      </c>
      <c r="C18" s="7">
        <f>IFERROR(VLOOKUP(A18,Projects!$A:$AK,21,FALSE())/12,0)</f>
        <v/>
      </c>
      <c r="D18" s="7">
        <f>IFERROR(VLOOKUP(A18,Projects!$A:$AK,22,FALSE())/12,0)</f>
        <v/>
      </c>
      <c r="E18" s="7" t="n">
        <v>140984</v>
      </c>
      <c r="F18" s="7" t="n">
        <v>240376</v>
      </c>
      <c r="G18" s="7">
        <f>F18-E18</f>
        <v/>
      </c>
      <c r="H18" s="7" t="n">
        <v>225186</v>
      </c>
      <c r="I18" s="7" t="n">
        <v>225828</v>
      </c>
    </row>
    <row r="19" ht="15" customHeight="1" s="5">
      <c r="A19" s="7" t="inlineStr">
        <is>
          <t>PRJ002</t>
        </is>
      </c>
      <c r="B19" s="7" t="inlineStr">
        <is>
          <t>Jun</t>
        </is>
      </c>
      <c r="C19" s="7">
        <f>IFERROR(VLOOKUP(A19,Projects!$A:$AK,21,FALSE())/12,0)</f>
        <v/>
      </c>
      <c r="D19" s="7">
        <f>IFERROR(VLOOKUP(A19,Projects!$A:$AK,22,FALSE())/12,0)</f>
        <v/>
      </c>
      <c r="E19" s="7" t="n">
        <v>141736</v>
      </c>
      <c r="F19" s="7" t="n">
        <v>124067</v>
      </c>
      <c r="G19" s="7">
        <f>F19-E19</f>
        <v/>
      </c>
      <c r="H19" s="7" t="n">
        <v>125912</v>
      </c>
      <c r="I19" s="7" t="n">
        <v>92231</v>
      </c>
    </row>
    <row r="20" ht="15" customHeight="1" s="5">
      <c r="A20" s="7" t="inlineStr">
        <is>
          <t>PRJ002</t>
        </is>
      </c>
      <c r="B20" s="7" t="inlineStr">
        <is>
          <t>Jul</t>
        </is>
      </c>
      <c r="C20" s="7">
        <f>IFERROR(VLOOKUP(A20,Projects!$A:$AK,21,FALSE())/12,0)</f>
        <v/>
      </c>
      <c r="D20" s="7">
        <f>IFERROR(VLOOKUP(A20,Projects!$A:$AK,22,FALSE())/12,0)</f>
        <v/>
      </c>
      <c r="E20" s="7" t="n">
        <v>185760</v>
      </c>
      <c r="F20" s="7" t="n">
        <v>164296</v>
      </c>
      <c r="G20" s="7">
        <f>F20-E20</f>
        <v/>
      </c>
      <c r="H20" s="7" t="n">
        <v>167790</v>
      </c>
      <c r="I20" s="7" t="n">
        <v>152441</v>
      </c>
    </row>
    <row r="21" ht="15" customHeight="1" s="5">
      <c r="A21" s="7" t="inlineStr">
        <is>
          <t>PRJ002</t>
        </is>
      </c>
      <c r="B21" s="7" t="inlineStr">
        <is>
          <t>Aug</t>
        </is>
      </c>
      <c r="C21" s="7">
        <f>IFERROR(VLOOKUP(A21,Projects!$A:$AK,21,FALSE())/12,0)</f>
        <v/>
      </c>
      <c r="D21" s="7">
        <f>IFERROR(VLOOKUP(A21,Projects!$A:$AK,22,FALSE())/12,0)</f>
        <v/>
      </c>
      <c r="E21" s="7" t="n">
        <v>136745</v>
      </c>
      <c r="F21" s="7" t="n">
        <v>179635</v>
      </c>
      <c r="G21" s="7">
        <f>F21-E21</f>
        <v/>
      </c>
      <c r="H21" s="7" t="n">
        <v>151856</v>
      </c>
      <c r="I21" s="7" t="n">
        <v>131156</v>
      </c>
    </row>
    <row r="22" ht="15" customHeight="1" s="5">
      <c r="A22" s="7" t="inlineStr">
        <is>
          <t>PRJ002</t>
        </is>
      </c>
      <c r="B22" s="7" t="inlineStr">
        <is>
          <t>Sep</t>
        </is>
      </c>
      <c r="C22" s="7">
        <f>IFERROR(VLOOKUP(A22,Projects!$A:$AK,21,FALSE())/12,0)</f>
        <v/>
      </c>
      <c r="D22" s="7">
        <f>IFERROR(VLOOKUP(A22,Projects!$A:$AK,22,FALSE())/12,0)</f>
        <v/>
      </c>
      <c r="E22" s="7" t="n">
        <v>69148</v>
      </c>
      <c r="F22" s="7" t="n">
        <v>94453</v>
      </c>
      <c r="G22" s="7">
        <f>F22-E22</f>
        <v/>
      </c>
      <c r="H22" s="7" t="n">
        <v>86663</v>
      </c>
      <c r="I22" s="7" t="n">
        <v>83175</v>
      </c>
    </row>
    <row r="23" ht="15" customHeight="1" s="5">
      <c r="A23" s="7" t="inlineStr">
        <is>
          <t>PRJ002</t>
        </is>
      </c>
      <c r="B23" s="7" t="inlineStr">
        <is>
          <t>Oct</t>
        </is>
      </c>
      <c r="C23" s="7">
        <f>IFERROR(VLOOKUP(A23,Projects!$A:$AK,21,FALSE())/12,0)</f>
        <v/>
      </c>
      <c r="D23" s="7">
        <f>IFERROR(VLOOKUP(A23,Projects!$A:$AK,22,FALSE())/12,0)</f>
        <v/>
      </c>
      <c r="E23" s="7" t="n">
        <v>127592</v>
      </c>
      <c r="F23" s="7" t="n">
        <v>135243</v>
      </c>
      <c r="G23" s="7">
        <f>F23-E23</f>
        <v/>
      </c>
      <c r="H23" s="7" t="n">
        <v>130937</v>
      </c>
      <c r="I23" s="7" t="n">
        <v>138204</v>
      </c>
    </row>
    <row r="24" ht="15" customHeight="1" s="5">
      <c r="A24" s="7" t="inlineStr">
        <is>
          <t>PRJ002</t>
        </is>
      </c>
      <c r="B24" s="7" t="inlineStr">
        <is>
          <t>Nov</t>
        </is>
      </c>
      <c r="C24" s="7">
        <f>IFERROR(VLOOKUP(A24,Projects!$A:$AK,21,FALSE())/12,0)</f>
        <v/>
      </c>
      <c r="D24" s="7">
        <f>IFERROR(VLOOKUP(A24,Projects!$A:$AK,22,FALSE())/12,0)</f>
        <v/>
      </c>
      <c r="E24" s="7" t="n">
        <v>122553</v>
      </c>
      <c r="F24" s="7" t="n">
        <v>165200</v>
      </c>
      <c r="G24" s="7">
        <f>F24-E24</f>
        <v/>
      </c>
      <c r="H24" s="7" t="n">
        <v>174324</v>
      </c>
      <c r="I24" s="7" t="n">
        <v>129142</v>
      </c>
    </row>
    <row r="25" ht="15" customHeight="1" s="5">
      <c r="A25" s="7" t="inlineStr">
        <is>
          <t>PRJ002</t>
        </is>
      </c>
      <c r="B25" s="7" t="inlineStr">
        <is>
          <t>Dec</t>
        </is>
      </c>
      <c r="C25" s="7">
        <f>IFERROR(VLOOKUP(A25,Projects!$A:$AK,21,FALSE())/12,0)</f>
        <v/>
      </c>
      <c r="D25" s="7">
        <f>IFERROR(VLOOKUP(A25,Projects!$A:$AK,22,FALSE())/12,0)</f>
        <v/>
      </c>
      <c r="E25" s="7" t="n">
        <v>105554</v>
      </c>
      <c r="F25" s="7" t="n">
        <v>156157</v>
      </c>
      <c r="G25" s="7">
        <f>F25-E25</f>
        <v/>
      </c>
      <c r="H25" s="7" t="n">
        <v>144984</v>
      </c>
      <c r="I25" s="7" t="n">
        <v>147917</v>
      </c>
    </row>
    <row r="26" ht="15" customHeight="1" s="5">
      <c r="A26" s="7" t="inlineStr">
        <is>
          <t>PRJ003</t>
        </is>
      </c>
      <c r="B26" s="7" t="inlineStr">
        <is>
          <t>Jan</t>
        </is>
      </c>
      <c r="C26" s="7">
        <f>IFERROR(VLOOKUP(A26,Projects!$A:$AK,21,FALSE())/12,0)</f>
        <v/>
      </c>
      <c r="D26" s="7">
        <f>IFERROR(VLOOKUP(A26,Projects!$A:$AK,22,FALSE())/12,0)</f>
        <v/>
      </c>
      <c r="E26" s="7" t="n">
        <v>246820</v>
      </c>
      <c r="F26" s="7" t="n">
        <v>400266</v>
      </c>
      <c r="G26" s="7">
        <f>F26-E26</f>
        <v/>
      </c>
      <c r="H26" s="7" t="n">
        <v>352250</v>
      </c>
      <c r="I26" s="7" t="n">
        <v>302762</v>
      </c>
    </row>
    <row r="27" ht="15" customHeight="1" s="5">
      <c r="A27" s="7" t="inlineStr">
        <is>
          <t>PRJ003</t>
        </is>
      </c>
      <c r="B27" s="7" t="inlineStr">
        <is>
          <t>Feb</t>
        </is>
      </c>
      <c r="C27" s="7">
        <f>IFERROR(VLOOKUP(A27,Projects!$A:$AK,21,FALSE())/12,0)</f>
        <v/>
      </c>
      <c r="D27" s="7">
        <f>IFERROR(VLOOKUP(A27,Projects!$A:$AK,22,FALSE())/12,0)</f>
        <v/>
      </c>
      <c r="E27" s="7" t="n">
        <v>191842</v>
      </c>
      <c r="F27" s="7" t="n">
        <v>315504</v>
      </c>
      <c r="G27" s="7">
        <f>F27-E27</f>
        <v/>
      </c>
      <c r="H27" s="7" t="n">
        <v>233702</v>
      </c>
      <c r="I27" s="7" t="n">
        <v>180038</v>
      </c>
    </row>
    <row r="28" ht="15" customHeight="1" s="5">
      <c r="A28" s="7" t="inlineStr">
        <is>
          <t>PRJ003</t>
        </is>
      </c>
      <c r="B28" s="7" t="inlineStr">
        <is>
          <t>Mar</t>
        </is>
      </c>
      <c r="C28" s="7">
        <f>IFERROR(VLOOKUP(A28,Projects!$A:$AK,21,FALSE())/12,0)</f>
        <v/>
      </c>
      <c r="D28" s="7">
        <f>IFERROR(VLOOKUP(A28,Projects!$A:$AK,22,FALSE())/12,0)</f>
        <v/>
      </c>
      <c r="E28" s="7" t="n">
        <v>215485</v>
      </c>
      <c r="F28" s="7" t="n">
        <v>245450</v>
      </c>
      <c r="G28" s="7">
        <f>F28-E28</f>
        <v/>
      </c>
      <c r="H28" s="7" t="n">
        <v>214893</v>
      </c>
      <c r="I28" s="7" t="n">
        <v>160400</v>
      </c>
    </row>
    <row r="29" ht="15" customHeight="1" s="5">
      <c r="A29" s="7" t="inlineStr">
        <is>
          <t>PRJ003</t>
        </is>
      </c>
      <c r="B29" s="7" t="inlineStr">
        <is>
          <t>Apr</t>
        </is>
      </c>
      <c r="C29" s="7">
        <f>IFERROR(VLOOKUP(A29,Projects!$A:$AK,21,FALSE())/12,0)</f>
        <v/>
      </c>
      <c r="D29" s="7">
        <f>IFERROR(VLOOKUP(A29,Projects!$A:$AK,22,FALSE())/12,0)</f>
        <v/>
      </c>
      <c r="E29" s="7" t="n">
        <v>155226</v>
      </c>
      <c r="F29" s="7" t="n">
        <v>259102</v>
      </c>
      <c r="G29" s="7">
        <f>F29-E29</f>
        <v/>
      </c>
      <c r="H29" s="7" t="n">
        <v>240477</v>
      </c>
      <c r="I29" s="7" t="n">
        <v>164323</v>
      </c>
    </row>
    <row r="30" ht="15" customHeight="1" s="5">
      <c r="A30" s="7" t="inlineStr">
        <is>
          <t>PRJ003</t>
        </is>
      </c>
      <c r="B30" s="7" t="inlineStr">
        <is>
          <t>May</t>
        </is>
      </c>
      <c r="C30" s="7">
        <f>IFERROR(VLOOKUP(A30,Projects!$A:$AK,21,FALSE())/12,0)</f>
        <v/>
      </c>
      <c r="D30" s="7">
        <f>IFERROR(VLOOKUP(A30,Projects!$A:$AK,22,FALSE())/12,0)</f>
        <v/>
      </c>
      <c r="E30" s="7" t="n">
        <v>214757</v>
      </c>
      <c r="F30" s="7" t="n">
        <v>306212</v>
      </c>
      <c r="G30" s="7">
        <f>F30-E30</f>
        <v/>
      </c>
      <c r="H30" s="7" t="n">
        <v>264408</v>
      </c>
      <c r="I30" s="7" t="n">
        <v>195386</v>
      </c>
    </row>
    <row r="31" ht="15" customHeight="1" s="5">
      <c r="A31" s="7" t="inlineStr">
        <is>
          <t>PRJ003</t>
        </is>
      </c>
      <c r="B31" s="7" t="inlineStr">
        <is>
          <t>Jun</t>
        </is>
      </c>
      <c r="C31" s="7">
        <f>IFERROR(VLOOKUP(A31,Projects!$A:$AK,21,FALSE())/12,0)</f>
        <v/>
      </c>
      <c r="D31" s="7">
        <f>IFERROR(VLOOKUP(A31,Projects!$A:$AK,22,FALSE())/12,0)</f>
        <v/>
      </c>
      <c r="E31" s="7" t="n">
        <v>140201</v>
      </c>
      <c r="F31" s="7" t="n">
        <v>173015</v>
      </c>
      <c r="G31" s="7">
        <f>F31-E31</f>
        <v/>
      </c>
      <c r="H31" s="7" t="n">
        <v>182088</v>
      </c>
      <c r="I31" s="7" t="n">
        <v>135960</v>
      </c>
    </row>
    <row r="32" ht="15" customHeight="1" s="5">
      <c r="A32" s="7" t="inlineStr">
        <is>
          <t>PRJ003</t>
        </is>
      </c>
      <c r="B32" s="7" t="inlineStr">
        <is>
          <t>Jul</t>
        </is>
      </c>
      <c r="C32" s="7">
        <f>IFERROR(VLOOKUP(A32,Projects!$A:$AK,21,FALSE())/12,0)</f>
        <v/>
      </c>
      <c r="D32" s="7">
        <f>IFERROR(VLOOKUP(A32,Projects!$A:$AK,22,FALSE())/12,0)</f>
        <v/>
      </c>
      <c r="E32" s="7" t="n">
        <v>281245</v>
      </c>
      <c r="F32" s="7" t="n">
        <v>278907</v>
      </c>
      <c r="G32" s="7">
        <f>F32-E32</f>
        <v/>
      </c>
      <c r="H32" s="7" t="n">
        <v>274688</v>
      </c>
      <c r="I32" s="7" t="n">
        <v>203699</v>
      </c>
    </row>
    <row r="33" ht="15" customHeight="1" s="5">
      <c r="A33" s="7" t="inlineStr">
        <is>
          <t>PRJ003</t>
        </is>
      </c>
      <c r="B33" s="7" t="inlineStr">
        <is>
          <t>Aug</t>
        </is>
      </c>
      <c r="C33" s="7">
        <f>IFERROR(VLOOKUP(A33,Projects!$A:$AK,21,FALSE())/12,0)</f>
        <v/>
      </c>
      <c r="D33" s="7">
        <f>IFERROR(VLOOKUP(A33,Projects!$A:$AK,22,FALSE())/12,0)</f>
        <v/>
      </c>
      <c r="E33" s="7" t="n">
        <v>319411</v>
      </c>
      <c r="F33" s="7" t="n">
        <v>374893</v>
      </c>
      <c r="G33" s="7">
        <f>F33-E33</f>
        <v/>
      </c>
      <c r="H33" s="7" t="n">
        <v>346630</v>
      </c>
      <c r="I33" s="7" t="n">
        <v>268023</v>
      </c>
    </row>
    <row r="34" ht="15" customHeight="1" s="5">
      <c r="A34" s="7" t="inlineStr">
        <is>
          <t>PRJ003</t>
        </is>
      </c>
      <c r="B34" s="7" t="inlineStr">
        <is>
          <t>Sep</t>
        </is>
      </c>
      <c r="C34" s="7">
        <f>IFERROR(VLOOKUP(A34,Projects!$A:$AK,21,FALSE())/12,0)</f>
        <v/>
      </c>
      <c r="D34" s="7">
        <f>IFERROR(VLOOKUP(A34,Projects!$A:$AK,22,FALSE())/12,0)</f>
        <v/>
      </c>
      <c r="E34" s="7" t="n">
        <v>219420</v>
      </c>
      <c r="F34" s="7" t="n">
        <v>239819</v>
      </c>
      <c r="G34" s="7">
        <f>F34-E34</f>
        <v/>
      </c>
      <c r="H34" s="7" t="n">
        <v>183684</v>
      </c>
      <c r="I34" s="7" t="n">
        <v>165785</v>
      </c>
    </row>
    <row r="35" ht="15" customHeight="1" s="5">
      <c r="A35" s="7" t="inlineStr">
        <is>
          <t>PRJ003</t>
        </is>
      </c>
      <c r="B35" s="7" t="inlineStr">
        <is>
          <t>Oct</t>
        </is>
      </c>
      <c r="C35" s="7">
        <f>IFERROR(VLOOKUP(A35,Projects!$A:$AK,21,FALSE())/12,0)</f>
        <v/>
      </c>
      <c r="D35" s="7">
        <f>IFERROR(VLOOKUP(A35,Projects!$A:$AK,22,FALSE())/12,0)</f>
        <v/>
      </c>
      <c r="E35" s="7" t="n">
        <v>348332</v>
      </c>
      <c r="F35" s="7" t="n">
        <v>404205</v>
      </c>
      <c r="G35" s="7">
        <f>F35-E35</f>
        <v/>
      </c>
      <c r="H35" s="7" t="n">
        <v>376863</v>
      </c>
      <c r="I35" s="7" t="n">
        <v>360982</v>
      </c>
    </row>
    <row r="36" ht="15" customHeight="1" s="5">
      <c r="A36" s="7" t="inlineStr">
        <is>
          <t>PRJ003</t>
        </is>
      </c>
      <c r="B36" s="7" t="inlineStr">
        <is>
          <t>Nov</t>
        </is>
      </c>
      <c r="C36" s="7">
        <f>IFERROR(VLOOKUP(A36,Projects!$A:$AK,21,FALSE())/12,0)</f>
        <v/>
      </c>
      <c r="D36" s="7">
        <f>IFERROR(VLOOKUP(A36,Projects!$A:$AK,22,FALSE())/12,0)</f>
        <v/>
      </c>
      <c r="E36" s="7" t="n">
        <v>322568</v>
      </c>
      <c r="F36" s="7" t="n">
        <v>317967</v>
      </c>
      <c r="G36" s="7">
        <f>F36-E36</f>
        <v/>
      </c>
      <c r="H36" s="7" t="n">
        <v>304740</v>
      </c>
      <c r="I36" s="7" t="n">
        <v>246739</v>
      </c>
    </row>
    <row r="37" ht="15" customHeight="1" s="5">
      <c r="A37" s="7" t="inlineStr">
        <is>
          <t>PRJ003</t>
        </is>
      </c>
      <c r="B37" s="7" t="inlineStr">
        <is>
          <t>Dec</t>
        </is>
      </c>
      <c r="C37" s="7">
        <f>IFERROR(VLOOKUP(A37,Projects!$A:$AK,21,FALSE())/12,0)</f>
        <v/>
      </c>
      <c r="D37" s="7">
        <f>IFERROR(VLOOKUP(A37,Projects!$A:$AK,22,FALSE())/12,0)</f>
        <v/>
      </c>
      <c r="E37" s="7" t="n">
        <v>273940</v>
      </c>
      <c r="F37" s="7" t="n">
        <v>293508</v>
      </c>
      <c r="G37" s="7">
        <f>F37-E37</f>
        <v/>
      </c>
      <c r="H37" s="7" t="n">
        <v>280505</v>
      </c>
      <c r="I37" s="7" t="n">
        <v>263358</v>
      </c>
    </row>
    <row r="38" ht="15" customHeight="1" s="5">
      <c r="A38" s="7" t="inlineStr">
        <is>
          <t>PRJ004</t>
        </is>
      </c>
      <c r="B38" s="7" t="inlineStr">
        <is>
          <t>Jan</t>
        </is>
      </c>
      <c r="C38" s="7">
        <f>IFERROR(VLOOKUP(A38,Projects!$A:$AK,21,FALSE())/12,0)</f>
        <v/>
      </c>
      <c r="D38" s="7">
        <f>IFERROR(VLOOKUP(A38,Projects!$A:$AK,22,FALSE())/12,0)</f>
        <v/>
      </c>
      <c r="E38" s="7" t="n">
        <v>97924</v>
      </c>
      <c r="F38" s="7" t="n">
        <v>161584</v>
      </c>
      <c r="G38" s="7">
        <f>F38-E38</f>
        <v/>
      </c>
      <c r="H38" s="7" t="n">
        <v>123799</v>
      </c>
      <c r="I38" s="7" t="n">
        <v>147410</v>
      </c>
    </row>
    <row r="39" ht="15" customHeight="1" s="5">
      <c r="A39" s="7" t="inlineStr">
        <is>
          <t>PRJ004</t>
        </is>
      </c>
      <c r="B39" s="7" t="inlineStr">
        <is>
          <t>Feb</t>
        </is>
      </c>
      <c r="C39" s="7">
        <f>IFERROR(VLOOKUP(A39,Projects!$A:$AK,21,FALSE())/12,0)</f>
        <v/>
      </c>
      <c r="D39" s="7">
        <f>IFERROR(VLOOKUP(A39,Projects!$A:$AK,22,FALSE())/12,0)</f>
        <v/>
      </c>
      <c r="E39" s="7" t="n">
        <v>119620</v>
      </c>
      <c r="F39" s="7" t="n">
        <v>181451</v>
      </c>
      <c r="G39" s="7">
        <f>F39-E39</f>
        <v/>
      </c>
      <c r="H39" s="7" t="n">
        <v>179974</v>
      </c>
      <c r="I39" s="7" t="n">
        <v>139656</v>
      </c>
    </row>
    <row r="40" ht="15" customHeight="1" s="5">
      <c r="A40" s="7" t="inlineStr">
        <is>
          <t>PRJ004</t>
        </is>
      </c>
      <c r="B40" s="7" t="inlineStr">
        <is>
          <t>Mar</t>
        </is>
      </c>
      <c r="C40" s="7">
        <f>IFERROR(VLOOKUP(A40,Projects!$A:$AK,21,FALSE())/12,0)</f>
        <v/>
      </c>
      <c r="D40" s="7">
        <f>IFERROR(VLOOKUP(A40,Projects!$A:$AK,22,FALSE())/12,0)</f>
        <v/>
      </c>
      <c r="E40" s="7" t="n">
        <v>175239</v>
      </c>
      <c r="F40" s="7" t="n">
        <v>166179</v>
      </c>
      <c r="G40" s="7">
        <f>F40-E40</f>
        <v/>
      </c>
      <c r="H40" s="7" t="n">
        <v>169227</v>
      </c>
      <c r="I40" s="7" t="n">
        <v>166386</v>
      </c>
    </row>
    <row r="41" ht="15" customHeight="1" s="5">
      <c r="A41" s="7" t="inlineStr">
        <is>
          <t>PRJ004</t>
        </is>
      </c>
      <c r="B41" s="7" t="inlineStr">
        <is>
          <t>Apr</t>
        </is>
      </c>
      <c r="C41" s="7">
        <f>IFERROR(VLOOKUP(A41,Projects!$A:$AK,21,FALSE())/12,0)</f>
        <v/>
      </c>
      <c r="D41" s="7">
        <f>IFERROR(VLOOKUP(A41,Projects!$A:$AK,22,FALSE())/12,0)</f>
        <v/>
      </c>
      <c r="E41" s="7" t="n">
        <v>72332</v>
      </c>
      <c r="F41" s="7" t="n">
        <v>88892</v>
      </c>
      <c r="G41" s="7">
        <f>F41-E41</f>
        <v/>
      </c>
      <c r="H41" s="7" t="n">
        <v>77455</v>
      </c>
      <c r="I41" s="7" t="n">
        <v>70936</v>
      </c>
    </row>
    <row r="42" ht="15" customHeight="1" s="5">
      <c r="A42" s="7" t="inlineStr">
        <is>
          <t>PRJ004</t>
        </is>
      </c>
      <c r="B42" s="7" t="inlineStr">
        <is>
          <t>May</t>
        </is>
      </c>
      <c r="C42" s="7">
        <f>IFERROR(VLOOKUP(A42,Projects!$A:$AK,21,FALSE())/12,0)</f>
        <v/>
      </c>
      <c r="D42" s="7">
        <f>IFERROR(VLOOKUP(A42,Projects!$A:$AK,22,FALSE())/12,0)</f>
        <v/>
      </c>
      <c r="E42" s="7" t="n">
        <v>156706</v>
      </c>
      <c r="F42" s="7" t="n">
        <v>177183</v>
      </c>
      <c r="G42" s="7">
        <f>F42-E42</f>
        <v/>
      </c>
      <c r="H42" s="7" t="n">
        <v>151959</v>
      </c>
      <c r="I42" s="7" t="n">
        <v>131649</v>
      </c>
    </row>
    <row r="43" ht="15" customHeight="1" s="5">
      <c r="A43" s="7" t="inlineStr">
        <is>
          <t>PRJ004</t>
        </is>
      </c>
      <c r="B43" s="7" t="inlineStr">
        <is>
          <t>Jun</t>
        </is>
      </c>
      <c r="C43" s="7">
        <f>IFERROR(VLOOKUP(A43,Projects!$A:$AK,21,FALSE())/12,0)</f>
        <v/>
      </c>
      <c r="D43" s="7">
        <f>IFERROR(VLOOKUP(A43,Projects!$A:$AK,22,FALSE())/12,0)</f>
        <v/>
      </c>
      <c r="E43" s="7" t="n">
        <v>105284</v>
      </c>
      <c r="F43" s="7" t="n">
        <v>122028</v>
      </c>
      <c r="G43" s="7">
        <f>F43-E43</f>
        <v/>
      </c>
      <c r="H43" s="7" t="n">
        <v>105908</v>
      </c>
      <c r="I43" s="7" t="n">
        <v>88714</v>
      </c>
    </row>
    <row r="44" ht="15" customHeight="1" s="5">
      <c r="A44" s="7" t="inlineStr">
        <is>
          <t>PRJ004</t>
        </is>
      </c>
      <c r="B44" s="7" t="inlineStr">
        <is>
          <t>Jul</t>
        </is>
      </c>
      <c r="C44" s="7">
        <f>IFERROR(VLOOKUP(A44,Projects!$A:$AK,21,FALSE())/12,0)</f>
        <v/>
      </c>
      <c r="D44" s="7">
        <f>IFERROR(VLOOKUP(A44,Projects!$A:$AK,22,FALSE())/12,0)</f>
        <v/>
      </c>
      <c r="E44" s="7" t="n">
        <v>75910</v>
      </c>
      <c r="F44" s="7" t="n">
        <v>86245</v>
      </c>
      <c r="G44" s="7">
        <f>F44-E44</f>
        <v/>
      </c>
      <c r="H44" s="7" t="n">
        <v>77166</v>
      </c>
      <c r="I44" s="7" t="n">
        <v>65885</v>
      </c>
    </row>
    <row r="45" ht="15" customHeight="1" s="5">
      <c r="A45" s="7" t="inlineStr">
        <is>
          <t>PRJ004</t>
        </is>
      </c>
      <c r="B45" s="7" t="inlineStr">
        <is>
          <t>Aug</t>
        </is>
      </c>
      <c r="C45" s="7">
        <f>IFERROR(VLOOKUP(A45,Projects!$A:$AK,21,FALSE())/12,0)</f>
        <v/>
      </c>
      <c r="D45" s="7">
        <f>IFERROR(VLOOKUP(A45,Projects!$A:$AK,22,FALSE())/12,0)</f>
        <v/>
      </c>
      <c r="E45" s="7" t="n">
        <v>82638</v>
      </c>
      <c r="F45" s="7" t="n">
        <v>129400</v>
      </c>
      <c r="G45" s="7">
        <f>F45-E45</f>
        <v/>
      </c>
      <c r="H45" s="7" t="n">
        <v>110691</v>
      </c>
      <c r="I45" s="7" t="n">
        <v>112653</v>
      </c>
    </row>
    <row r="46" ht="15" customHeight="1" s="5">
      <c r="A46" s="7" t="inlineStr">
        <is>
          <t>PRJ004</t>
        </is>
      </c>
      <c r="B46" s="7" t="inlineStr">
        <is>
          <t>Sep</t>
        </is>
      </c>
      <c r="C46" s="7">
        <f>IFERROR(VLOOKUP(A46,Projects!$A:$AK,21,FALSE())/12,0)</f>
        <v/>
      </c>
      <c r="D46" s="7">
        <f>IFERROR(VLOOKUP(A46,Projects!$A:$AK,22,FALSE())/12,0)</f>
        <v/>
      </c>
      <c r="E46" s="7" t="n">
        <v>122877</v>
      </c>
      <c r="F46" s="7" t="n">
        <v>115596</v>
      </c>
      <c r="G46" s="7">
        <f>F46-E46</f>
        <v/>
      </c>
      <c r="H46" s="7" t="n">
        <v>99676</v>
      </c>
      <c r="I46" s="7" t="n">
        <v>105649</v>
      </c>
    </row>
    <row r="47" ht="15" customHeight="1" s="5">
      <c r="A47" s="7" t="inlineStr">
        <is>
          <t>PRJ004</t>
        </is>
      </c>
      <c r="B47" s="7" t="inlineStr">
        <is>
          <t>Oct</t>
        </is>
      </c>
      <c r="C47" s="7">
        <f>IFERROR(VLOOKUP(A47,Projects!$A:$AK,21,FALSE())/12,0)</f>
        <v/>
      </c>
      <c r="D47" s="7">
        <f>IFERROR(VLOOKUP(A47,Projects!$A:$AK,22,FALSE())/12,0)</f>
        <v/>
      </c>
      <c r="E47" s="7" t="n">
        <v>110719</v>
      </c>
      <c r="F47" s="7" t="n">
        <v>200408</v>
      </c>
      <c r="G47" s="7">
        <f>F47-E47</f>
        <v/>
      </c>
      <c r="H47" s="7" t="n">
        <v>156177</v>
      </c>
      <c r="I47" s="7" t="n">
        <v>129233</v>
      </c>
    </row>
    <row r="48" ht="15" customHeight="1" s="5">
      <c r="A48" s="7" t="inlineStr">
        <is>
          <t>PRJ004</t>
        </is>
      </c>
      <c r="B48" s="7" t="inlineStr">
        <is>
          <t>Nov</t>
        </is>
      </c>
      <c r="C48" s="7">
        <f>IFERROR(VLOOKUP(A48,Projects!$A:$AK,21,FALSE())/12,0)</f>
        <v/>
      </c>
      <c r="D48" s="7">
        <f>IFERROR(VLOOKUP(A48,Projects!$A:$AK,22,FALSE())/12,0)</f>
        <v/>
      </c>
      <c r="E48" s="7" t="n">
        <v>90091</v>
      </c>
      <c r="F48" s="7" t="n">
        <v>155062</v>
      </c>
      <c r="G48" s="7">
        <f>F48-E48</f>
        <v/>
      </c>
      <c r="H48" s="7" t="n">
        <v>114764</v>
      </c>
      <c r="I48" s="7" t="n">
        <v>137361</v>
      </c>
    </row>
    <row r="49" ht="15" customHeight="1" s="5">
      <c r="A49" s="7" t="inlineStr">
        <is>
          <t>PRJ004</t>
        </is>
      </c>
      <c r="B49" s="7" t="inlineStr">
        <is>
          <t>Dec</t>
        </is>
      </c>
      <c r="C49" s="7">
        <f>IFERROR(VLOOKUP(A49,Projects!$A:$AK,21,FALSE())/12,0)</f>
        <v/>
      </c>
      <c r="D49" s="7">
        <f>IFERROR(VLOOKUP(A49,Projects!$A:$AK,22,FALSE())/12,0)</f>
        <v/>
      </c>
      <c r="E49" s="7" t="n">
        <v>104571</v>
      </c>
      <c r="F49" s="7" t="n">
        <v>142927</v>
      </c>
      <c r="G49" s="7">
        <f>F49-E49</f>
        <v/>
      </c>
      <c r="H49" s="7" t="n">
        <v>132240</v>
      </c>
      <c r="I49" s="7" t="n">
        <v>96098</v>
      </c>
    </row>
    <row r="50" ht="15" customHeight="1" s="5">
      <c r="A50" s="7" t="inlineStr">
        <is>
          <t>PRJ005</t>
        </is>
      </c>
      <c r="B50" s="7" t="inlineStr">
        <is>
          <t>Jan</t>
        </is>
      </c>
      <c r="C50" s="7">
        <f>IFERROR(VLOOKUP(A50,Projects!$A:$AK,21,FALSE())/12,0)</f>
        <v/>
      </c>
      <c r="D50" s="7">
        <f>IFERROR(VLOOKUP(A50,Projects!$A:$AK,22,FALSE())/12,0)</f>
        <v/>
      </c>
      <c r="E50" s="7" t="n">
        <v>135086</v>
      </c>
      <c r="F50" s="7" t="n">
        <v>151706</v>
      </c>
      <c r="G50" s="7">
        <f>F50-E50</f>
        <v/>
      </c>
      <c r="H50" s="7" t="n">
        <v>135499</v>
      </c>
      <c r="I50" s="7" t="n">
        <v>129231</v>
      </c>
    </row>
    <row r="51" ht="15" customHeight="1" s="5">
      <c r="A51" s="7" t="inlineStr">
        <is>
          <t>PRJ005</t>
        </is>
      </c>
      <c r="B51" s="7" t="inlineStr">
        <is>
          <t>Feb</t>
        </is>
      </c>
      <c r="C51" s="7">
        <f>IFERROR(VLOOKUP(A51,Projects!$A:$AK,21,FALSE())/12,0)</f>
        <v/>
      </c>
      <c r="D51" s="7">
        <f>IFERROR(VLOOKUP(A51,Projects!$A:$AK,22,FALSE())/12,0)</f>
        <v/>
      </c>
      <c r="E51" s="7" t="n">
        <v>88599</v>
      </c>
      <c r="F51" s="7" t="n">
        <v>120394</v>
      </c>
      <c r="G51" s="7">
        <f>F51-E51</f>
        <v/>
      </c>
      <c r="H51" s="7" t="n">
        <v>96992</v>
      </c>
      <c r="I51" s="7" t="n">
        <v>110288</v>
      </c>
    </row>
    <row r="52" ht="15" customHeight="1" s="5">
      <c r="A52" s="7" t="inlineStr">
        <is>
          <t>PRJ005</t>
        </is>
      </c>
      <c r="B52" s="7" t="inlineStr">
        <is>
          <t>Mar</t>
        </is>
      </c>
      <c r="C52" s="7">
        <f>IFERROR(VLOOKUP(A52,Projects!$A:$AK,21,FALSE())/12,0)</f>
        <v/>
      </c>
      <c r="D52" s="7">
        <f>IFERROR(VLOOKUP(A52,Projects!$A:$AK,22,FALSE())/12,0)</f>
        <v/>
      </c>
      <c r="E52" s="7" t="n">
        <v>94069</v>
      </c>
      <c r="F52" s="7" t="n">
        <v>149703</v>
      </c>
      <c r="G52" s="7">
        <f>F52-E52</f>
        <v/>
      </c>
      <c r="H52" s="7" t="n">
        <v>130679</v>
      </c>
      <c r="I52" s="7" t="n">
        <v>94531</v>
      </c>
    </row>
    <row r="53" ht="15" customHeight="1" s="5">
      <c r="A53" s="7" t="inlineStr">
        <is>
          <t>PRJ005</t>
        </is>
      </c>
      <c r="B53" s="7" t="inlineStr">
        <is>
          <t>Apr</t>
        </is>
      </c>
      <c r="C53" s="7">
        <f>IFERROR(VLOOKUP(A53,Projects!$A:$AK,21,FALSE())/12,0)</f>
        <v/>
      </c>
      <c r="D53" s="7">
        <f>IFERROR(VLOOKUP(A53,Projects!$A:$AK,22,FALSE())/12,0)</f>
        <v/>
      </c>
      <c r="E53" s="7" t="n">
        <v>155419</v>
      </c>
      <c r="F53" s="7" t="n">
        <v>158059</v>
      </c>
      <c r="G53" s="7">
        <f>F53-E53</f>
        <v/>
      </c>
      <c r="H53" s="7" t="n">
        <v>157440</v>
      </c>
      <c r="I53" s="7" t="n">
        <v>130895</v>
      </c>
    </row>
    <row r="54" ht="15" customHeight="1" s="5">
      <c r="A54" s="7" t="inlineStr">
        <is>
          <t>PRJ005</t>
        </is>
      </c>
      <c r="B54" s="7" t="inlineStr">
        <is>
          <t>May</t>
        </is>
      </c>
      <c r="C54" s="7">
        <f>IFERROR(VLOOKUP(A54,Projects!$A:$AK,21,FALSE())/12,0)</f>
        <v/>
      </c>
      <c r="D54" s="7">
        <f>IFERROR(VLOOKUP(A54,Projects!$A:$AK,22,FALSE())/12,0)</f>
        <v/>
      </c>
      <c r="E54" s="7" t="n">
        <v>76086</v>
      </c>
      <c r="F54" s="7" t="n">
        <v>122810</v>
      </c>
      <c r="G54" s="7">
        <f>F54-E54</f>
        <v/>
      </c>
      <c r="H54" s="7" t="n">
        <v>113621</v>
      </c>
      <c r="I54" s="7" t="n">
        <v>82981</v>
      </c>
    </row>
    <row r="55" ht="15" customHeight="1" s="5">
      <c r="A55" s="7" t="inlineStr">
        <is>
          <t>PRJ005</t>
        </is>
      </c>
      <c r="B55" s="7" t="inlineStr">
        <is>
          <t>Jun</t>
        </is>
      </c>
      <c r="C55" s="7">
        <f>IFERROR(VLOOKUP(A55,Projects!$A:$AK,21,FALSE())/12,0)</f>
        <v/>
      </c>
      <c r="D55" s="7">
        <f>IFERROR(VLOOKUP(A55,Projects!$A:$AK,22,FALSE())/12,0)</f>
        <v/>
      </c>
      <c r="E55" s="7" t="n">
        <v>132771</v>
      </c>
      <c r="F55" s="7" t="n">
        <v>161214</v>
      </c>
      <c r="G55" s="7">
        <f>F55-E55</f>
        <v/>
      </c>
      <c r="H55" s="7" t="n">
        <v>167728</v>
      </c>
      <c r="I55" s="7" t="n">
        <v>154138</v>
      </c>
    </row>
    <row r="56" ht="15" customHeight="1" s="5">
      <c r="A56" s="7" t="inlineStr">
        <is>
          <t>PRJ005</t>
        </is>
      </c>
      <c r="B56" s="7" t="inlineStr">
        <is>
          <t>Jul</t>
        </is>
      </c>
      <c r="C56" s="7">
        <f>IFERROR(VLOOKUP(A56,Projects!$A:$AK,21,FALSE())/12,0)</f>
        <v/>
      </c>
      <c r="D56" s="7">
        <f>IFERROR(VLOOKUP(A56,Projects!$A:$AK,22,FALSE())/12,0)</f>
        <v/>
      </c>
      <c r="E56" s="7" t="n">
        <v>109632</v>
      </c>
      <c r="F56" s="7" t="n">
        <v>130009</v>
      </c>
      <c r="G56" s="7">
        <f>F56-E56</f>
        <v/>
      </c>
      <c r="H56" s="7" t="n">
        <v>126378</v>
      </c>
      <c r="I56" s="7" t="n">
        <v>136262</v>
      </c>
    </row>
    <row r="57" ht="15" customHeight="1" s="5">
      <c r="A57" s="7" t="inlineStr">
        <is>
          <t>PRJ005</t>
        </is>
      </c>
      <c r="B57" s="7" t="inlineStr">
        <is>
          <t>Aug</t>
        </is>
      </c>
      <c r="C57" s="7">
        <f>IFERROR(VLOOKUP(A57,Projects!$A:$AK,21,FALSE())/12,0)</f>
        <v/>
      </c>
      <c r="D57" s="7">
        <f>IFERROR(VLOOKUP(A57,Projects!$A:$AK,22,FALSE())/12,0)</f>
        <v/>
      </c>
      <c r="E57" s="7" t="n">
        <v>163712</v>
      </c>
      <c r="F57" s="7" t="n">
        <v>168669</v>
      </c>
      <c r="G57" s="7">
        <f>F57-E57</f>
        <v/>
      </c>
      <c r="H57" s="7" t="n">
        <v>153782</v>
      </c>
      <c r="I57" s="7" t="n">
        <v>106024</v>
      </c>
    </row>
    <row r="58" ht="15" customHeight="1" s="5">
      <c r="A58" s="7" t="inlineStr">
        <is>
          <t>PRJ005</t>
        </is>
      </c>
      <c r="B58" s="7" t="inlineStr">
        <is>
          <t>Sep</t>
        </is>
      </c>
      <c r="C58" s="7">
        <f>IFERROR(VLOOKUP(A58,Projects!$A:$AK,21,FALSE())/12,0)</f>
        <v/>
      </c>
      <c r="D58" s="7">
        <f>IFERROR(VLOOKUP(A58,Projects!$A:$AK,22,FALSE())/12,0)</f>
        <v/>
      </c>
      <c r="E58" s="7" t="n">
        <v>106838</v>
      </c>
      <c r="F58" s="7" t="n">
        <v>199355</v>
      </c>
      <c r="G58" s="7">
        <f>F58-E58</f>
        <v/>
      </c>
      <c r="H58" s="7" t="n">
        <v>164286</v>
      </c>
      <c r="I58" s="7" t="n">
        <v>148552</v>
      </c>
    </row>
    <row r="59" ht="15" customHeight="1" s="5">
      <c r="A59" s="7" t="inlineStr">
        <is>
          <t>PRJ005</t>
        </is>
      </c>
      <c r="B59" s="7" t="inlineStr">
        <is>
          <t>Oct</t>
        </is>
      </c>
      <c r="C59" s="7">
        <f>IFERROR(VLOOKUP(A59,Projects!$A:$AK,21,FALSE())/12,0)</f>
        <v/>
      </c>
      <c r="D59" s="7">
        <f>IFERROR(VLOOKUP(A59,Projects!$A:$AK,22,FALSE())/12,0)</f>
        <v/>
      </c>
      <c r="E59" s="7" t="n">
        <v>86884</v>
      </c>
      <c r="F59" s="7" t="n">
        <v>84616</v>
      </c>
      <c r="G59" s="7">
        <f>F59-E59</f>
        <v/>
      </c>
      <c r="H59" s="7" t="n">
        <v>86092</v>
      </c>
      <c r="I59" s="7" t="n">
        <v>74279</v>
      </c>
    </row>
    <row r="60" ht="15" customHeight="1" s="5">
      <c r="A60" s="7" t="inlineStr">
        <is>
          <t>PRJ005</t>
        </is>
      </c>
      <c r="B60" s="7" t="inlineStr">
        <is>
          <t>Nov</t>
        </is>
      </c>
      <c r="C60" s="7">
        <f>IFERROR(VLOOKUP(A60,Projects!$A:$AK,21,FALSE())/12,0)</f>
        <v/>
      </c>
      <c r="D60" s="7">
        <f>IFERROR(VLOOKUP(A60,Projects!$A:$AK,22,FALSE())/12,0)</f>
        <v/>
      </c>
      <c r="E60" s="7" t="n">
        <v>96804</v>
      </c>
      <c r="F60" s="7" t="n">
        <v>120387</v>
      </c>
      <c r="G60" s="7">
        <f>F60-E60</f>
        <v/>
      </c>
      <c r="H60" s="7" t="n">
        <v>111678</v>
      </c>
      <c r="I60" s="7" t="n">
        <v>108870</v>
      </c>
    </row>
    <row r="61" ht="15" customHeight="1" s="5">
      <c r="A61" s="7" t="inlineStr">
        <is>
          <t>PRJ005</t>
        </is>
      </c>
      <c r="B61" s="7" t="inlineStr">
        <is>
          <t>Dec</t>
        </is>
      </c>
      <c r="C61" s="7">
        <f>IFERROR(VLOOKUP(A61,Projects!$A:$AK,21,FALSE())/12,0)</f>
        <v/>
      </c>
      <c r="D61" s="7">
        <f>IFERROR(VLOOKUP(A61,Projects!$A:$AK,22,FALSE())/12,0)</f>
        <v/>
      </c>
      <c r="E61" s="7" t="n">
        <v>101218</v>
      </c>
      <c r="F61" s="7" t="n">
        <v>159778</v>
      </c>
      <c r="G61" s="7">
        <f>F61-E61</f>
        <v/>
      </c>
      <c r="H61" s="7" t="n">
        <v>144947</v>
      </c>
      <c r="I61" s="7" t="n">
        <v>145700</v>
      </c>
    </row>
    <row r="62" ht="15" customHeight="1" s="5">
      <c r="A62" s="7" t="inlineStr">
        <is>
          <t>PRJ006</t>
        </is>
      </c>
      <c r="B62" s="7" t="inlineStr">
        <is>
          <t>Jan</t>
        </is>
      </c>
      <c r="C62" s="7">
        <f>IFERROR(VLOOKUP(A62,Projects!$A:$AK,21,FALSE())/12,0)</f>
        <v/>
      </c>
      <c r="D62" s="7">
        <f>IFERROR(VLOOKUP(A62,Projects!$A:$AK,22,FALSE())/12,0)</f>
        <v/>
      </c>
      <c r="E62" s="7" t="n">
        <v>123678</v>
      </c>
      <c r="F62" s="7" t="n">
        <v>133263</v>
      </c>
      <c r="G62" s="7">
        <f>F62-E62</f>
        <v/>
      </c>
      <c r="H62" s="7" t="n">
        <v>112343</v>
      </c>
      <c r="I62" s="7" t="n">
        <v>85531</v>
      </c>
    </row>
    <row r="63" ht="15" customHeight="1" s="5">
      <c r="A63" s="7" t="inlineStr">
        <is>
          <t>PRJ006</t>
        </is>
      </c>
      <c r="B63" s="7" t="inlineStr">
        <is>
          <t>Feb</t>
        </is>
      </c>
      <c r="C63" s="7">
        <f>IFERROR(VLOOKUP(A63,Projects!$A:$AK,21,FALSE())/12,0)</f>
        <v/>
      </c>
      <c r="D63" s="7">
        <f>IFERROR(VLOOKUP(A63,Projects!$A:$AK,22,FALSE())/12,0)</f>
        <v/>
      </c>
      <c r="E63" s="7" t="n">
        <v>190963</v>
      </c>
      <c r="F63" s="7" t="n">
        <v>178836</v>
      </c>
      <c r="G63" s="7">
        <f>F63-E63</f>
        <v/>
      </c>
      <c r="H63" s="7" t="n">
        <v>174562</v>
      </c>
      <c r="I63" s="7" t="n">
        <v>177291</v>
      </c>
    </row>
    <row r="64" ht="15" customHeight="1" s="5">
      <c r="A64" s="7" t="inlineStr">
        <is>
          <t>PRJ006</t>
        </is>
      </c>
      <c r="B64" s="7" t="inlineStr">
        <is>
          <t>Mar</t>
        </is>
      </c>
      <c r="C64" s="7">
        <f>IFERROR(VLOOKUP(A64,Projects!$A:$AK,21,FALSE())/12,0)</f>
        <v/>
      </c>
      <c r="D64" s="7">
        <f>IFERROR(VLOOKUP(A64,Projects!$A:$AK,22,FALSE())/12,0)</f>
        <v/>
      </c>
      <c r="E64" s="7" t="n">
        <v>99885</v>
      </c>
      <c r="F64" s="7" t="n">
        <v>114337</v>
      </c>
      <c r="G64" s="7">
        <f>F64-E64</f>
        <v/>
      </c>
      <c r="H64" s="7" t="n">
        <v>97685</v>
      </c>
      <c r="I64" s="7" t="n">
        <v>93605</v>
      </c>
    </row>
    <row r="65" ht="15" customHeight="1" s="5">
      <c r="A65" s="7" t="inlineStr">
        <is>
          <t>PRJ006</t>
        </is>
      </c>
      <c r="B65" s="7" t="inlineStr">
        <is>
          <t>Apr</t>
        </is>
      </c>
      <c r="C65" s="7">
        <f>IFERROR(VLOOKUP(A65,Projects!$A:$AK,21,FALSE())/12,0)</f>
        <v/>
      </c>
      <c r="D65" s="7">
        <f>IFERROR(VLOOKUP(A65,Projects!$A:$AK,22,FALSE())/12,0)</f>
        <v/>
      </c>
      <c r="E65" s="7" t="n">
        <v>146223</v>
      </c>
      <c r="F65" s="7" t="n">
        <v>167983</v>
      </c>
      <c r="G65" s="7">
        <f>F65-E65</f>
        <v/>
      </c>
      <c r="H65" s="7" t="n">
        <v>144777</v>
      </c>
      <c r="I65" s="7" t="n">
        <v>155337</v>
      </c>
    </row>
    <row r="66" ht="15" customHeight="1" s="5">
      <c r="A66" s="7" t="inlineStr">
        <is>
          <t>PRJ006</t>
        </is>
      </c>
      <c r="B66" s="7" t="inlineStr">
        <is>
          <t>May</t>
        </is>
      </c>
      <c r="C66" s="7">
        <f>IFERROR(VLOOKUP(A66,Projects!$A:$AK,21,FALSE())/12,0)</f>
        <v/>
      </c>
      <c r="D66" s="7">
        <f>IFERROR(VLOOKUP(A66,Projects!$A:$AK,22,FALSE())/12,0)</f>
        <v/>
      </c>
      <c r="E66" s="7" t="n">
        <v>90698</v>
      </c>
      <c r="F66" s="7" t="n">
        <v>103797</v>
      </c>
      <c r="G66" s="7">
        <f>F66-E66</f>
        <v/>
      </c>
      <c r="H66" s="7" t="n">
        <v>107542</v>
      </c>
      <c r="I66" s="7" t="n">
        <v>94659</v>
      </c>
    </row>
    <row r="67" ht="15" customHeight="1" s="5">
      <c r="A67" s="7" t="inlineStr">
        <is>
          <t>PRJ006</t>
        </is>
      </c>
      <c r="B67" s="7" t="inlineStr">
        <is>
          <t>Jun</t>
        </is>
      </c>
      <c r="C67" s="7">
        <f>IFERROR(VLOOKUP(A67,Projects!$A:$AK,21,FALSE())/12,0)</f>
        <v/>
      </c>
      <c r="D67" s="7">
        <f>IFERROR(VLOOKUP(A67,Projects!$A:$AK,22,FALSE())/12,0)</f>
        <v/>
      </c>
      <c r="E67" s="7" t="n">
        <v>90092</v>
      </c>
      <c r="F67" s="7" t="n">
        <v>130943</v>
      </c>
      <c r="G67" s="7">
        <f>F67-E67</f>
        <v/>
      </c>
      <c r="H67" s="7" t="n">
        <v>121229</v>
      </c>
      <c r="I67" s="7" t="n">
        <v>121943</v>
      </c>
    </row>
    <row r="68" ht="15" customHeight="1" s="5">
      <c r="A68" s="7" t="inlineStr">
        <is>
          <t>PRJ006</t>
        </is>
      </c>
      <c r="B68" s="7" t="inlineStr">
        <is>
          <t>Jul</t>
        </is>
      </c>
      <c r="C68" s="7">
        <f>IFERROR(VLOOKUP(A68,Projects!$A:$AK,21,FALSE())/12,0)</f>
        <v/>
      </c>
      <c r="D68" s="7">
        <f>IFERROR(VLOOKUP(A68,Projects!$A:$AK,22,FALSE())/12,0)</f>
        <v/>
      </c>
      <c r="E68" s="7" t="n">
        <v>155717</v>
      </c>
      <c r="F68" s="7" t="n">
        <v>169032</v>
      </c>
      <c r="G68" s="7">
        <f>F68-E68</f>
        <v/>
      </c>
      <c r="H68" s="7" t="n">
        <v>148498</v>
      </c>
      <c r="I68" s="7" t="n">
        <v>102387</v>
      </c>
    </row>
    <row r="69" ht="15" customHeight="1" s="5">
      <c r="A69" s="7" t="inlineStr">
        <is>
          <t>PRJ006</t>
        </is>
      </c>
      <c r="B69" s="7" t="inlineStr">
        <is>
          <t>Aug</t>
        </is>
      </c>
      <c r="C69" s="7">
        <f>IFERROR(VLOOKUP(A69,Projects!$A:$AK,21,FALSE())/12,0)</f>
        <v/>
      </c>
      <c r="D69" s="7">
        <f>IFERROR(VLOOKUP(A69,Projects!$A:$AK,22,FALSE())/12,0)</f>
        <v/>
      </c>
      <c r="E69" s="7" t="n">
        <v>61501</v>
      </c>
      <c r="F69" s="7" t="n">
        <v>92935</v>
      </c>
      <c r="G69" s="7">
        <f>F69-E69</f>
        <v/>
      </c>
      <c r="H69" s="7" t="n">
        <v>80328</v>
      </c>
      <c r="I69" s="7" t="n">
        <v>56771</v>
      </c>
    </row>
    <row r="70" ht="15" customHeight="1" s="5">
      <c r="A70" s="7" t="inlineStr">
        <is>
          <t>PRJ006</t>
        </is>
      </c>
      <c r="B70" s="7" t="inlineStr">
        <is>
          <t>Sep</t>
        </is>
      </c>
      <c r="C70" s="7">
        <f>IFERROR(VLOOKUP(A70,Projects!$A:$AK,21,FALSE())/12,0)</f>
        <v/>
      </c>
      <c r="D70" s="7">
        <f>IFERROR(VLOOKUP(A70,Projects!$A:$AK,22,FALSE())/12,0)</f>
        <v/>
      </c>
      <c r="E70" s="7" t="n">
        <v>92086</v>
      </c>
      <c r="F70" s="7" t="n">
        <v>141250</v>
      </c>
      <c r="G70" s="7">
        <f>F70-E70</f>
        <v/>
      </c>
      <c r="H70" s="7" t="n">
        <v>135539</v>
      </c>
      <c r="I70" s="7" t="n">
        <v>103255</v>
      </c>
    </row>
    <row r="71" ht="15" customHeight="1" s="5">
      <c r="A71" s="7" t="inlineStr">
        <is>
          <t>PRJ006</t>
        </is>
      </c>
      <c r="B71" s="7" t="inlineStr">
        <is>
          <t>Oct</t>
        </is>
      </c>
      <c r="C71" s="7">
        <f>IFERROR(VLOOKUP(A71,Projects!$A:$AK,21,FALSE())/12,0)</f>
        <v/>
      </c>
      <c r="D71" s="7">
        <f>IFERROR(VLOOKUP(A71,Projects!$A:$AK,22,FALSE())/12,0)</f>
        <v/>
      </c>
      <c r="E71" s="7" t="n">
        <v>110439</v>
      </c>
      <c r="F71" s="7" t="n">
        <v>147223</v>
      </c>
      <c r="G71" s="7">
        <f>F71-E71</f>
        <v/>
      </c>
      <c r="H71" s="7" t="n">
        <v>146729</v>
      </c>
      <c r="I71" s="7" t="n">
        <v>119201</v>
      </c>
    </row>
    <row r="72" ht="15" customHeight="1" s="5">
      <c r="A72" s="7" t="inlineStr">
        <is>
          <t>PRJ006</t>
        </is>
      </c>
      <c r="B72" s="7" t="inlineStr">
        <is>
          <t>Nov</t>
        </is>
      </c>
      <c r="C72" s="7">
        <f>IFERROR(VLOOKUP(A72,Projects!$A:$AK,21,FALSE())/12,0)</f>
        <v/>
      </c>
      <c r="D72" s="7">
        <f>IFERROR(VLOOKUP(A72,Projects!$A:$AK,22,FALSE())/12,0)</f>
        <v/>
      </c>
      <c r="E72" s="7" t="n">
        <v>184643</v>
      </c>
      <c r="F72" s="7" t="n">
        <v>158061</v>
      </c>
      <c r="G72" s="7">
        <f>F72-E72</f>
        <v/>
      </c>
      <c r="H72" s="7" t="n">
        <v>168408</v>
      </c>
      <c r="I72" s="7" t="n">
        <v>137806</v>
      </c>
    </row>
    <row r="73" ht="15" customHeight="1" s="5">
      <c r="A73" s="7" t="inlineStr">
        <is>
          <t>PRJ006</t>
        </is>
      </c>
      <c r="B73" s="7" t="inlineStr">
        <is>
          <t>Dec</t>
        </is>
      </c>
      <c r="C73" s="7">
        <f>IFERROR(VLOOKUP(A73,Projects!$A:$AK,21,FALSE())/12,0)</f>
        <v/>
      </c>
      <c r="D73" s="7">
        <f>IFERROR(VLOOKUP(A73,Projects!$A:$AK,22,FALSE())/12,0)</f>
        <v/>
      </c>
      <c r="E73" s="7" t="n">
        <v>120243</v>
      </c>
      <c r="F73" s="7" t="n">
        <v>146619</v>
      </c>
      <c r="G73" s="7">
        <f>F73-E73</f>
        <v/>
      </c>
      <c r="H73" s="7" t="n">
        <v>155821</v>
      </c>
      <c r="I73" s="7" t="n">
        <v>105119</v>
      </c>
    </row>
    <row r="74" ht="15" customHeight="1" s="5">
      <c r="A74" s="7" t="inlineStr">
        <is>
          <t>PRJ007</t>
        </is>
      </c>
      <c r="B74" s="7" t="inlineStr">
        <is>
          <t>Jan</t>
        </is>
      </c>
      <c r="C74" s="7">
        <f>IFERROR(VLOOKUP(A74,Projects!$A:$AK,21,FALSE())/12,0)</f>
        <v/>
      </c>
      <c r="D74" s="7">
        <f>IFERROR(VLOOKUP(A74,Projects!$A:$AK,22,FALSE())/12,0)</f>
        <v/>
      </c>
      <c r="E74" s="7" t="n">
        <v>196291</v>
      </c>
      <c r="F74" s="7" t="n">
        <v>249973</v>
      </c>
      <c r="G74" s="7">
        <f>F74-E74</f>
        <v/>
      </c>
      <c r="H74" s="7" t="n">
        <v>197802</v>
      </c>
      <c r="I74" s="7" t="n">
        <v>161202</v>
      </c>
    </row>
    <row r="75" ht="15" customHeight="1" s="5">
      <c r="A75" s="7" t="inlineStr">
        <is>
          <t>PRJ007</t>
        </is>
      </c>
      <c r="B75" s="7" t="inlineStr">
        <is>
          <t>Feb</t>
        </is>
      </c>
      <c r="C75" s="7">
        <f>IFERROR(VLOOKUP(A75,Projects!$A:$AK,21,FALSE())/12,0)</f>
        <v/>
      </c>
      <c r="D75" s="7">
        <f>IFERROR(VLOOKUP(A75,Projects!$A:$AK,22,FALSE())/12,0)</f>
        <v/>
      </c>
      <c r="E75" s="7" t="n">
        <v>307262</v>
      </c>
      <c r="F75" s="7" t="n">
        <v>385177</v>
      </c>
      <c r="G75" s="7">
        <f>F75-E75</f>
        <v/>
      </c>
      <c r="H75" s="7" t="n">
        <v>304194</v>
      </c>
      <c r="I75" s="7" t="n">
        <v>310907</v>
      </c>
    </row>
    <row r="76" ht="15" customHeight="1" s="5">
      <c r="A76" s="7" t="inlineStr">
        <is>
          <t>PRJ007</t>
        </is>
      </c>
      <c r="B76" s="7" t="inlineStr">
        <is>
          <t>Mar</t>
        </is>
      </c>
      <c r="C76" s="7">
        <f>IFERROR(VLOOKUP(A76,Projects!$A:$AK,21,FALSE())/12,0)</f>
        <v/>
      </c>
      <c r="D76" s="7">
        <f>IFERROR(VLOOKUP(A76,Projects!$A:$AK,22,FALSE())/12,0)</f>
        <v/>
      </c>
      <c r="E76" s="7" t="n">
        <v>164941</v>
      </c>
      <c r="F76" s="7" t="n">
        <v>158475</v>
      </c>
      <c r="G76" s="7">
        <f>F76-E76</f>
        <v/>
      </c>
      <c r="H76" s="7" t="n">
        <v>160282</v>
      </c>
      <c r="I76" s="7" t="n">
        <v>133863</v>
      </c>
    </row>
    <row r="77" ht="15" customHeight="1" s="5">
      <c r="A77" s="7" t="inlineStr">
        <is>
          <t>PRJ007</t>
        </is>
      </c>
      <c r="B77" s="7" t="inlineStr">
        <is>
          <t>Apr</t>
        </is>
      </c>
      <c r="C77" s="7">
        <f>IFERROR(VLOOKUP(A77,Projects!$A:$AK,21,FALSE())/12,0)</f>
        <v/>
      </c>
      <c r="D77" s="7">
        <f>IFERROR(VLOOKUP(A77,Projects!$A:$AK,22,FALSE())/12,0)</f>
        <v/>
      </c>
      <c r="E77" s="7" t="n">
        <v>296183</v>
      </c>
      <c r="F77" s="7" t="n">
        <v>345522</v>
      </c>
      <c r="G77" s="7">
        <f>F77-E77</f>
        <v/>
      </c>
      <c r="H77" s="7" t="n">
        <v>287512</v>
      </c>
      <c r="I77" s="7" t="n">
        <v>321938</v>
      </c>
    </row>
    <row r="78" ht="15" customHeight="1" s="5">
      <c r="A78" s="7" t="inlineStr">
        <is>
          <t>PRJ007</t>
        </is>
      </c>
      <c r="B78" s="7" t="inlineStr">
        <is>
          <t>May</t>
        </is>
      </c>
      <c r="C78" s="7">
        <f>IFERROR(VLOOKUP(A78,Projects!$A:$AK,21,FALSE())/12,0)</f>
        <v/>
      </c>
      <c r="D78" s="7">
        <f>IFERROR(VLOOKUP(A78,Projects!$A:$AK,22,FALSE())/12,0)</f>
        <v/>
      </c>
      <c r="E78" s="7" t="n">
        <v>165907</v>
      </c>
      <c r="F78" s="7" t="n">
        <v>235515</v>
      </c>
      <c r="G78" s="7">
        <f>F78-E78</f>
        <v/>
      </c>
      <c r="H78" s="7" t="n">
        <v>190355</v>
      </c>
      <c r="I78" s="7" t="n">
        <v>172825</v>
      </c>
    </row>
    <row r="79" ht="15" customHeight="1" s="5">
      <c r="A79" s="7" t="inlineStr">
        <is>
          <t>PRJ007</t>
        </is>
      </c>
      <c r="B79" s="7" t="inlineStr">
        <is>
          <t>Jun</t>
        </is>
      </c>
      <c r="C79" s="7">
        <f>IFERROR(VLOOKUP(A79,Projects!$A:$AK,21,FALSE())/12,0)</f>
        <v/>
      </c>
      <c r="D79" s="7">
        <f>IFERROR(VLOOKUP(A79,Projects!$A:$AK,22,FALSE())/12,0)</f>
        <v/>
      </c>
      <c r="E79" s="7" t="n">
        <v>327855</v>
      </c>
      <c r="F79" s="7" t="n">
        <v>369186</v>
      </c>
      <c r="G79" s="7">
        <f>F79-E79</f>
        <v/>
      </c>
      <c r="H79" s="7" t="n">
        <v>296896</v>
      </c>
      <c r="I79" s="7" t="n">
        <v>306555</v>
      </c>
    </row>
    <row r="80" ht="15" customHeight="1" s="5">
      <c r="A80" s="7" t="inlineStr">
        <is>
          <t>PRJ007</t>
        </is>
      </c>
      <c r="B80" s="7" t="inlineStr">
        <is>
          <t>Jul</t>
        </is>
      </c>
      <c r="C80" s="7">
        <f>IFERROR(VLOOKUP(A80,Projects!$A:$AK,21,FALSE())/12,0)</f>
        <v/>
      </c>
      <c r="D80" s="7">
        <f>IFERROR(VLOOKUP(A80,Projects!$A:$AK,22,FALSE())/12,0)</f>
        <v/>
      </c>
      <c r="E80" s="7" t="n">
        <v>185842</v>
      </c>
      <c r="F80" s="7" t="n">
        <v>245786</v>
      </c>
      <c r="G80" s="7">
        <f>F80-E80</f>
        <v/>
      </c>
      <c r="H80" s="7" t="n">
        <v>195612</v>
      </c>
      <c r="I80" s="7" t="n">
        <v>218176</v>
      </c>
    </row>
    <row r="81" ht="15" customHeight="1" s="5">
      <c r="A81" s="7" t="inlineStr">
        <is>
          <t>PRJ007</t>
        </is>
      </c>
      <c r="B81" s="7" t="inlineStr">
        <is>
          <t>Aug</t>
        </is>
      </c>
      <c r="C81" s="7">
        <f>IFERROR(VLOOKUP(A81,Projects!$A:$AK,21,FALSE())/12,0)</f>
        <v/>
      </c>
      <c r="D81" s="7">
        <f>IFERROR(VLOOKUP(A81,Projects!$A:$AK,22,FALSE())/12,0)</f>
        <v/>
      </c>
      <c r="E81" s="7" t="n">
        <v>227159</v>
      </c>
      <c r="F81" s="7" t="n">
        <v>247232</v>
      </c>
      <c r="G81" s="7">
        <f>F81-E81</f>
        <v/>
      </c>
      <c r="H81" s="7" t="n">
        <v>204453</v>
      </c>
      <c r="I81" s="7" t="n">
        <v>225103</v>
      </c>
    </row>
    <row r="82" ht="15" customHeight="1" s="5">
      <c r="A82" s="7" t="inlineStr">
        <is>
          <t>PRJ007</t>
        </is>
      </c>
      <c r="B82" s="7" t="inlineStr">
        <is>
          <t>Sep</t>
        </is>
      </c>
      <c r="C82" s="7">
        <f>IFERROR(VLOOKUP(A82,Projects!$A:$AK,21,FALSE())/12,0)</f>
        <v/>
      </c>
      <c r="D82" s="7">
        <f>IFERROR(VLOOKUP(A82,Projects!$A:$AK,22,FALSE())/12,0)</f>
        <v/>
      </c>
      <c r="E82" s="7" t="n">
        <v>416792</v>
      </c>
      <c r="F82" s="7" t="n">
        <v>392642</v>
      </c>
      <c r="G82" s="7">
        <f>F82-E82</f>
        <v/>
      </c>
      <c r="H82" s="7" t="n">
        <v>332295</v>
      </c>
      <c r="I82" s="7" t="n">
        <v>388445</v>
      </c>
    </row>
    <row r="83" ht="15" customHeight="1" s="5">
      <c r="A83" s="7" t="inlineStr">
        <is>
          <t>PRJ007</t>
        </is>
      </c>
      <c r="B83" s="7" t="inlineStr">
        <is>
          <t>Oct</t>
        </is>
      </c>
      <c r="C83" s="7">
        <f>IFERROR(VLOOKUP(A83,Projects!$A:$AK,21,FALSE())/12,0)</f>
        <v/>
      </c>
      <c r="D83" s="7">
        <f>IFERROR(VLOOKUP(A83,Projects!$A:$AK,22,FALSE())/12,0)</f>
        <v/>
      </c>
      <c r="E83" s="7" t="n">
        <v>273901</v>
      </c>
      <c r="F83" s="7" t="n">
        <v>414869</v>
      </c>
      <c r="G83" s="7">
        <f>F83-E83</f>
        <v/>
      </c>
      <c r="H83" s="7" t="n">
        <v>316865</v>
      </c>
      <c r="I83" s="7" t="n">
        <v>342709</v>
      </c>
    </row>
    <row r="84" ht="15" customHeight="1" s="5">
      <c r="A84" s="7" t="inlineStr">
        <is>
          <t>PRJ007</t>
        </is>
      </c>
      <c r="B84" s="7" t="inlineStr">
        <is>
          <t>Nov</t>
        </is>
      </c>
      <c r="C84" s="7">
        <f>IFERROR(VLOOKUP(A84,Projects!$A:$AK,21,FALSE())/12,0)</f>
        <v/>
      </c>
      <c r="D84" s="7">
        <f>IFERROR(VLOOKUP(A84,Projects!$A:$AK,22,FALSE())/12,0)</f>
        <v/>
      </c>
      <c r="E84" s="7" t="n">
        <v>229429</v>
      </c>
      <c r="F84" s="7" t="n">
        <v>311248</v>
      </c>
      <c r="G84" s="7">
        <f>F84-E84</f>
        <v/>
      </c>
      <c r="H84" s="7" t="n">
        <v>236510</v>
      </c>
      <c r="I84" s="7" t="n">
        <v>278438</v>
      </c>
    </row>
    <row r="85" ht="15" customHeight="1" s="5">
      <c r="A85" s="7" t="inlineStr">
        <is>
          <t>PRJ007</t>
        </is>
      </c>
      <c r="B85" s="7" t="inlineStr">
        <is>
          <t>Dec</t>
        </is>
      </c>
      <c r="C85" s="7">
        <f>IFERROR(VLOOKUP(A85,Projects!$A:$AK,21,FALSE())/12,0)</f>
        <v/>
      </c>
      <c r="D85" s="7">
        <f>IFERROR(VLOOKUP(A85,Projects!$A:$AK,22,FALSE())/12,0)</f>
        <v/>
      </c>
      <c r="E85" s="7" t="n">
        <v>151833</v>
      </c>
      <c r="F85" s="7" t="n">
        <v>279366</v>
      </c>
      <c r="G85" s="7">
        <f>F85-E85</f>
        <v/>
      </c>
      <c r="H85" s="7" t="n">
        <v>226766</v>
      </c>
      <c r="I85" s="7" t="n">
        <v>209506</v>
      </c>
    </row>
    <row r="86" ht="15" customHeight="1" s="5">
      <c r="A86" s="7" t="inlineStr">
        <is>
          <t>PRJ008</t>
        </is>
      </c>
      <c r="B86" s="7" t="inlineStr">
        <is>
          <t>Jan</t>
        </is>
      </c>
      <c r="C86" s="7">
        <f>IFERROR(VLOOKUP(A86,Projects!$A:$AK,21,FALSE())/12,0)</f>
        <v/>
      </c>
      <c r="D86" s="7">
        <f>IFERROR(VLOOKUP(A86,Projects!$A:$AK,22,FALSE())/12,0)</f>
        <v/>
      </c>
      <c r="E86" s="7" t="n">
        <v>177179</v>
      </c>
      <c r="F86" s="7" t="n">
        <v>218094</v>
      </c>
      <c r="G86" s="7">
        <f>F86-E86</f>
        <v/>
      </c>
      <c r="H86" s="7" t="n">
        <v>199331</v>
      </c>
      <c r="I86" s="7" t="n">
        <v>173096</v>
      </c>
    </row>
    <row r="87" ht="15" customHeight="1" s="5">
      <c r="A87" s="7" t="inlineStr">
        <is>
          <t>PRJ008</t>
        </is>
      </c>
      <c r="B87" s="7" t="inlineStr">
        <is>
          <t>Feb</t>
        </is>
      </c>
      <c r="C87" s="7">
        <f>IFERROR(VLOOKUP(A87,Projects!$A:$AK,21,FALSE())/12,0)</f>
        <v/>
      </c>
      <c r="D87" s="7">
        <f>IFERROR(VLOOKUP(A87,Projects!$A:$AK,22,FALSE())/12,0)</f>
        <v/>
      </c>
      <c r="E87" s="7" t="n">
        <v>227604</v>
      </c>
      <c r="F87" s="7" t="n">
        <v>242557</v>
      </c>
      <c r="G87" s="7">
        <f>F87-E87</f>
        <v/>
      </c>
      <c r="H87" s="7" t="n">
        <v>231876</v>
      </c>
      <c r="I87" s="7" t="n">
        <v>215128</v>
      </c>
    </row>
    <row r="88" ht="15" customHeight="1" s="5">
      <c r="A88" s="7" t="inlineStr">
        <is>
          <t>PRJ008</t>
        </is>
      </c>
      <c r="B88" s="7" t="inlineStr">
        <is>
          <t>Mar</t>
        </is>
      </c>
      <c r="C88" s="7">
        <f>IFERROR(VLOOKUP(A88,Projects!$A:$AK,21,FALSE())/12,0)</f>
        <v/>
      </c>
      <c r="D88" s="7">
        <f>IFERROR(VLOOKUP(A88,Projects!$A:$AK,22,FALSE())/12,0)</f>
        <v/>
      </c>
      <c r="E88" s="7" t="n">
        <v>177956</v>
      </c>
      <c r="F88" s="7" t="n">
        <v>294826</v>
      </c>
      <c r="G88" s="7">
        <f>F88-E88</f>
        <v/>
      </c>
      <c r="H88" s="7" t="n">
        <v>218520</v>
      </c>
      <c r="I88" s="7" t="n">
        <v>236227</v>
      </c>
    </row>
    <row r="89" ht="15" customHeight="1" s="5">
      <c r="A89" s="7" t="inlineStr">
        <is>
          <t>PRJ008</t>
        </is>
      </c>
      <c r="B89" s="7" t="inlineStr">
        <is>
          <t>Apr</t>
        </is>
      </c>
      <c r="C89" s="7">
        <f>IFERROR(VLOOKUP(A89,Projects!$A:$AK,21,FALSE())/12,0)</f>
        <v/>
      </c>
      <c r="D89" s="7">
        <f>IFERROR(VLOOKUP(A89,Projects!$A:$AK,22,FALSE())/12,0)</f>
        <v/>
      </c>
      <c r="E89" s="7" t="n">
        <v>123583</v>
      </c>
      <c r="F89" s="7" t="n">
        <v>179691</v>
      </c>
      <c r="G89" s="7">
        <f>F89-E89</f>
        <v/>
      </c>
      <c r="H89" s="7" t="n">
        <v>158932</v>
      </c>
      <c r="I89" s="7" t="n">
        <v>133435</v>
      </c>
    </row>
    <row r="90" ht="15" customHeight="1" s="5">
      <c r="A90" s="7" t="inlineStr">
        <is>
          <t>PRJ008</t>
        </is>
      </c>
      <c r="B90" s="7" t="inlineStr">
        <is>
          <t>May</t>
        </is>
      </c>
      <c r="C90" s="7">
        <f>IFERROR(VLOOKUP(A90,Projects!$A:$AK,21,FALSE())/12,0)</f>
        <v/>
      </c>
      <c r="D90" s="7">
        <f>IFERROR(VLOOKUP(A90,Projects!$A:$AK,22,FALSE())/12,0)</f>
        <v/>
      </c>
      <c r="E90" s="7" t="n">
        <v>271529</v>
      </c>
      <c r="F90" s="7" t="n">
        <v>277840</v>
      </c>
      <c r="G90" s="7">
        <f>F90-E90</f>
        <v/>
      </c>
      <c r="H90" s="7" t="n">
        <v>230492</v>
      </c>
      <c r="I90" s="7" t="n">
        <v>227827</v>
      </c>
    </row>
    <row r="91" ht="15" customHeight="1" s="5">
      <c r="A91" s="7" t="inlineStr">
        <is>
          <t>PRJ008</t>
        </is>
      </c>
      <c r="B91" s="7" t="inlineStr">
        <is>
          <t>Jun</t>
        </is>
      </c>
      <c r="C91" s="7">
        <f>IFERROR(VLOOKUP(A91,Projects!$A:$AK,21,FALSE())/12,0)</f>
        <v/>
      </c>
      <c r="D91" s="7">
        <f>IFERROR(VLOOKUP(A91,Projects!$A:$AK,22,FALSE())/12,0)</f>
        <v/>
      </c>
      <c r="E91" s="7" t="n">
        <v>215651</v>
      </c>
      <c r="F91" s="7" t="n">
        <v>253800</v>
      </c>
      <c r="G91" s="7">
        <f>F91-E91</f>
        <v/>
      </c>
      <c r="H91" s="7" t="n">
        <v>263280</v>
      </c>
      <c r="I91" s="7" t="n">
        <v>271290</v>
      </c>
    </row>
    <row r="92" ht="15" customHeight="1" s="5">
      <c r="A92" s="7" t="inlineStr">
        <is>
          <t>PRJ008</t>
        </is>
      </c>
      <c r="B92" s="7" t="inlineStr">
        <is>
          <t>Jul</t>
        </is>
      </c>
      <c r="C92" s="7">
        <f>IFERROR(VLOOKUP(A92,Projects!$A:$AK,21,FALSE())/12,0)</f>
        <v/>
      </c>
      <c r="D92" s="7">
        <f>IFERROR(VLOOKUP(A92,Projects!$A:$AK,22,FALSE())/12,0)</f>
        <v/>
      </c>
      <c r="E92" s="7" t="n">
        <v>266388</v>
      </c>
      <c r="F92" s="7" t="n">
        <v>364302</v>
      </c>
      <c r="G92" s="7">
        <f>F92-E92</f>
        <v/>
      </c>
      <c r="H92" s="7" t="n">
        <v>356334</v>
      </c>
      <c r="I92" s="7" t="n">
        <v>351233</v>
      </c>
    </row>
    <row r="93" ht="15" customHeight="1" s="5">
      <c r="A93" s="7" t="inlineStr">
        <is>
          <t>PRJ008</t>
        </is>
      </c>
      <c r="B93" s="7" t="inlineStr">
        <is>
          <t>Aug</t>
        </is>
      </c>
      <c r="C93" s="7">
        <f>IFERROR(VLOOKUP(A93,Projects!$A:$AK,21,FALSE())/12,0)</f>
        <v/>
      </c>
      <c r="D93" s="7">
        <f>IFERROR(VLOOKUP(A93,Projects!$A:$AK,22,FALSE())/12,0)</f>
        <v/>
      </c>
      <c r="E93" s="7" t="n">
        <v>141882</v>
      </c>
      <c r="F93" s="7" t="n">
        <v>227456</v>
      </c>
      <c r="G93" s="7">
        <f>F93-E93</f>
        <v/>
      </c>
      <c r="H93" s="7" t="n">
        <v>170360</v>
      </c>
      <c r="I93" s="7" t="n">
        <v>155788</v>
      </c>
    </row>
    <row r="94" ht="15" customHeight="1" s="5">
      <c r="A94" s="7" t="inlineStr">
        <is>
          <t>PRJ008</t>
        </is>
      </c>
      <c r="B94" s="7" t="inlineStr">
        <is>
          <t>Sep</t>
        </is>
      </c>
      <c r="C94" s="7">
        <f>IFERROR(VLOOKUP(A94,Projects!$A:$AK,21,FALSE())/12,0)</f>
        <v/>
      </c>
      <c r="D94" s="7">
        <f>IFERROR(VLOOKUP(A94,Projects!$A:$AK,22,FALSE())/12,0)</f>
        <v/>
      </c>
      <c r="E94" s="7" t="n">
        <v>118194</v>
      </c>
      <c r="F94" s="7" t="n">
        <v>185503</v>
      </c>
      <c r="G94" s="7">
        <f>F94-E94</f>
        <v/>
      </c>
      <c r="H94" s="7" t="n">
        <v>183153</v>
      </c>
      <c r="I94" s="7" t="n">
        <v>138289</v>
      </c>
    </row>
    <row r="95" ht="15" customHeight="1" s="5">
      <c r="A95" s="7" t="inlineStr">
        <is>
          <t>PRJ008</t>
        </is>
      </c>
      <c r="B95" s="7" t="inlineStr">
        <is>
          <t>Oct</t>
        </is>
      </c>
      <c r="C95" s="7">
        <f>IFERROR(VLOOKUP(A95,Projects!$A:$AK,21,FALSE())/12,0)</f>
        <v/>
      </c>
      <c r="D95" s="7">
        <f>IFERROR(VLOOKUP(A95,Projects!$A:$AK,22,FALSE())/12,0)</f>
        <v/>
      </c>
      <c r="E95" s="7" t="n">
        <v>315956</v>
      </c>
      <c r="F95" s="7" t="n">
        <v>294132</v>
      </c>
      <c r="G95" s="7">
        <f>F95-E95</f>
        <v/>
      </c>
      <c r="H95" s="7" t="n">
        <v>313148</v>
      </c>
      <c r="I95" s="7" t="n">
        <v>279246</v>
      </c>
    </row>
    <row r="96" ht="15" customHeight="1" s="5">
      <c r="A96" s="7" t="inlineStr">
        <is>
          <t>PRJ008</t>
        </is>
      </c>
      <c r="B96" s="7" t="inlineStr">
        <is>
          <t>Nov</t>
        </is>
      </c>
      <c r="C96" s="7">
        <f>IFERROR(VLOOKUP(A96,Projects!$A:$AK,21,FALSE())/12,0)</f>
        <v/>
      </c>
      <c r="D96" s="7">
        <f>IFERROR(VLOOKUP(A96,Projects!$A:$AK,22,FALSE())/12,0)</f>
        <v/>
      </c>
      <c r="E96" s="7" t="n">
        <v>182118</v>
      </c>
      <c r="F96" s="7" t="n">
        <v>234738</v>
      </c>
      <c r="G96" s="7">
        <f>F96-E96</f>
        <v/>
      </c>
      <c r="H96" s="7" t="n">
        <v>216999</v>
      </c>
      <c r="I96" s="7" t="n">
        <v>141712</v>
      </c>
    </row>
    <row r="97" ht="15" customHeight="1" s="5">
      <c r="A97" s="7" t="inlineStr">
        <is>
          <t>PRJ008</t>
        </is>
      </c>
      <c r="B97" s="7" t="inlineStr">
        <is>
          <t>Dec</t>
        </is>
      </c>
      <c r="C97" s="7">
        <f>IFERROR(VLOOKUP(A97,Projects!$A:$AK,21,FALSE())/12,0)</f>
        <v/>
      </c>
      <c r="D97" s="7">
        <f>IFERROR(VLOOKUP(A97,Projects!$A:$AK,22,FALSE())/12,0)</f>
        <v/>
      </c>
      <c r="E97" s="7" t="n">
        <v>277871</v>
      </c>
      <c r="F97" s="7" t="n">
        <v>395974</v>
      </c>
      <c r="G97" s="7">
        <f>F97-E97</f>
        <v/>
      </c>
      <c r="H97" s="7" t="n">
        <v>296610</v>
      </c>
      <c r="I97" s="7" t="n">
        <v>261866</v>
      </c>
    </row>
    <row r="98" ht="15" customHeight="1" s="5">
      <c r="A98" s="7" t="inlineStr">
        <is>
          <t>PRJ009</t>
        </is>
      </c>
      <c r="B98" s="7" t="inlineStr">
        <is>
          <t>Jan</t>
        </is>
      </c>
      <c r="C98" s="7">
        <f>IFERROR(VLOOKUP(A98,Projects!$A:$AK,21,FALSE())/12,0)</f>
        <v/>
      </c>
      <c r="D98" s="7">
        <f>IFERROR(VLOOKUP(A98,Projects!$A:$AK,22,FALSE())/12,0)</f>
        <v/>
      </c>
      <c r="E98" s="7" t="n">
        <v>117100</v>
      </c>
      <c r="F98" s="7" t="n">
        <v>139244</v>
      </c>
      <c r="G98" s="7">
        <f>F98-E98</f>
        <v/>
      </c>
      <c r="H98" s="7" t="n">
        <v>104203</v>
      </c>
      <c r="I98" s="7" t="n">
        <v>111279</v>
      </c>
    </row>
    <row r="99" ht="15" customHeight="1" s="5">
      <c r="A99" s="7" t="inlineStr">
        <is>
          <t>PRJ009</t>
        </is>
      </c>
      <c r="B99" s="7" t="inlineStr">
        <is>
          <t>Feb</t>
        </is>
      </c>
      <c r="C99" s="7">
        <f>IFERROR(VLOOKUP(A99,Projects!$A:$AK,21,FALSE())/12,0)</f>
        <v/>
      </c>
      <c r="D99" s="7">
        <f>IFERROR(VLOOKUP(A99,Projects!$A:$AK,22,FALSE())/12,0)</f>
        <v/>
      </c>
      <c r="E99" s="7" t="n">
        <v>46922</v>
      </c>
      <c r="F99" s="7" t="n">
        <v>69310</v>
      </c>
      <c r="G99" s="7">
        <f>F99-E99</f>
        <v/>
      </c>
      <c r="H99" s="7" t="n">
        <v>63383</v>
      </c>
      <c r="I99" s="7" t="n">
        <v>63573</v>
      </c>
    </row>
    <row r="100" ht="15" customHeight="1" s="5">
      <c r="A100" s="7" t="inlineStr">
        <is>
          <t>PRJ009</t>
        </is>
      </c>
      <c r="B100" s="7" t="inlineStr">
        <is>
          <t>Mar</t>
        </is>
      </c>
      <c r="C100" s="7">
        <f>IFERROR(VLOOKUP(A100,Projects!$A:$AK,21,FALSE())/12,0)</f>
        <v/>
      </c>
      <c r="D100" s="7">
        <f>IFERROR(VLOOKUP(A100,Projects!$A:$AK,22,FALSE())/12,0)</f>
        <v/>
      </c>
      <c r="E100" s="7" t="n">
        <v>80716</v>
      </c>
      <c r="F100" s="7" t="n">
        <v>101130</v>
      </c>
      <c r="G100" s="7">
        <f>F100-E100</f>
        <v/>
      </c>
      <c r="H100" s="7" t="n">
        <v>82339</v>
      </c>
      <c r="I100" s="7" t="n">
        <v>89290</v>
      </c>
    </row>
    <row r="101" ht="15" customHeight="1" s="5">
      <c r="A101" s="7" t="inlineStr">
        <is>
          <t>PRJ009</t>
        </is>
      </c>
      <c r="B101" s="7" t="inlineStr">
        <is>
          <t>Apr</t>
        </is>
      </c>
      <c r="C101" s="7">
        <f>IFERROR(VLOOKUP(A101,Projects!$A:$AK,21,FALSE())/12,0)</f>
        <v/>
      </c>
      <c r="D101" s="7">
        <f>IFERROR(VLOOKUP(A101,Projects!$A:$AK,22,FALSE())/12,0)</f>
        <v/>
      </c>
      <c r="E101" s="7" t="n">
        <v>85788</v>
      </c>
      <c r="F101" s="7" t="n">
        <v>145716</v>
      </c>
      <c r="G101" s="7">
        <f>F101-E101</f>
        <v/>
      </c>
      <c r="H101" s="7" t="n">
        <v>106065</v>
      </c>
      <c r="I101" s="7" t="n">
        <v>98577</v>
      </c>
    </row>
    <row r="102" ht="15" customHeight="1" s="5">
      <c r="A102" s="7" t="inlineStr">
        <is>
          <t>PRJ009</t>
        </is>
      </c>
      <c r="B102" s="7" t="inlineStr">
        <is>
          <t>May</t>
        </is>
      </c>
      <c r="C102" s="7">
        <f>IFERROR(VLOOKUP(A102,Projects!$A:$AK,21,FALSE())/12,0)</f>
        <v/>
      </c>
      <c r="D102" s="7">
        <f>IFERROR(VLOOKUP(A102,Projects!$A:$AK,22,FALSE())/12,0)</f>
        <v/>
      </c>
      <c r="E102" s="7" t="n">
        <v>42056</v>
      </c>
      <c r="F102" s="7" t="n">
        <v>59776</v>
      </c>
      <c r="G102" s="7">
        <f>F102-E102</f>
        <v/>
      </c>
      <c r="H102" s="7" t="n">
        <v>51969</v>
      </c>
      <c r="I102" s="7" t="n">
        <v>50382</v>
      </c>
    </row>
    <row r="103" ht="15" customHeight="1" s="5">
      <c r="A103" s="7" t="inlineStr">
        <is>
          <t>PRJ009</t>
        </is>
      </c>
      <c r="B103" s="7" t="inlineStr">
        <is>
          <t>Jun</t>
        </is>
      </c>
      <c r="C103" s="7">
        <f>IFERROR(VLOOKUP(A103,Projects!$A:$AK,21,FALSE())/12,0)</f>
        <v/>
      </c>
      <c r="D103" s="7">
        <f>IFERROR(VLOOKUP(A103,Projects!$A:$AK,22,FALSE())/12,0)</f>
        <v/>
      </c>
      <c r="E103" s="7" t="n">
        <v>110533</v>
      </c>
      <c r="F103" s="7" t="n">
        <v>108352</v>
      </c>
      <c r="G103" s="7">
        <f>F103-E103</f>
        <v/>
      </c>
      <c r="H103" s="7" t="n">
        <v>88071</v>
      </c>
      <c r="I103" s="7" t="n">
        <v>82141</v>
      </c>
    </row>
    <row r="104" ht="15" customHeight="1" s="5">
      <c r="A104" s="7" t="inlineStr">
        <is>
          <t>PRJ009</t>
        </is>
      </c>
      <c r="B104" s="7" t="inlineStr">
        <is>
          <t>Jul</t>
        </is>
      </c>
      <c r="C104" s="7">
        <f>IFERROR(VLOOKUP(A104,Projects!$A:$AK,21,FALSE())/12,0)</f>
        <v/>
      </c>
      <c r="D104" s="7">
        <f>IFERROR(VLOOKUP(A104,Projects!$A:$AK,22,FALSE())/12,0)</f>
        <v/>
      </c>
      <c r="E104" s="7" t="n">
        <v>95222</v>
      </c>
      <c r="F104" s="7" t="n">
        <v>98423</v>
      </c>
      <c r="G104" s="7">
        <f>F104-E104</f>
        <v/>
      </c>
      <c r="H104" s="7" t="n">
        <v>88910</v>
      </c>
      <c r="I104" s="7" t="n">
        <v>89050</v>
      </c>
    </row>
    <row r="105" ht="15" customHeight="1" s="5">
      <c r="A105" s="7" t="inlineStr">
        <is>
          <t>PRJ009</t>
        </is>
      </c>
      <c r="B105" s="7" t="inlineStr">
        <is>
          <t>Aug</t>
        </is>
      </c>
      <c r="C105" s="7">
        <f>IFERROR(VLOOKUP(A105,Projects!$A:$AK,21,FALSE())/12,0)</f>
        <v/>
      </c>
      <c r="D105" s="7">
        <f>IFERROR(VLOOKUP(A105,Projects!$A:$AK,22,FALSE())/12,0)</f>
        <v/>
      </c>
      <c r="E105" s="7" t="n">
        <v>80842</v>
      </c>
      <c r="F105" s="7" t="n">
        <v>105464</v>
      </c>
      <c r="G105" s="7">
        <f>F105-E105</f>
        <v/>
      </c>
      <c r="H105" s="7" t="n">
        <v>74565</v>
      </c>
      <c r="I105" s="7" t="n">
        <v>78836</v>
      </c>
    </row>
    <row r="106" ht="15" customHeight="1" s="5">
      <c r="A106" s="7" t="inlineStr">
        <is>
          <t>PRJ009</t>
        </is>
      </c>
      <c r="B106" s="7" t="inlineStr">
        <is>
          <t>Sep</t>
        </is>
      </c>
      <c r="C106" s="7">
        <f>IFERROR(VLOOKUP(A106,Projects!$A:$AK,21,FALSE())/12,0)</f>
        <v/>
      </c>
      <c r="D106" s="7">
        <f>IFERROR(VLOOKUP(A106,Projects!$A:$AK,22,FALSE())/12,0)</f>
        <v/>
      </c>
      <c r="E106" s="7" t="n">
        <v>76729</v>
      </c>
      <c r="F106" s="7" t="n">
        <v>83566</v>
      </c>
      <c r="G106" s="7">
        <f>F106-E106</f>
        <v/>
      </c>
      <c r="H106" s="7" t="n">
        <v>60951</v>
      </c>
      <c r="I106" s="7" t="n">
        <v>59581</v>
      </c>
    </row>
    <row r="107" ht="15" customHeight="1" s="5">
      <c r="A107" s="7" t="inlineStr">
        <is>
          <t>PRJ009</t>
        </is>
      </c>
      <c r="B107" s="7" t="inlineStr">
        <is>
          <t>Oct</t>
        </is>
      </c>
      <c r="C107" s="7">
        <f>IFERROR(VLOOKUP(A107,Projects!$A:$AK,21,FALSE())/12,0)</f>
        <v/>
      </c>
      <c r="D107" s="7">
        <f>IFERROR(VLOOKUP(A107,Projects!$A:$AK,22,FALSE())/12,0)</f>
        <v/>
      </c>
      <c r="E107" s="7" t="n">
        <v>52145</v>
      </c>
      <c r="F107" s="7" t="n">
        <v>79711</v>
      </c>
      <c r="G107" s="7">
        <f>F107-E107</f>
        <v/>
      </c>
      <c r="H107" s="7" t="n">
        <v>77458</v>
      </c>
      <c r="I107" s="7" t="n">
        <v>63499</v>
      </c>
    </row>
    <row r="108" ht="15" customHeight="1" s="5">
      <c r="A108" s="7" t="inlineStr">
        <is>
          <t>PRJ009</t>
        </is>
      </c>
      <c r="B108" s="7" t="inlineStr">
        <is>
          <t>Nov</t>
        </is>
      </c>
      <c r="C108" s="7">
        <f>IFERROR(VLOOKUP(A108,Projects!$A:$AK,21,FALSE())/12,0)</f>
        <v/>
      </c>
      <c r="D108" s="7">
        <f>IFERROR(VLOOKUP(A108,Projects!$A:$AK,22,FALSE())/12,0)</f>
        <v/>
      </c>
      <c r="E108" s="7" t="n">
        <v>73608</v>
      </c>
      <c r="F108" s="7" t="n">
        <v>74447</v>
      </c>
      <c r="G108" s="7">
        <f>F108-E108</f>
        <v/>
      </c>
      <c r="H108" s="7" t="n">
        <v>71452</v>
      </c>
      <c r="I108" s="7" t="n">
        <v>57292</v>
      </c>
    </row>
    <row r="109" ht="15" customHeight="1" s="5">
      <c r="A109" s="7" t="inlineStr">
        <is>
          <t>PRJ009</t>
        </is>
      </c>
      <c r="B109" s="7" t="inlineStr">
        <is>
          <t>Dec</t>
        </is>
      </c>
      <c r="C109" s="7">
        <f>IFERROR(VLOOKUP(A109,Projects!$A:$AK,21,FALSE())/12,0)</f>
        <v/>
      </c>
      <c r="D109" s="7">
        <f>IFERROR(VLOOKUP(A109,Projects!$A:$AK,22,FALSE())/12,0)</f>
        <v/>
      </c>
      <c r="E109" s="7" t="n">
        <v>60621</v>
      </c>
      <c r="F109" s="7" t="n">
        <v>60554</v>
      </c>
      <c r="G109" s="7">
        <f>F109-E109</f>
        <v/>
      </c>
      <c r="H109" s="7" t="n">
        <v>57728</v>
      </c>
      <c r="I109" s="7" t="n">
        <v>53829</v>
      </c>
    </row>
    <row r="110" ht="15" customHeight="1" s="5">
      <c r="A110" s="7" t="inlineStr">
        <is>
          <t>PRJ010</t>
        </is>
      </c>
      <c r="B110" s="7" t="inlineStr">
        <is>
          <t>Jan</t>
        </is>
      </c>
      <c r="C110" s="7">
        <f>IFERROR(VLOOKUP(A110,Projects!$A:$AK,21,FALSE())/12,0)</f>
        <v/>
      </c>
      <c r="D110" s="7">
        <f>IFERROR(VLOOKUP(A110,Projects!$A:$AK,22,FALSE())/12,0)</f>
        <v/>
      </c>
      <c r="E110" s="7" t="n">
        <v>98176</v>
      </c>
      <c r="F110" s="7" t="n">
        <v>114790</v>
      </c>
      <c r="G110" s="7">
        <f>F110-E110</f>
        <v/>
      </c>
      <c r="H110" s="7" t="n">
        <v>93694</v>
      </c>
      <c r="I110" s="7" t="n">
        <v>87427</v>
      </c>
    </row>
    <row r="111" ht="15" customHeight="1" s="5">
      <c r="A111" s="7" t="inlineStr">
        <is>
          <t>PRJ010</t>
        </is>
      </c>
      <c r="B111" s="7" t="inlineStr">
        <is>
          <t>Feb</t>
        </is>
      </c>
      <c r="C111" s="7">
        <f>IFERROR(VLOOKUP(A111,Projects!$A:$AK,21,FALSE())/12,0)</f>
        <v/>
      </c>
      <c r="D111" s="7">
        <f>IFERROR(VLOOKUP(A111,Projects!$A:$AK,22,FALSE())/12,0)</f>
        <v/>
      </c>
      <c r="E111" s="7" t="n">
        <v>201274</v>
      </c>
      <c r="F111" s="7" t="n">
        <v>185485</v>
      </c>
      <c r="G111" s="7">
        <f>F111-E111</f>
        <v/>
      </c>
      <c r="H111" s="7" t="n">
        <v>151793</v>
      </c>
      <c r="I111" s="7" t="n">
        <v>129013</v>
      </c>
    </row>
    <row r="112" ht="15" customHeight="1" s="5">
      <c r="A112" s="7" t="inlineStr">
        <is>
          <t>PRJ010</t>
        </is>
      </c>
      <c r="B112" s="7" t="inlineStr">
        <is>
          <t>Mar</t>
        </is>
      </c>
      <c r="C112" s="7">
        <f>IFERROR(VLOOKUP(A112,Projects!$A:$AK,21,FALSE())/12,0)</f>
        <v/>
      </c>
      <c r="D112" s="7">
        <f>IFERROR(VLOOKUP(A112,Projects!$A:$AK,22,FALSE())/12,0)</f>
        <v/>
      </c>
      <c r="E112" s="7" t="n">
        <v>182868</v>
      </c>
      <c r="F112" s="7" t="n">
        <v>204656</v>
      </c>
      <c r="G112" s="7">
        <f>F112-E112</f>
        <v/>
      </c>
      <c r="H112" s="7" t="n">
        <v>187200</v>
      </c>
      <c r="I112" s="7" t="n">
        <v>178143</v>
      </c>
    </row>
    <row r="113" ht="15" customHeight="1" s="5">
      <c r="A113" s="7" t="inlineStr">
        <is>
          <t>PRJ010</t>
        </is>
      </c>
      <c r="B113" s="7" t="inlineStr">
        <is>
          <t>Apr</t>
        </is>
      </c>
      <c r="C113" s="7">
        <f>IFERROR(VLOOKUP(A113,Projects!$A:$AK,21,FALSE())/12,0)</f>
        <v/>
      </c>
      <c r="D113" s="7">
        <f>IFERROR(VLOOKUP(A113,Projects!$A:$AK,22,FALSE())/12,0)</f>
        <v/>
      </c>
      <c r="E113" s="7" t="n">
        <v>132659</v>
      </c>
      <c r="F113" s="7" t="n">
        <v>183878</v>
      </c>
      <c r="G113" s="7">
        <f>F113-E113</f>
        <v/>
      </c>
      <c r="H113" s="7" t="n">
        <v>180265</v>
      </c>
      <c r="I113" s="7" t="n">
        <v>183959</v>
      </c>
    </row>
    <row r="114" ht="15" customHeight="1" s="5">
      <c r="A114" s="7" t="inlineStr">
        <is>
          <t>PRJ010</t>
        </is>
      </c>
      <c r="B114" s="7" t="inlineStr">
        <is>
          <t>May</t>
        </is>
      </c>
      <c r="C114" s="7">
        <f>IFERROR(VLOOKUP(A114,Projects!$A:$AK,21,FALSE())/12,0)</f>
        <v/>
      </c>
      <c r="D114" s="7">
        <f>IFERROR(VLOOKUP(A114,Projects!$A:$AK,22,FALSE())/12,0)</f>
        <v/>
      </c>
      <c r="E114" s="7" t="n">
        <v>172042</v>
      </c>
      <c r="F114" s="7" t="n">
        <v>164878</v>
      </c>
      <c r="G114" s="7">
        <f>F114-E114</f>
        <v/>
      </c>
      <c r="H114" s="7" t="n">
        <v>150657</v>
      </c>
      <c r="I114" s="7" t="n">
        <v>118701</v>
      </c>
    </row>
    <row r="115" ht="15" customHeight="1" s="5">
      <c r="A115" s="7" t="inlineStr">
        <is>
          <t>PRJ010</t>
        </is>
      </c>
      <c r="B115" s="7" t="inlineStr">
        <is>
          <t>Jun</t>
        </is>
      </c>
      <c r="C115" s="7">
        <f>IFERROR(VLOOKUP(A115,Projects!$A:$AK,21,FALSE())/12,0)</f>
        <v/>
      </c>
      <c r="D115" s="7">
        <f>IFERROR(VLOOKUP(A115,Projects!$A:$AK,22,FALSE())/12,0)</f>
        <v/>
      </c>
      <c r="E115" s="7" t="n">
        <v>159007</v>
      </c>
      <c r="F115" s="7" t="n">
        <v>256149</v>
      </c>
      <c r="G115" s="7">
        <f>F115-E115</f>
        <v/>
      </c>
      <c r="H115" s="7" t="n">
        <v>203785</v>
      </c>
      <c r="I115" s="7" t="n">
        <v>236531</v>
      </c>
    </row>
    <row r="116" ht="15" customHeight="1" s="5">
      <c r="A116" s="7" t="inlineStr">
        <is>
          <t>PRJ010</t>
        </is>
      </c>
      <c r="B116" s="7" t="inlineStr">
        <is>
          <t>Jul</t>
        </is>
      </c>
      <c r="C116" s="7">
        <f>IFERROR(VLOOKUP(A116,Projects!$A:$AK,21,FALSE())/12,0)</f>
        <v/>
      </c>
      <c r="D116" s="7">
        <f>IFERROR(VLOOKUP(A116,Projects!$A:$AK,22,FALSE())/12,0)</f>
        <v/>
      </c>
      <c r="E116" s="7" t="n">
        <v>182855</v>
      </c>
      <c r="F116" s="7" t="n">
        <v>199187</v>
      </c>
      <c r="G116" s="7">
        <f>F116-E116</f>
        <v/>
      </c>
      <c r="H116" s="7" t="n">
        <v>151634</v>
      </c>
      <c r="I116" s="7" t="n">
        <v>141342</v>
      </c>
    </row>
    <row r="117" ht="15" customHeight="1" s="5">
      <c r="A117" s="7" t="inlineStr">
        <is>
          <t>PRJ010</t>
        </is>
      </c>
      <c r="B117" s="7" t="inlineStr">
        <is>
          <t>Aug</t>
        </is>
      </c>
      <c r="C117" s="7">
        <f>IFERROR(VLOOKUP(A117,Projects!$A:$AK,21,FALSE())/12,0)</f>
        <v/>
      </c>
      <c r="D117" s="7">
        <f>IFERROR(VLOOKUP(A117,Projects!$A:$AK,22,FALSE())/12,0)</f>
        <v/>
      </c>
      <c r="E117" s="7" t="n">
        <v>246738</v>
      </c>
      <c r="F117" s="7" t="n">
        <v>301534</v>
      </c>
      <c r="G117" s="7">
        <f>F117-E117</f>
        <v/>
      </c>
      <c r="H117" s="7" t="n">
        <v>245550</v>
      </c>
      <c r="I117" s="7" t="n">
        <v>238180</v>
      </c>
    </row>
    <row r="118" ht="15" customHeight="1" s="5">
      <c r="A118" s="7" t="inlineStr">
        <is>
          <t>PRJ010</t>
        </is>
      </c>
      <c r="B118" s="7" t="inlineStr">
        <is>
          <t>Sep</t>
        </is>
      </c>
      <c r="C118" s="7">
        <f>IFERROR(VLOOKUP(A118,Projects!$A:$AK,21,FALSE())/12,0)</f>
        <v/>
      </c>
      <c r="D118" s="7">
        <f>IFERROR(VLOOKUP(A118,Projects!$A:$AK,22,FALSE())/12,0)</f>
        <v/>
      </c>
      <c r="E118" s="7" t="n">
        <v>177572</v>
      </c>
      <c r="F118" s="7" t="n">
        <v>215865</v>
      </c>
      <c r="G118" s="7">
        <f>F118-E118</f>
        <v/>
      </c>
      <c r="H118" s="7" t="n">
        <v>169272</v>
      </c>
      <c r="I118" s="7" t="n">
        <v>203642</v>
      </c>
    </row>
    <row r="119" ht="15" customHeight="1" s="5">
      <c r="A119" s="7" t="inlineStr">
        <is>
          <t>PRJ010</t>
        </is>
      </c>
      <c r="B119" s="7" t="inlineStr">
        <is>
          <t>Oct</t>
        </is>
      </c>
      <c r="C119" s="7">
        <f>IFERROR(VLOOKUP(A119,Projects!$A:$AK,21,FALSE())/12,0)</f>
        <v/>
      </c>
      <c r="D119" s="7">
        <f>IFERROR(VLOOKUP(A119,Projects!$A:$AK,22,FALSE())/12,0)</f>
        <v/>
      </c>
      <c r="E119" s="7" t="n">
        <v>198049</v>
      </c>
      <c r="F119" s="7" t="n">
        <v>262071</v>
      </c>
      <c r="G119" s="7">
        <f>F119-E119</f>
        <v/>
      </c>
      <c r="H119" s="7" t="n">
        <v>193707</v>
      </c>
      <c r="I119" s="7" t="n">
        <v>192775</v>
      </c>
    </row>
    <row r="120" ht="15" customHeight="1" s="5">
      <c r="A120" s="7" t="inlineStr">
        <is>
          <t>PRJ010</t>
        </is>
      </c>
      <c r="B120" s="7" t="inlineStr">
        <is>
          <t>Nov</t>
        </is>
      </c>
      <c r="C120" s="7">
        <f>IFERROR(VLOOKUP(A120,Projects!$A:$AK,21,FALSE())/12,0)</f>
        <v/>
      </c>
      <c r="D120" s="7">
        <f>IFERROR(VLOOKUP(A120,Projects!$A:$AK,22,FALSE())/12,0)</f>
        <v/>
      </c>
      <c r="E120" s="7" t="n">
        <v>147467</v>
      </c>
      <c r="F120" s="7" t="n">
        <v>195111</v>
      </c>
      <c r="G120" s="7">
        <f>F120-E120</f>
        <v/>
      </c>
      <c r="H120" s="7" t="n">
        <v>181437</v>
      </c>
      <c r="I120" s="7" t="n">
        <v>148942</v>
      </c>
    </row>
    <row r="121" ht="15" customHeight="1" s="5">
      <c r="A121" s="7" t="inlineStr">
        <is>
          <t>PRJ010</t>
        </is>
      </c>
      <c r="B121" s="7" t="inlineStr">
        <is>
          <t>Dec</t>
        </is>
      </c>
      <c r="C121" s="7">
        <f>IFERROR(VLOOKUP(A121,Projects!$A:$AK,21,FALSE())/12,0)</f>
        <v/>
      </c>
      <c r="D121" s="7">
        <f>IFERROR(VLOOKUP(A121,Projects!$A:$AK,22,FALSE())/12,0)</f>
        <v/>
      </c>
      <c r="E121" s="7" t="n">
        <v>249271</v>
      </c>
      <c r="F121" s="7" t="n">
        <v>256961</v>
      </c>
      <c r="G121" s="7">
        <f>F121-E121</f>
        <v/>
      </c>
      <c r="H121" s="7" t="n">
        <v>201386</v>
      </c>
      <c r="I121" s="7" t="n">
        <v>232185</v>
      </c>
    </row>
    <row r="122" ht="15" customHeight="1" s="5">
      <c r="A122" s="7" t="inlineStr">
        <is>
          <t>PRJ011</t>
        </is>
      </c>
      <c r="B122" s="7" t="inlineStr">
        <is>
          <t>Jan</t>
        </is>
      </c>
      <c r="C122" s="7">
        <f>IFERROR(VLOOKUP(A122,Projects!$A:$AK,21,FALSE())/12,0)</f>
        <v/>
      </c>
      <c r="D122" s="7">
        <f>IFERROR(VLOOKUP(A122,Projects!$A:$AK,22,FALSE())/12,0)</f>
        <v/>
      </c>
      <c r="E122" s="7" t="n">
        <v>34599</v>
      </c>
      <c r="F122" s="7" t="n">
        <v>52062</v>
      </c>
      <c r="G122" s="7">
        <f>F122-E122</f>
        <v/>
      </c>
      <c r="H122" s="7" t="n">
        <v>48783</v>
      </c>
      <c r="I122" s="7" t="n">
        <v>46675</v>
      </c>
    </row>
    <row r="123" ht="15" customHeight="1" s="5">
      <c r="A123" s="7" t="inlineStr">
        <is>
          <t>PRJ011</t>
        </is>
      </c>
      <c r="B123" s="7" t="inlineStr">
        <is>
          <t>Feb</t>
        </is>
      </c>
      <c r="C123" s="7">
        <f>IFERROR(VLOOKUP(A123,Projects!$A:$AK,21,FALSE())/12,0)</f>
        <v/>
      </c>
      <c r="D123" s="7">
        <f>IFERROR(VLOOKUP(A123,Projects!$A:$AK,22,FALSE())/12,0)</f>
        <v/>
      </c>
      <c r="E123" s="7" t="n">
        <v>36451</v>
      </c>
      <c r="F123" s="7" t="n">
        <v>38135</v>
      </c>
      <c r="G123" s="7">
        <f>F123-E123</f>
        <v/>
      </c>
      <c r="H123" s="7" t="n">
        <v>34921</v>
      </c>
      <c r="I123" s="7" t="n">
        <v>30178</v>
      </c>
    </row>
    <row r="124" ht="15" customHeight="1" s="5">
      <c r="A124" s="7" t="inlineStr">
        <is>
          <t>PRJ011</t>
        </is>
      </c>
      <c r="B124" s="7" t="inlineStr">
        <is>
          <t>Mar</t>
        </is>
      </c>
      <c r="C124" s="7">
        <f>IFERROR(VLOOKUP(A124,Projects!$A:$AK,21,FALSE())/12,0)</f>
        <v/>
      </c>
      <c r="D124" s="7">
        <f>IFERROR(VLOOKUP(A124,Projects!$A:$AK,22,FALSE())/12,0)</f>
        <v/>
      </c>
      <c r="E124" s="7" t="n">
        <v>23679</v>
      </c>
      <c r="F124" s="7" t="n">
        <v>31337</v>
      </c>
      <c r="G124" s="7">
        <f>F124-E124</f>
        <v/>
      </c>
      <c r="H124" s="7" t="n">
        <v>29690</v>
      </c>
      <c r="I124" s="7" t="n">
        <v>31535</v>
      </c>
    </row>
    <row r="125" ht="15" customHeight="1" s="5">
      <c r="A125" s="7" t="inlineStr">
        <is>
          <t>PRJ011</t>
        </is>
      </c>
      <c r="B125" s="7" t="inlineStr">
        <is>
          <t>Apr</t>
        </is>
      </c>
      <c r="C125" s="7">
        <f>IFERROR(VLOOKUP(A125,Projects!$A:$AK,21,FALSE())/12,0)</f>
        <v/>
      </c>
      <c r="D125" s="7">
        <f>IFERROR(VLOOKUP(A125,Projects!$A:$AK,22,FALSE())/12,0)</f>
        <v/>
      </c>
      <c r="E125" s="7" t="n">
        <v>40960</v>
      </c>
      <c r="F125" s="7" t="n">
        <v>51615</v>
      </c>
      <c r="G125" s="7">
        <f>F125-E125</f>
        <v/>
      </c>
      <c r="H125" s="7" t="n">
        <v>41562</v>
      </c>
      <c r="I125" s="7" t="n">
        <v>31066</v>
      </c>
    </row>
    <row r="126" ht="15" customHeight="1" s="5">
      <c r="A126" s="7" t="inlineStr">
        <is>
          <t>PRJ011</t>
        </is>
      </c>
      <c r="B126" s="7" t="inlineStr">
        <is>
          <t>May</t>
        </is>
      </c>
      <c r="C126" s="7">
        <f>IFERROR(VLOOKUP(A126,Projects!$A:$AK,21,FALSE())/12,0)</f>
        <v/>
      </c>
      <c r="D126" s="7">
        <f>IFERROR(VLOOKUP(A126,Projects!$A:$AK,22,FALSE())/12,0)</f>
        <v/>
      </c>
      <c r="E126" s="7" t="n">
        <v>30609</v>
      </c>
      <c r="F126" s="7" t="n">
        <v>36883</v>
      </c>
      <c r="G126" s="7">
        <f>F126-E126</f>
        <v/>
      </c>
      <c r="H126" s="7" t="n">
        <v>30546</v>
      </c>
      <c r="I126" s="7" t="n">
        <v>31087</v>
      </c>
    </row>
    <row r="127" ht="15" customHeight="1" s="5">
      <c r="A127" s="7" t="inlineStr">
        <is>
          <t>PRJ011</t>
        </is>
      </c>
      <c r="B127" s="7" t="inlineStr">
        <is>
          <t>Jun</t>
        </is>
      </c>
      <c r="C127" s="7">
        <f>IFERROR(VLOOKUP(A127,Projects!$A:$AK,21,FALSE())/12,0)</f>
        <v/>
      </c>
      <c r="D127" s="7">
        <f>IFERROR(VLOOKUP(A127,Projects!$A:$AK,22,FALSE())/12,0)</f>
        <v/>
      </c>
      <c r="E127" s="7" t="n">
        <v>47565</v>
      </c>
      <c r="F127" s="7" t="n">
        <v>51209</v>
      </c>
      <c r="G127" s="7">
        <f>F127-E127</f>
        <v/>
      </c>
      <c r="H127" s="7" t="n">
        <v>42031</v>
      </c>
      <c r="I127" s="7" t="n">
        <v>28349</v>
      </c>
    </row>
    <row r="128" ht="15" customHeight="1" s="5">
      <c r="A128" s="7" t="inlineStr">
        <is>
          <t>PRJ011</t>
        </is>
      </c>
      <c r="B128" s="7" t="inlineStr">
        <is>
          <t>Jul</t>
        </is>
      </c>
      <c r="C128" s="7">
        <f>IFERROR(VLOOKUP(A128,Projects!$A:$AK,21,FALSE())/12,0)</f>
        <v/>
      </c>
      <c r="D128" s="7">
        <f>IFERROR(VLOOKUP(A128,Projects!$A:$AK,22,FALSE())/12,0)</f>
        <v/>
      </c>
      <c r="E128" s="7" t="n">
        <v>21470</v>
      </c>
      <c r="F128" s="7" t="n">
        <v>33359</v>
      </c>
      <c r="G128" s="7">
        <f>F128-E128</f>
        <v/>
      </c>
      <c r="H128" s="7" t="n">
        <v>25527</v>
      </c>
      <c r="I128" s="7" t="n">
        <v>21921</v>
      </c>
    </row>
    <row r="129" ht="15" customHeight="1" s="5">
      <c r="A129" s="7" t="inlineStr">
        <is>
          <t>PRJ011</t>
        </is>
      </c>
      <c r="B129" s="7" t="inlineStr">
        <is>
          <t>Aug</t>
        </is>
      </c>
      <c r="C129" s="7">
        <f>IFERROR(VLOOKUP(A129,Projects!$A:$AK,21,FALSE())/12,0)</f>
        <v/>
      </c>
      <c r="D129" s="7">
        <f>IFERROR(VLOOKUP(A129,Projects!$A:$AK,22,FALSE())/12,0)</f>
        <v/>
      </c>
      <c r="E129" s="7" t="n">
        <v>33508</v>
      </c>
      <c r="F129" s="7" t="n">
        <v>34518</v>
      </c>
      <c r="G129" s="7">
        <f>F129-E129</f>
        <v/>
      </c>
      <c r="H129" s="7" t="n">
        <v>33700</v>
      </c>
      <c r="I129" s="7" t="n">
        <v>21726</v>
      </c>
    </row>
    <row r="130" ht="15" customHeight="1" s="5">
      <c r="A130" s="7" t="inlineStr">
        <is>
          <t>PRJ011</t>
        </is>
      </c>
      <c r="B130" s="7" t="inlineStr">
        <is>
          <t>Sep</t>
        </is>
      </c>
      <c r="C130" s="7">
        <f>IFERROR(VLOOKUP(A130,Projects!$A:$AK,21,FALSE())/12,0)</f>
        <v/>
      </c>
      <c r="D130" s="7">
        <f>IFERROR(VLOOKUP(A130,Projects!$A:$AK,22,FALSE())/12,0)</f>
        <v/>
      </c>
      <c r="E130" s="7" t="n">
        <v>45249</v>
      </c>
      <c r="F130" s="7" t="n">
        <v>47474</v>
      </c>
      <c r="G130" s="7">
        <f>F130-E130</f>
        <v/>
      </c>
      <c r="H130" s="7" t="n">
        <v>42577</v>
      </c>
      <c r="I130" s="7" t="n">
        <v>39251</v>
      </c>
    </row>
    <row r="131" ht="15" customHeight="1" s="5">
      <c r="A131" s="7" t="inlineStr">
        <is>
          <t>PRJ011</t>
        </is>
      </c>
      <c r="B131" s="7" t="inlineStr">
        <is>
          <t>Oct</t>
        </is>
      </c>
      <c r="C131" s="7">
        <f>IFERROR(VLOOKUP(A131,Projects!$A:$AK,21,FALSE())/12,0)</f>
        <v/>
      </c>
      <c r="D131" s="7">
        <f>IFERROR(VLOOKUP(A131,Projects!$A:$AK,22,FALSE())/12,0)</f>
        <v/>
      </c>
      <c r="E131" s="7" t="n">
        <v>37681</v>
      </c>
      <c r="F131" s="7" t="n">
        <v>41766</v>
      </c>
      <c r="G131" s="7">
        <f>F131-E131</f>
        <v/>
      </c>
      <c r="H131" s="7" t="n">
        <v>32568</v>
      </c>
      <c r="I131" s="7" t="n">
        <v>32882</v>
      </c>
    </row>
    <row r="132" ht="15" customHeight="1" s="5">
      <c r="A132" s="7" t="inlineStr">
        <is>
          <t>PRJ011</t>
        </is>
      </c>
      <c r="B132" s="7" t="inlineStr">
        <is>
          <t>Nov</t>
        </is>
      </c>
      <c r="C132" s="7">
        <f>IFERROR(VLOOKUP(A132,Projects!$A:$AK,21,FALSE())/12,0)</f>
        <v/>
      </c>
      <c r="D132" s="7">
        <f>IFERROR(VLOOKUP(A132,Projects!$A:$AK,22,FALSE())/12,0)</f>
        <v/>
      </c>
      <c r="E132" s="7" t="n">
        <v>53872</v>
      </c>
      <c r="F132" s="7" t="n">
        <v>57150</v>
      </c>
      <c r="G132" s="7">
        <f>F132-E132</f>
        <v/>
      </c>
      <c r="H132" s="7" t="n">
        <v>43090</v>
      </c>
      <c r="I132" s="7" t="n">
        <v>41008</v>
      </c>
    </row>
    <row r="133" ht="15" customHeight="1" s="5">
      <c r="A133" s="7" t="inlineStr">
        <is>
          <t>PRJ011</t>
        </is>
      </c>
      <c r="B133" s="7" t="inlineStr">
        <is>
          <t>Dec</t>
        </is>
      </c>
      <c r="C133" s="7">
        <f>IFERROR(VLOOKUP(A133,Projects!$A:$AK,21,FALSE())/12,0)</f>
        <v/>
      </c>
      <c r="D133" s="7">
        <f>IFERROR(VLOOKUP(A133,Projects!$A:$AK,22,FALSE())/12,0)</f>
        <v/>
      </c>
      <c r="E133" s="7" t="n">
        <v>20485</v>
      </c>
      <c r="F133" s="7" t="n">
        <v>24647</v>
      </c>
      <c r="G133" s="7">
        <f>F133-E133</f>
        <v/>
      </c>
      <c r="H133" s="7" t="n">
        <v>21919</v>
      </c>
      <c r="I133" s="7" t="n">
        <v>20974</v>
      </c>
    </row>
    <row r="134" ht="15" customHeight="1" s="5">
      <c r="A134" s="7" t="inlineStr">
        <is>
          <t>PRJ012</t>
        </is>
      </c>
      <c r="B134" s="7" t="inlineStr">
        <is>
          <t>Jan</t>
        </is>
      </c>
      <c r="C134" s="7">
        <f>IFERROR(VLOOKUP(A134,Projects!$A:$AK,21,FALSE())/12,0)</f>
        <v/>
      </c>
      <c r="D134" s="7">
        <f>IFERROR(VLOOKUP(A134,Projects!$A:$AK,22,FALSE())/12,0)</f>
        <v/>
      </c>
      <c r="E134" s="7" t="n">
        <v>201041</v>
      </c>
      <c r="F134" s="7" t="n">
        <v>236940</v>
      </c>
      <c r="G134" s="7">
        <f>F134-E134</f>
        <v/>
      </c>
      <c r="H134" s="7" t="n">
        <v>197887</v>
      </c>
      <c r="I134" s="7" t="n">
        <v>183096</v>
      </c>
    </row>
    <row r="135" ht="15" customHeight="1" s="5">
      <c r="A135" s="7" t="inlineStr">
        <is>
          <t>PRJ012</t>
        </is>
      </c>
      <c r="B135" s="7" t="inlineStr">
        <is>
          <t>Feb</t>
        </is>
      </c>
      <c r="C135" s="7">
        <f>IFERROR(VLOOKUP(A135,Projects!$A:$AK,21,FALSE())/12,0)</f>
        <v/>
      </c>
      <c r="D135" s="7">
        <f>IFERROR(VLOOKUP(A135,Projects!$A:$AK,22,FALSE())/12,0)</f>
        <v/>
      </c>
      <c r="E135" s="7" t="n">
        <v>155617</v>
      </c>
      <c r="F135" s="7" t="n">
        <v>196708</v>
      </c>
      <c r="G135" s="7">
        <f>F135-E135</f>
        <v/>
      </c>
      <c r="H135" s="7" t="n">
        <v>195078</v>
      </c>
      <c r="I135" s="7" t="n">
        <v>140558</v>
      </c>
    </row>
    <row r="136" ht="15" customHeight="1" s="5">
      <c r="A136" s="7" t="inlineStr">
        <is>
          <t>PRJ012</t>
        </is>
      </c>
      <c r="B136" s="7" t="inlineStr">
        <is>
          <t>Mar</t>
        </is>
      </c>
      <c r="C136" s="7">
        <f>IFERROR(VLOOKUP(A136,Projects!$A:$AK,21,FALSE())/12,0)</f>
        <v/>
      </c>
      <c r="D136" s="7">
        <f>IFERROR(VLOOKUP(A136,Projects!$A:$AK,22,FALSE())/12,0)</f>
        <v/>
      </c>
      <c r="E136" s="7" t="n">
        <v>92571</v>
      </c>
      <c r="F136" s="7" t="n">
        <v>118224</v>
      </c>
      <c r="G136" s="7">
        <f>F136-E136</f>
        <v/>
      </c>
      <c r="H136" s="7" t="n">
        <v>106977</v>
      </c>
      <c r="I136" s="7" t="n">
        <v>76539</v>
      </c>
    </row>
    <row r="137" ht="15" customHeight="1" s="5">
      <c r="A137" s="7" t="inlineStr">
        <is>
          <t>PRJ012</t>
        </is>
      </c>
      <c r="B137" s="7" t="inlineStr">
        <is>
          <t>Apr</t>
        </is>
      </c>
      <c r="C137" s="7">
        <f>IFERROR(VLOOKUP(A137,Projects!$A:$AK,21,FALSE())/12,0)</f>
        <v/>
      </c>
      <c r="D137" s="7">
        <f>IFERROR(VLOOKUP(A137,Projects!$A:$AK,22,FALSE())/12,0)</f>
        <v/>
      </c>
      <c r="E137" s="7" t="n">
        <v>123892</v>
      </c>
      <c r="F137" s="7" t="n">
        <v>174425</v>
      </c>
      <c r="G137" s="7">
        <f>F137-E137</f>
        <v/>
      </c>
      <c r="H137" s="7" t="n">
        <v>134525</v>
      </c>
      <c r="I137" s="7" t="n">
        <v>107088</v>
      </c>
    </row>
    <row r="138" ht="15" customHeight="1" s="5">
      <c r="A138" s="7" t="inlineStr">
        <is>
          <t>PRJ012</t>
        </is>
      </c>
      <c r="B138" s="7" t="inlineStr">
        <is>
          <t>May</t>
        </is>
      </c>
      <c r="C138" s="7">
        <f>IFERROR(VLOOKUP(A138,Projects!$A:$AK,21,FALSE())/12,0)</f>
        <v/>
      </c>
      <c r="D138" s="7">
        <f>IFERROR(VLOOKUP(A138,Projects!$A:$AK,22,FALSE())/12,0)</f>
        <v/>
      </c>
      <c r="E138" s="7" t="n">
        <v>130264</v>
      </c>
      <c r="F138" s="7" t="n">
        <v>128763</v>
      </c>
      <c r="G138" s="7">
        <f>F138-E138</f>
        <v/>
      </c>
      <c r="H138" s="7" t="n">
        <v>113915</v>
      </c>
      <c r="I138" s="7" t="n">
        <v>97280</v>
      </c>
    </row>
    <row r="139" ht="15" customHeight="1" s="5">
      <c r="A139" s="7" t="inlineStr">
        <is>
          <t>PRJ012</t>
        </is>
      </c>
      <c r="B139" s="7" t="inlineStr">
        <is>
          <t>Jun</t>
        </is>
      </c>
      <c r="C139" s="7">
        <f>IFERROR(VLOOKUP(A139,Projects!$A:$AK,21,FALSE())/12,0)</f>
        <v/>
      </c>
      <c r="D139" s="7">
        <f>IFERROR(VLOOKUP(A139,Projects!$A:$AK,22,FALSE())/12,0)</f>
        <v/>
      </c>
      <c r="E139" s="7" t="n">
        <v>162311</v>
      </c>
      <c r="F139" s="7" t="n">
        <v>160257</v>
      </c>
      <c r="G139" s="7">
        <f>F139-E139</f>
        <v/>
      </c>
      <c r="H139" s="7" t="n">
        <v>138092</v>
      </c>
      <c r="I139" s="7" t="n">
        <v>110204</v>
      </c>
    </row>
    <row r="140" ht="15" customHeight="1" s="5">
      <c r="A140" s="7" t="inlineStr">
        <is>
          <t>PRJ012</t>
        </is>
      </c>
      <c r="B140" s="7" t="inlineStr">
        <is>
          <t>Jul</t>
        </is>
      </c>
      <c r="C140" s="7">
        <f>IFERROR(VLOOKUP(A140,Projects!$A:$AK,21,FALSE())/12,0)</f>
        <v/>
      </c>
      <c r="D140" s="7">
        <f>IFERROR(VLOOKUP(A140,Projects!$A:$AK,22,FALSE())/12,0)</f>
        <v/>
      </c>
      <c r="E140" s="7" t="n">
        <v>83713</v>
      </c>
      <c r="F140" s="7" t="n">
        <v>107159</v>
      </c>
      <c r="G140" s="7">
        <f>F140-E140</f>
        <v/>
      </c>
      <c r="H140" s="7" t="n">
        <v>84792</v>
      </c>
      <c r="I140" s="7" t="n">
        <v>71333</v>
      </c>
    </row>
    <row r="141" ht="15" customHeight="1" s="5">
      <c r="A141" s="7" t="inlineStr">
        <is>
          <t>PRJ012</t>
        </is>
      </c>
      <c r="B141" s="7" t="inlineStr">
        <is>
          <t>Aug</t>
        </is>
      </c>
      <c r="C141" s="7">
        <f>IFERROR(VLOOKUP(A141,Projects!$A:$AK,21,FALSE())/12,0)</f>
        <v/>
      </c>
      <c r="D141" s="7">
        <f>IFERROR(VLOOKUP(A141,Projects!$A:$AK,22,FALSE())/12,0)</f>
        <v/>
      </c>
      <c r="E141" s="7" t="n">
        <v>91188</v>
      </c>
      <c r="F141" s="7" t="n">
        <v>111544</v>
      </c>
      <c r="G141" s="7">
        <f>F141-E141</f>
        <v/>
      </c>
      <c r="H141" s="7" t="n">
        <v>111068</v>
      </c>
      <c r="I141" s="7" t="n">
        <v>94904</v>
      </c>
    </row>
    <row r="142" ht="15" customHeight="1" s="5">
      <c r="A142" s="7" t="inlineStr">
        <is>
          <t>PRJ012</t>
        </is>
      </c>
      <c r="B142" s="7" t="inlineStr">
        <is>
          <t>Sep</t>
        </is>
      </c>
      <c r="C142" s="7">
        <f>IFERROR(VLOOKUP(A142,Projects!$A:$AK,21,FALSE())/12,0)</f>
        <v/>
      </c>
      <c r="D142" s="7">
        <f>IFERROR(VLOOKUP(A142,Projects!$A:$AK,22,FALSE())/12,0)</f>
        <v/>
      </c>
      <c r="E142" s="7" t="n">
        <v>253202</v>
      </c>
      <c r="F142" s="7" t="n">
        <v>209468</v>
      </c>
      <c r="G142" s="7">
        <f>F142-E142</f>
        <v/>
      </c>
      <c r="H142" s="7" t="n">
        <v>216802</v>
      </c>
      <c r="I142" s="7" t="n">
        <v>180694</v>
      </c>
    </row>
    <row r="143" ht="15" customHeight="1" s="5">
      <c r="A143" s="7" t="inlineStr">
        <is>
          <t>PRJ012</t>
        </is>
      </c>
      <c r="B143" s="7" t="inlineStr">
        <is>
          <t>Oct</t>
        </is>
      </c>
      <c r="C143" s="7">
        <f>IFERROR(VLOOKUP(A143,Projects!$A:$AK,21,FALSE())/12,0)</f>
        <v/>
      </c>
      <c r="D143" s="7">
        <f>IFERROR(VLOOKUP(A143,Projects!$A:$AK,22,FALSE())/12,0)</f>
        <v/>
      </c>
      <c r="E143" s="7" t="n">
        <v>194795</v>
      </c>
      <c r="F143" s="7" t="n">
        <v>243818</v>
      </c>
      <c r="G143" s="7">
        <f>F143-E143</f>
        <v/>
      </c>
      <c r="H143" s="7" t="n">
        <v>200345</v>
      </c>
      <c r="I143" s="7" t="n">
        <v>155819</v>
      </c>
    </row>
    <row r="144" ht="15" customHeight="1" s="5">
      <c r="A144" s="7" t="inlineStr">
        <is>
          <t>PRJ012</t>
        </is>
      </c>
      <c r="B144" s="7" t="inlineStr">
        <is>
          <t>Nov</t>
        </is>
      </c>
      <c r="C144" s="7">
        <f>IFERROR(VLOOKUP(A144,Projects!$A:$AK,21,FALSE())/12,0)</f>
        <v/>
      </c>
      <c r="D144" s="7">
        <f>IFERROR(VLOOKUP(A144,Projects!$A:$AK,22,FALSE())/12,0)</f>
        <v/>
      </c>
      <c r="E144" s="7" t="n">
        <v>178874</v>
      </c>
      <c r="F144" s="7" t="n">
        <v>233493</v>
      </c>
      <c r="G144" s="7">
        <f>F144-E144</f>
        <v/>
      </c>
      <c r="H144" s="7" t="n">
        <v>193228</v>
      </c>
      <c r="I144" s="7" t="n">
        <v>217584</v>
      </c>
    </row>
    <row r="145" ht="15" customHeight="1" s="5">
      <c r="A145" s="7" t="inlineStr">
        <is>
          <t>PRJ012</t>
        </is>
      </c>
      <c r="B145" s="7" t="inlineStr">
        <is>
          <t>Dec</t>
        </is>
      </c>
      <c r="C145" s="7">
        <f>IFERROR(VLOOKUP(A145,Projects!$A:$AK,21,FALSE())/12,0)</f>
        <v/>
      </c>
      <c r="D145" s="7">
        <f>IFERROR(VLOOKUP(A145,Projects!$A:$AK,22,FALSE())/12,0)</f>
        <v/>
      </c>
      <c r="E145" s="7" t="n">
        <v>196317</v>
      </c>
      <c r="F145" s="7" t="n">
        <v>198274</v>
      </c>
      <c r="G145" s="7">
        <f>F145-E145</f>
        <v/>
      </c>
      <c r="H145" s="7" t="n">
        <v>158552</v>
      </c>
      <c r="I145" s="7" t="n">
        <v>188065</v>
      </c>
    </row>
    <row r="146" ht="15" customHeight="1" s="5">
      <c r="A146" s="7" t="inlineStr">
        <is>
          <t>PRJ013</t>
        </is>
      </c>
      <c r="B146" s="7" t="inlineStr">
        <is>
          <t>Jan</t>
        </is>
      </c>
      <c r="C146" s="7">
        <f>IFERROR(VLOOKUP(A146,Projects!$A:$AK,21,FALSE())/12,0)</f>
        <v/>
      </c>
      <c r="D146" s="7">
        <f>IFERROR(VLOOKUP(A146,Projects!$A:$AK,22,FALSE())/12,0)</f>
        <v/>
      </c>
      <c r="E146" s="7" t="n">
        <v>290574</v>
      </c>
      <c r="F146" s="7" t="n">
        <v>254795</v>
      </c>
      <c r="G146" s="7">
        <f>F146-E146</f>
        <v/>
      </c>
      <c r="H146" s="7" t="n">
        <v>268160</v>
      </c>
      <c r="I146" s="7" t="n">
        <v>220530</v>
      </c>
    </row>
    <row r="147" ht="15" customHeight="1" s="5">
      <c r="A147" s="7" t="inlineStr">
        <is>
          <t>PRJ013</t>
        </is>
      </c>
      <c r="B147" s="7" t="inlineStr">
        <is>
          <t>Feb</t>
        </is>
      </c>
      <c r="C147" s="7">
        <f>IFERROR(VLOOKUP(A147,Projects!$A:$AK,21,FALSE())/12,0)</f>
        <v/>
      </c>
      <c r="D147" s="7">
        <f>IFERROR(VLOOKUP(A147,Projects!$A:$AK,22,FALSE())/12,0)</f>
        <v/>
      </c>
      <c r="E147" s="7" t="n">
        <v>163155</v>
      </c>
      <c r="F147" s="7" t="n">
        <v>190760</v>
      </c>
      <c r="G147" s="7">
        <f>F147-E147</f>
        <v/>
      </c>
      <c r="H147" s="7" t="n">
        <v>169754</v>
      </c>
      <c r="I147" s="7" t="n">
        <v>134284</v>
      </c>
    </row>
    <row r="148" ht="15" customHeight="1" s="5">
      <c r="A148" s="7" t="inlineStr">
        <is>
          <t>PRJ013</t>
        </is>
      </c>
      <c r="B148" s="7" t="inlineStr">
        <is>
          <t>Mar</t>
        </is>
      </c>
      <c r="C148" s="7">
        <f>IFERROR(VLOOKUP(A148,Projects!$A:$AK,21,FALSE())/12,0)</f>
        <v/>
      </c>
      <c r="D148" s="7">
        <f>IFERROR(VLOOKUP(A148,Projects!$A:$AK,22,FALSE())/12,0)</f>
        <v/>
      </c>
      <c r="E148" s="7" t="n">
        <v>243993</v>
      </c>
      <c r="F148" s="7" t="n">
        <v>293409</v>
      </c>
      <c r="G148" s="7">
        <f>F148-E148</f>
        <v/>
      </c>
      <c r="H148" s="7" t="n">
        <v>244934</v>
      </c>
      <c r="I148" s="7" t="n">
        <v>220206</v>
      </c>
    </row>
    <row r="149" ht="15" customHeight="1" s="5">
      <c r="A149" s="7" t="inlineStr">
        <is>
          <t>PRJ013</t>
        </is>
      </c>
      <c r="B149" s="7" t="inlineStr">
        <is>
          <t>Apr</t>
        </is>
      </c>
      <c r="C149" s="7">
        <f>IFERROR(VLOOKUP(A149,Projects!$A:$AK,21,FALSE())/12,0)</f>
        <v/>
      </c>
      <c r="D149" s="7">
        <f>IFERROR(VLOOKUP(A149,Projects!$A:$AK,22,FALSE())/12,0)</f>
        <v/>
      </c>
      <c r="E149" s="7" t="n">
        <v>302728</v>
      </c>
      <c r="F149" s="7" t="n">
        <v>453864</v>
      </c>
      <c r="G149" s="7">
        <f>F149-E149</f>
        <v/>
      </c>
      <c r="H149" s="7" t="n">
        <v>387465</v>
      </c>
      <c r="I149" s="7" t="n">
        <v>284002</v>
      </c>
    </row>
    <row r="150" ht="15" customHeight="1" s="5">
      <c r="A150" s="7" t="inlineStr">
        <is>
          <t>PRJ013</t>
        </is>
      </c>
      <c r="B150" s="7" t="inlineStr">
        <is>
          <t>May</t>
        </is>
      </c>
      <c r="C150" s="7">
        <f>IFERROR(VLOOKUP(A150,Projects!$A:$AK,21,FALSE())/12,0)</f>
        <v/>
      </c>
      <c r="D150" s="7">
        <f>IFERROR(VLOOKUP(A150,Projects!$A:$AK,22,FALSE())/12,0)</f>
        <v/>
      </c>
      <c r="E150" s="7" t="n">
        <v>247100</v>
      </c>
      <c r="F150" s="7" t="n">
        <v>293397</v>
      </c>
      <c r="G150" s="7">
        <f>F150-E150</f>
        <v/>
      </c>
      <c r="H150" s="7" t="n">
        <v>237679</v>
      </c>
      <c r="I150" s="7" t="n">
        <v>197743</v>
      </c>
    </row>
    <row r="151" ht="15" customHeight="1" s="5">
      <c r="A151" s="7" t="inlineStr">
        <is>
          <t>PRJ013</t>
        </is>
      </c>
      <c r="B151" s="7" t="inlineStr">
        <is>
          <t>Jun</t>
        </is>
      </c>
      <c r="C151" s="7">
        <f>IFERROR(VLOOKUP(A151,Projects!$A:$AK,21,FALSE())/12,0)</f>
        <v/>
      </c>
      <c r="D151" s="7">
        <f>IFERROR(VLOOKUP(A151,Projects!$A:$AK,22,FALSE())/12,0)</f>
        <v/>
      </c>
      <c r="E151" s="7" t="n">
        <v>264690</v>
      </c>
      <c r="F151" s="7" t="n">
        <v>293123</v>
      </c>
      <c r="G151" s="7">
        <f>F151-E151</f>
        <v/>
      </c>
      <c r="H151" s="7" t="n">
        <v>302990</v>
      </c>
      <c r="I151" s="7" t="n">
        <v>263854</v>
      </c>
    </row>
    <row r="152" ht="15" customHeight="1" s="5">
      <c r="A152" s="7" t="inlineStr">
        <is>
          <t>PRJ013</t>
        </is>
      </c>
      <c r="B152" s="7" t="inlineStr">
        <is>
          <t>Jul</t>
        </is>
      </c>
      <c r="C152" s="7">
        <f>IFERROR(VLOOKUP(A152,Projects!$A:$AK,21,FALSE())/12,0)</f>
        <v/>
      </c>
      <c r="D152" s="7">
        <f>IFERROR(VLOOKUP(A152,Projects!$A:$AK,22,FALSE())/12,0)</f>
        <v/>
      </c>
      <c r="E152" s="7" t="n">
        <v>363747</v>
      </c>
      <c r="F152" s="7" t="n">
        <v>389196</v>
      </c>
      <c r="G152" s="7">
        <f>F152-E152</f>
        <v/>
      </c>
      <c r="H152" s="7" t="n">
        <v>349686</v>
      </c>
      <c r="I152" s="7" t="n">
        <v>233962</v>
      </c>
    </row>
    <row r="153" ht="15" customHeight="1" s="5">
      <c r="A153" s="7" t="inlineStr">
        <is>
          <t>PRJ013</t>
        </is>
      </c>
      <c r="B153" s="7" t="inlineStr">
        <is>
          <t>Aug</t>
        </is>
      </c>
      <c r="C153" s="7">
        <f>IFERROR(VLOOKUP(A153,Projects!$A:$AK,21,FALSE())/12,0)</f>
        <v/>
      </c>
      <c r="D153" s="7">
        <f>IFERROR(VLOOKUP(A153,Projects!$A:$AK,22,FALSE())/12,0)</f>
        <v/>
      </c>
      <c r="E153" s="7" t="n">
        <v>356886</v>
      </c>
      <c r="F153" s="7" t="n">
        <v>350380</v>
      </c>
      <c r="G153" s="7">
        <f>F153-E153</f>
        <v/>
      </c>
      <c r="H153" s="7" t="n">
        <v>293607</v>
      </c>
      <c r="I153" s="7" t="n">
        <v>325511</v>
      </c>
    </row>
    <row r="154" ht="15" customHeight="1" s="5">
      <c r="A154" s="7" t="inlineStr">
        <is>
          <t>PRJ013</t>
        </is>
      </c>
      <c r="B154" s="7" t="inlineStr">
        <is>
          <t>Sep</t>
        </is>
      </c>
      <c r="C154" s="7">
        <f>IFERROR(VLOOKUP(A154,Projects!$A:$AK,21,FALSE())/12,0)</f>
        <v/>
      </c>
      <c r="D154" s="7">
        <f>IFERROR(VLOOKUP(A154,Projects!$A:$AK,22,FALSE())/12,0)</f>
        <v/>
      </c>
      <c r="E154" s="7" t="n">
        <v>281329</v>
      </c>
      <c r="F154" s="7" t="n">
        <v>307980</v>
      </c>
      <c r="G154" s="7">
        <f>F154-E154</f>
        <v/>
      </c>
      <c r="H154" s="7" t="n">
        <v>274172</v>
      </c>
      <c r="I154" s="7" t="n">
        <v>197928</v>
      </c>
    </row>
    <row r="155" ht="15" customHeight="1" s="5">
      <c r="A155" s="7" t="inlineStr">
        <is>
          <t>PRJ013</t>
        </is>
      </c>
      <c r="B155" s="7" t="inlineStr">
        <is>
          <t>Oct</t>
        </is>
      </c>
      <c r="C155" s="7">
        <f>IFERROR(VLOOKUP(A155,Projects!$A:$AK,21,FALSE())/12,0)</f>
        <v/>
      </c>
      <c r="D155" s="7">
        <f>IFERROR(VLOOKUP(A155,Projects!$A:$AK,22,FALSE())/12,0)</f>
        <v/>
      </c>
      <c r="E155" s="7" t="n">
        <v>302991</v>
      </c>
      <c r="F155" s="7" t="n">
        <v>395733</v>
      </c>
      <c r="G155" s="7">
        <f>F155-E155</f>
        <v/>
      </c>
      <c r="H155" s="7" t="n">
        <v>287702</v>
      </c>
      <c r="I155" s="7" t="n">
        <v>302316</v>
      </c>
    </row>
    <row r="156" ht="15" customHeight="1" s="5">
      <c r="A156" s="7" t="inlineStr">
        <is>
          <t>PRJ013</t>
        </is>
      </c>
      <c r="B156" s="7" t="inlineStr">
        <is>
          <t>Nov</t>
        </is>
      </c>
      <c r="C156" s="7">
        <f>IFERROR(VLOOKUP(A156,Projects!$A:$AK,21,FALSE())/12,0)</f>
        <v/>
      </c>
      <c r="D156" s="7">
        <f>IFERROR(VLOOKUP(A156,Projects!$A:$AK,22,FALSE())/12,0)</f>
        <v/>
      </c>
      <c r="E156" s="7" t="n">
        <v>432841</v>
      </c>
      <c r="F156" s="7" t="n">
        <v>445683</v>
      </c>
      <c r="G156" s="7">
        <f>F156-E156</f>
        <v/>
      </c>
      <c r="H156" s="7" t="n">
        <v>444162</v>
      </c>
      <c r="I156" s="7" t="n">
        <v>368564</v>
      </c>
    </row>
    <row r="157" ht="15" customHeight="1" s="5">
      <c r="A157" s="7" t="inlineStr">
        <is>
          <t>PRJ013</t>
        </is>
      </c>
      <c r="B157" s="7" t="inlineStr">
        <is>
          <t>Dec</t>
        </is>
      </c>
      <c r="C157" s="7">
        <f>IFERROR(VLOOKUP(A157,Projects!$A:$AK,21,FALSE())/12,0)</f>
        <v/>
      </c>
      <c r="D157" s="7">
        <f>IFERROR(VLOOKUP(A157,Projects!$A:$AK,22,FALSE())/12,0)</f>
        <v/>
      </c>
      <c r="E157" s="7" t="n">
        <v>174055</v>
      </c>
      <c r="F157" s="7" t="n">
        <v>303083</v>
      </c>
      <c r="G157" s="7">
        <f>F157-E157</f>
        <v/>
      </c>
      <c r="H157" s="7" t="n">
        <v>262139</v>
      </c>
      <c r="I157" s="7" t="n">
        <v>282754</v>
      </c>
    </row>
    <row r="158" ht="15" customHeight="1" s="5">
      <c r="A158" s="7" t="inlineStr">
        <is>
          <t>PRJ014</t>
        </is>
      </c>
      <c r="B158" s="7" t="inlineStr">
        <is>
          <t>Jan</t>
        </is>
      </c>
      <c r="C158" s="7">
        <f>IFERROR(VLOOKUP(A158,Projects!$A:$AK,21,FALSE())/12,0)</f>
        <v/>
      </c>
      <c r="D158" s="7">
        <f>IFERROR(VLOOKUP(A158,Projects!$A:$AK,22,FALSE())/12,0)</f>
        <v/>
      </c>
      <c r="E158" s="7" t="n">
        <v>197701</v>
      </c>
      <c r="F158" s="7" t="n">
        <v>185330</v>
      </c>
      <c r="G158" s="7">
        <f>F158-E158</f>
        <v/>
      </c>
      <c r="H158" s="7" t="n">
        <v>165888</v>
      </c>
      <c r="I158" s="7" t="n">
        <v>161347</v>
      </c>
    </row>
    <row r="159" ht="15" customHeight="1" s="5">
      <c r="A159" s="7" t="inlineStr">
        <is>
          <t>PRJ014</t>
        </is>
      </c>
      <c r="B159" s="7" t="inlineStr">
        <is>
          <t>Feb</t>
        </is>
      </c>
      <c r="C159" s="7">
        <f>IFERROR(VLOOKUP(A159,Projects!$A:$AK,21,FALSE())/12,0)</f>
        <v/>
      </c>
      <c r="D159" s="7">
        <f>IFERROR(VLOOKUP(A159,Projects!$A:$AK,22,FALSE())/12,0)</f>
        <v/>
      </c>
      <c r="E159" s="7" t="n">
        <v>126522</v>
      </c>
      <c r="F159" s="7" t="n">
        <v>197458</v>
      </c>
      <c r="G159" s="7">
        <f>F159-E159</f>
        <v/>
      </c>
      <c r="H159" s="7" t="n">
        <v>149403</v>
      </c>
      <c r="I159" s="7" t="n">
        <v>119781</v>
      </c>
    </row>
    <row r="160" ht="15" customHeight="1" s="5">
      <c r="A160" s="7" t="inlineStr">
        <is>
          <t>PRJ014</t>
        </is>
      </c>
      <c r="B160" s="7" t="inlineStr">
        <is>
          <t>Mar</t>
        </is>
      </c>
      <c r="C160" s="7">
        <f>IFERROR(VLOOKUP(A160,Projects!$A:$AK,21,FALSE())/12,0)</f>
        <v/>
      </c>
      <c r="D160" s="7">
        <f>IFERROR(VLOOKUP(A160,Projects!$A:$AK,22,FALSE())/12,0)</f>
        <v/>
      </c>
      <c r="E160" s="7" t="n">
        <v>267663</v>
      </c>
      <c r="F160" s="7" t="n">
        <v>295690</v>
      </c>
      <c r="G160" s="7">
        <f>F160-E160</f>
        <v/>
      </c>
      <c r="H160" s="7" t="n">
        <v>260661</v>
      </c>
      <c r="I160" s="7" t="n">
        <v>204723</v>
      </c>
    </row>
    <row r="161" ht="15" customHeight="1" s="5">
      <c r="A161" s="7" t="inlineStr">
        <is>
          <t>PRJ014</t>
        </is>
      </c>
      <c r="B161" s="7" t="inlineStr">
        <is>
          <t>Apr</t>
        </is>
      </c>
      <c r="C161" s="7">
        <f>IFERROR(VLOOKUP(A161,Projects!$A:$AK,21,FALSE())/12,0)</f>
        <v/>
      </c>
      <c r="D161" s="7">
        <f>IFERROR(VLOOKUP(A161,Projects!$A:$AK,22,FALSE())/12,0)</f>
        <v/>
      </c>
      <c r="E161" s="7" t="n">
        <v>121288</v>
      </c>
      <c r="F161" s="7" t="n">
        <v>176961</v>
      </c>
      <c r="G161" s="7">
        <f>F161-E161</f>
        <v/>
      </c>
      <c r="H161" s="7" t="n">
        <v>180897</v>
      </c>
      <c r="I161" s="7" t="n">
        <v>152141</v>
      </c>
    </row>
    <row r="162" ht="15" customHeight="1" s="5">
      <c r="A162" s="7" t="inlineStr">
        <is>
          <t>PRJ014</t>
        </is>
      </c>
      <c r="B162" s="7" t="inlineStr">
        <is>
          <t>May</t>
        </is>
      </c>
      <c r="C162" s="7">
        <f>IFERROR(VLOOKUP(A162,Projects!$A:$AK,21,FALSE())/12,0)</f>
        <v/>
      </c>
      <c r="D162" s="7">
        <f>IFERROR(VLOOKUP(A162,Projects!$A:$AK,22,FALSE())/12,0)</f>
        <v/>
      </c>
      <c r="E162" s="7" t="n">
        <v>140696</v>
      </c>
      <c r="F162" s="7" t="n">
        <v>140283</v>
      </c>
      <c r="G162" s="7">
        <f>F162-E162</f>
        <v/>
      </c>
      <c r="H162" s="7" t="n">
        <v>140115</v>
      </c>
      <c r="I162" s="7" t="n">
        <v>145596</v>
      </c>
    </row>
    <row r="163" ht="15" customHeight="1" s="5">
      <c r="A163" s="7" t="inlineStr">
        <is>
          <t>PRJ014</t>
        </is>
      </c>
      <c r="B163" s="7" t="inlineStr">
        <is>
          <t>Jun</t>
        </is>
      </c>
      <c r="C163" s="7">
        <f>IFERROR(VLOOKUP(A163,Projects!$A:$AK,21,FALSE())/12,0)</f>
        <v/>
      </c>
      <c r="D163" s="7">
        <f>IFERROR(VLOOKUP(A163,Projects!$A:$AK,22,FALSE())/12,0)</f>
        <v/>
      </c>
      <c r="E163" s="7" t="n">
        <v>154942</v>
      </c>
      <c r="F163" s="7" t="n">
        <v>166586</v>
      </c>
      <c r="G163" s="7">
        <f>F163-E163</f>
        <v/>
      </c>
      <c r="H163" s="7" t="n">
        <v>156420</v>
      </c>
      <c r="I163" s="7" t="n">
        <v>140961</v>
      </c>
    </row>
    <row r="164" ht="15" customHeight="1" s="5">
      <c r="A164" s="7" t="inlineStr">
        <is>
          <t>PRJ014</t>
        </is>
      </c>
      <c r="B164" s="7" t="inlineStr">
        <is>
          <t>Jul</t>
        </is>
      </c>
      <c r="C164" s="7">
        <f>IFERROR(VLOOKUP(A164,Projects!$A:$AK,21,FALSE())/12,0)</f>
        <v/>
      </c>
      <c r="D164" s="7">
        <f>IFERROR(VLOOKUP(A164,Projects!$A:$AK,22,FALSE())/12,0)</f>
        <v/>
      </c>
      <c r="E164" s="7" t="n">
        <v>136975</v>
      </c>
      <c r="F164" s="7" t="n">
        <v>151621</v>
      </c>
      <c r="G164" s="7">
        <f>F164-E164</f>
        <v/>
      </c>
      <c r="H164" s="7" t="n">
        <v>142877</v>
      </c>
      <c r="I164" s="7" t="n">
        <v>115853</v>
      </c>
    </row>
    <row r="165" ht="15" customHeight="1" s="5">
      <c r="A165" s="7" t="inlineStr">
        <is>
          <t>PRJ014</t>
        </is>
      </c>
      <c r="B165" s="7" t="inlineStr">
        <is>
          <t>Aug</t>
        </is>
      </c>
      <c r="C165" s="7">
        <f>IFERROR(VLOOKUP(A165,Projects!$A:$AK,21,FALSE())/12,0)</f>
        <v/>
      </c>
      <c r="D165" s="7">
        <f>IFERROR(VLOOKUP(A165,Projects!$A:$AK,22,FALSE())/12,0)</f>
        <v/>
      </c>
      <c r="E165" s="7" t="n">
        <v>230756</v>
      </c>
      <c r="F165" s="7" t="n">
        <v>211193</v>
      </c>
      <c r="G165" s="7">
        <f>F165-E165</f>
        <v/>
      </c>
      <c r="H165" s="7" t="n">
        <v>214138</v>
      </c>
      <c r="I165" s="7" t="n">
        <v>215169</v>
      </c>
    </row>
    <row r="166" ht="15" customHeight="1" s="5">
      <c r="A166" s="7" t="inlineStr">
        <is>
          <t>PRJ014</t>
        </is>
      </c>
      <c r="B166" s="7" t="inlineStr">
        <is>
          <t>Sep</t>
        </is>
      </c>
      <c r="C166" s="7">
        <f>IFERROR(VLOOKUP(A166,Projects!$A:$AK,21,FALSE())/12,0)</f>
        <v/>
      </c>
      <c r="D166" s="7">
        <f>IFERROR(VLOOKUP(A166,Projects!$A:$AK,22,FALSE())/12,0)</f>
        <v/>
      </c>
      <c r="E166" s="7" t="n">
        <v>138611</v>
      </c>
      <c r="F166" s="7" t="n">
        <v>191125</v>
      </c>
      <c r="G166" s="7">
        <f>F166-E166</f>
        <v/>
      </c>
      <c r="H166" s="7" t="n">
        <v>153788</v>
      </c>
      <c r="I166" s="7" t="n">
        <v>155168</v>
      </c>
    </row>
    <row r="167" ht="15" customHeight="1" s="5">
      <c r="A167" s="7" t="inlineStr">
        <is>
          <t>PRJ014</t>
        </is>
      </c>
      <c r="B167" s="7" t="inlineStr">
        <is>
          <t>Oct</t>
        </is>
      </c>
      <c r="C167" s="7">
        <f>IFERROR(VLOOKUP(A167,Projects!$A:$AK,21,FALSE())/12,0)</f>
        <v/>
      </c>
      <c r="D167" s="7">
        <f>IFERROR(VLOOKUP(A167,Projects!$A:$AK,22,FALSE())/12,0)</f>
        <v/>
      </c>
      <c r="E167" s="7" t="n">
        <v>178902</v>
      </c>
      <c r="F167" s="7" t="n">
        <v>276271</v>
      </c>
      <c r="G167" s="7">
        <f>F167-E167</f>
        <v/>
      </c>
      <c r="H167" s="7" t="n">
        <v>227672</v>
      </c>
      <c r="I167" s="7" t="n">
        <v>254878</v>
      </c>
    </row>
    <row r="168" ht="15" customHeight="1" s="5">
      <c r="A168" s="7" t="inlineStr">
        <is>
          <t>PRJ014</t>
        </is>
      </c>
      <c r="B168" s="7" t="inlineStr">
        <is>
          <t>Nov</t>
        </is>
      </c>
      <c r="C168" s="7">
        <f>IFERROR(VLOOKUP(A168,Projects!$A:$AK,21,FALSE())/12,0)</f>
        <v/>
      </c>
      <c r="D168" s="7">
        <f>IFERROR(VLOOKUP(A168,Projects!$A:$AK,22,FALSE())/12,0)</f>
        <v/>
      </c>
      <c r="E168" s="7" t="n">
        <v>69573</v>
      </c>
      <c r="F168" s="7" t="n">
        <v>117241</v>
      </c>
      <c r="G168" s="7">
        <f>F168-E168</f>
        <v/>
      </c>
      <c r="H168" s="7" t="n">
        <v>92058</v>
      </c>
      <c r="I168" s="7" t="n">
        <v>95086</v>
      </c>
    </row>
    <row r="169" ht="15" customHeight="1" s="5">
      <c r="A169" s="7" t="inlineStr">
        <is>
          <t>PRJ014</t>
        </is>
      </c>
      <c r="B169" s="7" t="inlineStr">
        <is>
          <t>Dec</t>
        </is>
      </c>
      <c r="C169" s="7">
        <f>IFERROR(VLOOKUP(A169,Projects!$A:$AK,21,FALSE())/12,0)</f>
        <v/>
      </c>
      <c r="D169" s="7">
        <f>IFERROR(VLOOKUP(A169,Projects!$A:$AK,22,FALSE())/12,0)</f>
        <v/>
      </c>
      <c r="E169" s="7" t="n">
        <v>201429</v>
      </c>
      <c r="F169" s="7" t="n">
        <v>198512</v>
      </c>
      <c r="G169" s="7">
        <f>F169-E169</f>
        <v/>
      </c>
      <c r="H169" s="7" t="n">
        <v>173800</v>
      </c>
      <c r="I169" s="7" t="n">
        <v>191166</v>
      </c>
    </row>
    <row r="170" ht="15" customHeight="1" s="5">
      <c r="A170" s="7" t="inlineStr">
        <is>
          <t>PRJ015</t>
        </is>
      </c>
      <c r="B170" s="7" t="inlineStr">
        <is>
          <t>Jan</t>
        </is>
      </c>
      <c r="C170" s="7">
        <f>IFERROR(VLOOKUP(A170,Projects!$A:$AK,21,FALSE())/12,0)</f>
        <v/>
      </c>
      <c r="D170" s="7">
        <f>IFERROR(VLOOKUP(A170,Projects!$A:$AK,22,FALSE())/12,0)</f>
        <v/>
      </c>
      <c r="E170" s="7" t="n">
        <v>95376</v>
      </c>
      <c r="F170" s="7" t="n">
        <v>116442</v>
      </c>
      <c r="G170" s="7">
        <f>F170-E170</f>
        <v/>
      </c>
      <c r="H170" s="7" t="n">
        <v>116271</v>
      </c>
      <c r="I170" s="7" t="n">
        <v>108823</v>
      </c>
    </row>
    <row r="171" ht="15" customHeight="1" s="5">
      <c r="A171" s="7" t="inlineStr">
        <is>
          <t>PRJ015</t>
        </is>
      </c>
      <c r="B171" s="7" t="inlineStr">
        <is>
          <t>Feb</t>
        </is>
      </c>
      <c r="C171" s="7">
        <f>IFERROR(VLOOKUP(A171,Projects!$A:$AK,21,FALSE())/12,0)</f>
        <v/>
      </c>
      <c r="D171" s="7">
        <f>IFERROR(VLOOKUP(A171,Projects!$A:$AK,22,FALSE())/12,0)</f>
        <v/>
      </c>
      <c r="E171" s="7" t="n">
        <v>81941</v>
      </c>
      <c r="F171" s="7" t="n">
        <v>95737</v>
      </c>
      <c r="G171" s="7">
        <f>F171-E171</f>
        <v/>
      </c>
      <c r="H171" s="7" t="n">
        <v>86274</v>
      </c>
      <c r="I171" s="7" t="n">
        <v>82886</v>
      </c>
    </row>
    <row r="172" ht="15" customHeight="1" s="5">
      <c r="A172" s="7" t="inlineStr">
        <is>
          <t>PRJ015</t>
        </is>
      </c>
      <c r="B172" s="7" t="inlineStr">
        <is>
          <t>Mar</t>
        </is>
      </c>
      <c r="C172" s="7">
        <f>IFERROR(VLOOKUP(A172,Projects!$A:$AK,21,FALSE())/12,0)</f>
        <v/>
      </c>
      <c r="D172" s="7">
        <f>IFERROR(VLOOKUP(A172,Projects!$A:$AK,22,FALSE())/12,0)</f>
        <v/>
      </c>
      <c r="E172" s="7" t="n">
        <v>134193</v>
      </c>
      <c r="F172" s="7" t="n">
        <v>139289</v>
      </c>
      <c r="G172" s="7">
        <f>F172-E172</f>
        <v/>
      </c>
      <c r="H172" s="7" t="n">
        <v>133573</v>
      </c>
      <c r="I172" s="7" t="n">
        <v>115177</v>
      </c>
    </row>
    <row r="173" ht="15" customHeight="1" s="5">
      <c r="A173" s="7" t="inlineStr">
        <is>
          <t>PRJ015</t>
        </is>
      </c>
      <c r="B173" s="7" t="inlineStr">
        <is>
          <t>Apr</t>
        </is>
      </c>
      <c r="C173" s="7">
        <f>IFERROR(VLOOKUP(A173,Projects!$A:$AK,21,FALSE())/12,0)</f>
        <v/>
      </c>
      <c r="D173" s="7">
        <f>IFERROR(VLOOKUP(A173,Projects!$A:$AK,22,FALSE())/12,0)</f>
        <v/>
      </c>
      <c r="E173" s="7" t="n">
        <v>102688</v>
      </c>
      <c r="F173" s="7" t="n">
        <v>126129</v>
      </c>
      <c r="G173" s="7">
        <f>F173-E173</f>
        <v/>
      </c>
      <c r="H173" s="7" t="n">
        <v>104618</v>
      </c>
      <c r="I173" s="7" t="n">
        <v>87633</v>
      </c>
    </row>
    <row r="174" ht="15" customHeight="1" s="5">
      <c r="A174" s="7" t="inlineStr">
        <is>
          <t>PRJ015</t>
        </is>
      </c>
      <c r="B174" s="7" t="inlineStr">
        <is>
          <t>May</t>
        </is>
      </c>
      <c r="C174" s="7">
        <f>IFERROR(VLOOKUP(A174,Projects!$A:$AK,21,FALSE())/12,0)</f>
        <v/>
      </c>
      <c r="D174" s="7">
        <f>IFERROR(VLOOKUP(A174,Projects!$A:$AK,22,FALSE())/12,0)</f>
        <v/>
      </c>
      <c r="E174" s="7" t="n">
        <v>75183</v>
      </c>
      <c r="F174" s="7" t="n">
        <v>81588</v>
      </c>
      <c r="G174" s="7">
        <f>F174-E174</f>
        <v/>
      </c>
      <c r="H174" s="7" t="n">
        <v>77862</v>
      </c>
      <c r="I174" s="7" t="n">
        <v>54984</v>
      </c>
    </row>
    <row r="175" ht="15" customHeight="1" s="5">
      <c r="A175" s="7" t="inlineStr">
        <is>
          <t>PRJ015</t>
        </is>
      </c>
      <c r="B175" s="7" t="inlineStr">
        <is>
          <t>Jun</t>
        </is>
      </c>
      <c r="C175" s="7">
        <f>IFERROR(VLOOKUP(A175,Projects!$A:$AK,21,FALSE())/12,0)</f>
        <v/>
      </c>
      <c r="D175" s="7">
        <f>IFERROR(VLOOKUP(A175,Projects!$A:$AK,22,FALSE())/12,0)</f>
        <v/>
      </c>
      <c r="E175" s="7" t="n">
        <v>86186</v>
      </c>
      <c r="F175" s="7" t="n">
        <v>112329</v>
      </c>
      <c r="G175" s="7">
        <f>F175-E175</f>
        <v/>
      </c>
      <c r="H175" s="7" t="n">
        <v>98364</v>
      </c>
      <c r="I175" s="7" t="n">
        <v>68294</v>
      </c>
    </row>
    <row r="176" ht="15" customHeight="1" s="5">
      <c r="A176" s="7" t="inlineStr">
        <is>
          <t>PRJ015</t>
        </is>
      </c>
      <c r="B176" s="7" t="inlineStr">
        <is>
          <t>Jul</t>
        </is>
      </c>
      <c r="C176" s="7">
        <f>IFERROR(VLOOKUP(A176,Projects!$A:$AK,21,FALSE())/12,0)</f>
        <v/>
      </c>
      <c r="D176" s="7">
        <f>IFERROR(VLOOKUP(A176,Projects!$A:$AK,22,FALSE())/12,0)</f>
        <v/>
      </c>
      <c r="E176" s="7" t="n">
        <v>128260</v>
      </c>
      <c r="F176" s="7" t="n">
        <v>138835</v>
      </c>
      <c r="G176" s="7">
        <f>F176-E176</f>
        <v/>
      </c>
      <c r="H176" s="7" t="n">
        <v>130155</v>
      </c>
      <c r="I176" s="7" t="n">
        <v>125846</v>
      </c>
    </row>
    <row r="177" ht="15" customHeight="1" s="5">
      <c r="A177" s="7" t="inlineStr">
        <is>
          <t>PRJ015</t>
        </is>
      </c>
      <c r="B177" s="7" t="inlineStr">
        <is>
          <t>Aug</t>
        </is>
      </c>
      <c r="C177" s="7">
        <f>IFERROR(VLOOKUP(A177,Projects!$A:$AK,21,FALSE())/12,0)</f>
        <v/>
      </c>
      <c r="D177" s="7">
        <f>IFERROR(VLOOKUP(A177,Projects!$A:$AK,22,FALSE())/12,0)</f>
        <v/>
      </c>
      <c r="E177" s="7" t="n">
        <v>67053</v>
      </c>
      <c r="F177" s="7" t="n">
        <v>103804</v>
      </c>
      <c r="G177" s="7">
        <f>F177-E177</f>
        <v/>
      </c>
      <c r="H177" s="7" t="n">
        <v>85222</v>
      </c>
      <c r="I177" s="7" t="n">
        <v>84077</v>
      </c>
    </row>
    <row r="178" ht="15" customHeight="1" s="5">
      <c r="A178" s="7" t="inlineStr">
        <is>
          <t>PRJ015</t>
        </is>
      </c>
      <c r="B178" s="7" t="inlineStr">
        <is>
          <t>Sep</t>
        </is>
      </c>
      <c r="C178" s="7">
        <f>IFERROR(VLOOKUP(A178,Projects!$A:$AK,21,FALSE())/12,0)</f>
        <v/>
      </c>
      <c r="D178" s="7">
        <f>IFERROR(VLOOKUP(A178,Projects!$A:$AK,22,FALSE())/12,0)</f>
        <v/>
      </c>
      <c r="E178" s="7" t="n">
        <v>105581</v>
      </c>
      <c r="F178" s="7" t="n">
        <v>150945</v>
      </c>
      <c r="G178" s="7">
        <f>F178-E178</f>
        <v/>
      </c>
      <c r="H178" s="7" t="n">
        <v>121001</v>
      </c>
      <c r="I178" s="7" t="n">
        <v>99284</v>
      </c>
    </row>
    <row r="179" ht="15" customHeight="1" s="5">
      <c r="A179" s="7" t="inlineStr">
        <is>
          <t>PRJ015</t>
        </is>
      </c>
      <c r="B179" s="7" t="inlineStr">
        <is>
          <t>Oct</t>
        </is>
      </c>
      <c r="C179" s="7">
        <f>IFERROR(VLOOKUP(A179,Projects!$A:$AK,21,FALSE())/12,0)</f>
        <v/>
      </c>
      <c r="D179" s="7">
        <f>IFERROR(VLOOKUP(A179,Projects!$A:$AK,22,FALSE())/12,0)</f>
        <v/>
      </c>
      <c r="E179" s="7" t="n">
        <v>113310</v>
      </c>
      <c r="F179" s="7" t="n">
        <v>141602</v>
      </c>
      <c r="G179" s="7">
        <f>F179-E179</f>
        <v/>
      </c>
      <c r="H179" s="7" t="n">
        <v>121301</v>
      </c>
      <c r="I179" s="7" t="n">
        <v>88323</v>
      </c>
    </row>
    <row r="180" ht="15" customHeight="1" s="5">
      <c r="A180" s="7" t="inlineStr">
        <is>
          <t>PRJ015</t>
        </is>
      </c>
      <c r="B180" s="7" t="inlineStr">
        <is>
          <t>Nov</t>
        </is>
      </c>
      <c r="C180" s="7">
        <f>IFERROR(VLOOKUP(A180,Projects!$A:$AK,21,FALSE())/12,0)</f>
        <v/>
      </c>
      <c r="D180" s="7">
        <f>IFERROR(VLOOKUP(A180,Projects!$A:$AK,22,FALSE())/12,0)</f>
        <v/>
      </c>
      <c r="E180" s="7" t="n">
        <v>64488</v>
      </c>
      <c r="F180" s="7" t="n">
        <v>66666</v>
      </c>
      <c r="G180" s="7">
        <f>F180-E180</f>
        <v/>
      </c>
      <c r="H180" s="7" t="n">
        <v>58586</v>
      </c>
      <c r="I180" s="7" t="n">
        <v>52115</v>
      </c>
    </row>
    <row r="181" ht="15" customHeight="1" s="5">
      <c r="A181" s="7" t="inlineStr">
        <is>
          <t>PRJ015</t>
        </is>
      </c>
      <c r="B181" s="7" t="inlineStr">
        <is>
          <t>Dec</t>
        </is>
      </c>
      <c r="C181" s="7">
        <f>IFERROR(VLOOKUP(A181,Projects!$A:$AK,21,FALSE())/12,0)</f>
        <v/>
      </c>
      <c r="D181" s="7">
        <f>IFERROR(VLOOKUP(A181,Projects!$A:$AK,22,FALSE())/12,0)</f>
        <v/>
      </c>
      <c r="E181" s="7" t="n">
        <v>77307</v>
      </c>
      <c r="F181" s="7" t="n">
        <v>119206</v>
      </c>
      <c r="G181" s="7">
        <f>F181-E181</f>
        <v/>
      </c>
      <c r="H181" s="7" t="n">
        <v>102047</v>
      </c>
      <c r="I181" s="7" t="n">
        <v>85677</v>
      </c>
    </row>
    <row r="182" ht="15" customHeight="1" s="5">
      <c r="A182" s="7" t="inlineStr">
        <is>
          <t>PRJ016</t>
        </is>
      </c>
      <c r="B182" s="7" t="inlineStr">
        <is>
          <t>Jan</t>
        </is>
      </c>
      <c r="C182" s="7">
        <f>IFERROR(VLOOKUP(A182,Projects!$A:$AK,21,FALSE())/12,0)</f>
        <v/>
      </c>
      <c r="D182" s="7">
        <f>IFERROR(VLOOKUP(A182,Projects!$A:$AK,22,FALSE())/12,0)</f>
        <v/>
      </c>
      <c r="E182" s="7" t="n">
        <v>185937</v>
      </c>
      <c r="F182" s="7" t="n">
        <v>302783</v>
      </c>
      <c r="G182" s="7">
        <f>F182-E182</f>
        <v/>
      </c>
      <c r="H182" s="7" t="n">
        <v>219775</v>
      </c>
      <c r="I182" s="7" t="n">
        <v>168626</v>
      </c>
    </row>
    <row r="183" ht="15" customHeight="1" s="5">
      <c r="A183" s="7" t="inlineStr">
        <is>
          <t>PRJ016</t>
        </is>
      </c>
      <c r="B183" s="7" t="inlineStr">
        <is>
          <t>Feb</t>
        </is>
      </c>
      <c r="C183" s="7">
        <f>IFERROR(VLOOKUP(A183,Projects!$A:$AK,21,FALSE())/12,0)</f>
        <v/>
      </c>
      <c r="D183" s="7">
        <f>IFERROR(VLOOKUP(A183,Projects!$A:$AK,22,FALSE())/12,0)</f>
        <v/>
      </c>
      <c r="E183" s="7" t="n">
        <v>267944</v>
      </c>
      <c r="F183" s="7" t="n">
        <v>266487</v>
      </c>
      <c r="G183" s="7">
        <f>F183-E183</f>
        <v/>
      </c>
      <c r="H183" s="7" t="n">
        <v>267851</v>
      </c>
      <c r="I183" s="7" t="n">
        <v>182296</v>
      </c>
    </row>
    <row r="184" ht="15" customHeight="1" s="5">
      <c r="A184" s="7" t="inlineStr">
        <is>
          <t>PRJ016</t>
        </is>
      </c>
      <c r="B184" s="7" t="inlineStr">
        <is>
          <t>Mar</t>
        </is>
      </c>
      <c r="C184" s="7">
        <f>IFERROR(VLOOKUP(A184,Projects!$A:$AK,21,FALSE())/12,0)</f>
        <v/>
      </c>
      <c r="D184" s="7">
        <f>IFERROR(VLOOKUP(A184,Projects!$A:$AK,22,FALSE())/12,0)</f>
        <v/>
      </c>
      <c r="E184" s="7" t="n">
        <v>236287</v>
      </c>
      <c r="F184" s="7" t="n">
        <v>229876</v>
      </c>
      <c r="G184" s="7">
        <f>F184-E184</f>
        <v/>
      </c>
      <c r="H184" s="7" t="n">
        <v>199852</v>
      </c>
      <c r="I184" s="7" t="n">
        <v>133009</v>
      </c>
    </row>
    <row r="185" ht="15" customHeight="1" s="5">
      <c r="A185" s="7" t="inlineStr">
        <is>
          <t>PRJ016</t>
        </is>
      </c>
      <c r="B185" s="7" t="inlineStr">
        <is>
          <t>Apr</t>
        </is>
      </c>
      <c r="C185" s="7">
        <f>IFERROR(VLOOKUP(A185,Projects!$A:$AK,21,FALSE())/12,0)</f>
        <v/>
      </c>
      <c r="D185" s="7">
        <f>IFERROR(VLOOKUP(A185,Projects!$A:$AK,22,FALSE())/12,0)</f>
        <v/>
      </c>
      <c r="E185" s="7" t="n">
        <v>264071</v>
      </c>
      <c r="F185" s="7" t="n">
        <v>328052</v>
      </c>
      <c r="G185" s="7">
        <f>F185-E185</f>
        <v/>
      </c>
      <c r="H185" s="7" t="n">
        <v>316803</v>
      </c>
      <c r="I185" s="7" t="n">
        <v>354993</v>
      </c>
    </row>
    <row r="186" ht="15" customHeight="1" s="5">
      <c r="A186" s="7" t="inlineStr">
        <is>
          <t>PRJ016</t>
        </is>
      </c>
      <c r="B186" s="7" t="inlineStr">
        <is>
          <t>May</t>
        </is>
      </c>
      <c r="C186" s="7">
        <f>IFERROR(VLOOKUP(A186,Projects!$A:$AK,21,FALSE())/12,0)</f>
        <v/>
      </c>
      <c r="D186" s="7">
        <f>IFERROR(VLOOKUP(A186,Projects!$A:$AK,22,FALSE())/12,0)</f>
        <v/>
      </c>
      <c r="E186" s="7" t="n">
        <v>368879</v>
      </c>
      <c r="F186" s="7" t="n">
        <v>381607</v>
      </c>
      <c r="G186" s="7">
        <f>F186-E186</f>
        <v/>
      </c>
      <c r="H186" s="7" t="n">
        <v>348437</v>
      </c>
      <c r="I186" s="7" t="n">
        <v>337267</v>
      </c>
    </row>
    <row r="187" ht="15" customHeight="1" s="5">
      <c r="A187" s="7" t="inlineStr">
        <is>
          <t>PRJ016</t>
        </is>
      </c>
      <c r="B187" s="7" t="inlineStr">
        <is>
          <t>Jun</t>
        </is>
      </c>
      <c r="C187" s="7">
        <f>IFERROR(VLOOKUP(A187,Projects!$A:$AK,21,FALSE())/12,0)</f>
        <v/>
      </c>
      <c r="D187" s="7">
        <f>IFERROR(VLOOKUP(A187,Projects!$A:$AK,22,FALSE())/12,0)</f>
        <v/>
      </c>
      <c r="E187" s="7" t="n">
        <v>166922</v>
      </c>
      <c r="F187" s="7" t="n">
        <v>246429</v>
      </c>
      <c r="G187" s="7">
        <f>F187-E187</f>
        <v/>
      </c>
      <c r="H187" s="7" t="n">
        <v>197986</v>
      </c>
      <c r="I187" s="7" t="n">
        <v>178121</v>
      </c>
    </row>
    <row r="188" ht="15" customHeight="1" s="5">
      <c r="A188" s="7" t="inlineStr">
        <is>
          <t>PRJ016</t>
        </is>
      </c>
      <c r="B188" s="7" t="inlineStr">
        <is>
          <t>Jul</t>
        </is>
      </c>
      <c r="C188" s="7">
        <f>IFERROR(VLOOKUP(A188,Projects!$A:$AK,21,FALSE())/12,0)</f>
        <v/>
      </c>
      <c r="D188" s="7">
        <f>IFERROR(VLOOKUP(A188,Projects!$A:$AK,22,FALSE())/12,0)</f>
        <v/>
      </c>
      <c r="E188" s="7" t="n">
        <v>238509</v>
      </c>
      <c r="F188" s="7" t="n">
        <v>278949</v>
      </c>
      <c r="G188" s="7">
        <f>F188-E188</f>
        <v/>
      </c>
      <c r="H188" s="7" t="n">
        <v>252872</v>
      </c>
      <c r="I188" s="7" t="n">
        <v>283972</v>
      </c>
    </row>
    <row r="189" ht="15" customHeight="1" s="5">
      <c r="A189" s="7" t="inlineStr">
        <is>
          <t>PRJ016</t>
        </is>
      </c>
      <c r="B189" s="7" t="inlineStr">
        <is>
          <t>Aug</t>
        </is>
      </c>
      <c r="C189" s="7">
        <f>IFERROR(VLOOKUP(A189,Projects!$A:$AK,21,FALSE())/12,0)</f>
        <v/>
      </c>
      <c r="D189" s="7">
        <f>IFERROR(VLOOKUP(A189,Projects!$A:$AK,22,FALSE())/12,0)</f>
        <v/>
      </c>
      <c r="E189" s="7" t="n">
        <v>196434</v>
      </c>
      <c r="F189" s="7" t="n">
        <v>269006</v>
      </c>
      <c r="G189" s="7">
        <f>F189-E189</f>
        <v/>
      </c>
      <c r="H189" s="7" t="n">
        <v>260592</v>
      </c>
      <c r="I189" s="7" t="n">
        <v>246248</v>
      </c>
    </row>
    <row r="190" ht="15" customHeight="1" s="5">
      <c r="A190" s="7" t="inlineStr">
        <is>
          <t>PRJ016</t>
        </is>
      </c>
      <c r="B190" s="7" t="inlineStr">
        <is>
          <t>Sep</t>
        </is>
      </c>
      <c r="C190" s="7">
        <f>IFERROR(VLOOKUP(A190,Projects!$A:$AK,21,FALSE())/12,0)</f>
        <v/>
      </c>
      <c r="D190" s="7">
        <f>IFERROR(VLOOKUP(A190,Projects!$A:$AK,22,FALSE())/12,0)</f>
        <v/>
      </c>
      <c r="E190" s="7" t="n">
        <v>171181</v>
      </c>
      <c r="F190" s="7" t="n">
        <v>186801</v>
      </c>
      <c r="G190" s="7">
        <f>F190-E190</f>
        <v/>
      </c>
      <c r="H190" s="7" t="n">
        <v>180182</v>
      </c>
      <c r="I190" s="7" t="n">
        <v>131076</v>
      </c>
    </row>
    <row r="191" ht="15" customHeight="1" s="5">
      <c r="A191" s="7" t="inlineStr">
        <is>
          <t>PRJ016</t>
        </is>
      </c>
      <c r="B191" s="7" t="inlineStr">
        <is>
          <t>Oct</t>
        </is>
      </c>
      <c r="C191" s="7">
        <f>IFERROR(VLOOKUP(A191,Projects!$A:$AK,21,FALSE())/12,0)</f>
        <v/>
      </c>
      <c r="D191" s="7">
        <f>IFERROR(VLOOKUP(A191,Projects!$A:$AK,22,FALSE())/12,0)</f>
        <v/>
      </c>
      <c r="E191" s="7" t="n">
        <v>354167</v>
      </c>
      <c r="F191" s="7" t="n">
        <v>369446</v>
      </c>
      <c r="G191" s="7">
        <f>F191-E191</f>
        <v/>
      </c>
      <c r="H191" s="7" t="n">
        <v>314092</v>
      </c>
      <c r="I191" s="7" t="n">
        <v>273210</v>
      </c>
    </row>
    <row r="192" ht="15" customHeight="1" s="5">
      <c r="A192" s="7" t="inlineStr">
        <is>
          <t>PRJ016</t>
        </is>
      </c>
      <c r="B192" s="7" t="inlineStr">
        <is>
          <t>Nov</t>
        </is>
      </c>
      <c r="C192" s="7">
        <f>IFERROR(VLOOKUP(A192,Projects!$A:$AK,21,FALSE())/12,0)</f>
        <v/>
      </c>
      <c r="D192" s="7">
        <f>IFERROR(VLOOKUP(A192,Projects!$A:$AK,22,FALSE())/12,0)</f>
        <v/>
      </c>
      <c r="E192" s="7" t="n">
        <v>205768</v>
      </c>
      <c r="F192" s="7" t="n">
        <v>227765</v>
      </c>
      <c r="G192" s="7">
        <f>F192-E192</f>
        <v/>
      </c>
      <c r="H192" s="7" t="n">
        <v>228500</v>
      </c>
      <c r="I192" s="7" t="n">
        <v>217881</v>
      </c>
    </row>
    <row r="193" ht="15" customHeight="1" s="5">
      <c r="A193" s="7" t="inlineStr">
        <is>
          <t>PRJ016</t>
        </is>
      </c>
      <c r="B193" s="7" t="inlineStr">
        <is>
          <t>Dec</t>
        </is>
      </c>
      <c r="C193" s="7">
        <f>IFERROR(VLOOKUP(A193,Projects!$A:$AK,21,FALSE())/12,0)</f>
        <v/>
      </c>
      <c r="D193" s="7">
        <f>IFERROR(VLOOKUP(A193,Projects!$A:$AK,22,FALSE())/12,0)</f>
        <v/>
      </c>
      <c r="E193" s="7" t="n">
        <v>263442</v>
      </c>
      <c r="F193" s="7" t="n">
        <v>295925</v>
      </c>
      <c r="G193" s="7">
        <f>F193-E193</f>
        <v/>
      </c>
      <c r="H193" s="7" t="n">
        <v>254933</v>
      </c>
      <c r="I193" s="7" t="n">
        <v>173445</v>
      </c>
    </row>
    <row r="194" ht="15" customHeight="1" s="5">
      <c r="A194" s="7" t="inlineStr">
        <is>
          <t>PRJ017</t>
        </is>
      </c>
      <c r="B194" s="7" t="inlineStr">
        <is>
          <t>Jan</t>
        </is>
      </c>
      <c r="C194" s="7">
        <f>IFERROR(VLOOKUP(A194,Projects!$A:$AK,21,FALSE())/12,0)</f>
        <v/>
      </c>
      <c r="D194" s="7">
        <f>IFERROR(VLOOKUP(A194,Projects!$A:$AK,22,FALSE())/12,0)</f>
        <v/>
      </c>
      <c r="E194" s="7" t="n">
        <v>135135</v>
      </c>
      <c r="F194" s="7" t="n">
        <v>210321</v>
      </c>
      <c r="G194" s="7">
        <f>F194-E194</f>
        <v/>
      </c>
      <c r="H194" s="7" t="n">
        <v>161624</v>
      </c>
      <c r="I194" s="7" t="n">
        <v>179369</v>
      </c>
    </row>
    <row r="195" ht="15" customHeight="1" s="5">
      <c r="A195" s="7" t="inlineStr">
        <is>
          <t>PRJ017</t>
        </is>
      </c>
      <c r="B195" s="7" t="inlineStr">
        <is>
          <t>Feb</t>
        </is>
      </c>
      <c r="C195" s="7">
        <f>IFERROR(VLOOKUP(A195,Projects!$A:$AK,21,FALSE())/12,0)</f>
        <v/>
      </c>
      <c r="D195" s="7">
        <f>IFERROR(VLOOKUP(A195,Projects!$A:$AK,22,FALSE())/12,0)</f>
        <v/>
      </c>
      <c r="E195" s="7" t="n">
        <v>187808</v>
      </c>
      <c r="F195" s="7" t="n">
        <v>215899</v>
      </c>
      <c r="G195" s="7">
        <f>F195-E195</f>
        <v/>
      </c>
      <c r="H195" s="7" t="n">
        <v>180139</v>
      </c>
      <c r="I195" s="7" t="n">
        <v>127320</v>
      </c>
    </row>
    <row r="196" ht="15" customHeight="1" s="5">
      <c r="A196" s="7" t="inlineStr">
        <is>
          <t>PRJ017</t>
        </is>
      </c>
      <c r="B196" s="7" t="inlineStr">
        <is>
          <t>Mar</t>
        </is>
      </c>
      <c r="C196" s="7">
        <f>IFERROR(VLOOKUP(A196,Projects!$A:$AK,21,FALSE())/12,0)</f>
        <v/>
      </c>
      <c r="D196" s="7">
        <f>IFERROR(VLOOKUP(A196,Projects!$A:$AK,22,FALSE())/12,0)</f>
        <v/>
      </c>
      <c r="E196" s="7" t="n">
        <v>178923</v>
      </c>
      <c r="F196" s="7" t="n">
        <v>185575</v>
      </c>
      <c r="G196" s="7">
        <f>F196-E196</f>
        <v/>
      </c>
      <c r="H196" s="7" t="n">
        <v>165382</v>
      </c>
      <c r="I196" s="7" t="n">
        <v>125472</v>
      </c>
    </row>
    <row r="197" ht="15" customHeight="1" s="5">
      <c r="A197" s="7" t="inlineStr">
        <is>
          <t>PRJ017</t>
        </is>
      </c>
      <c r="B197" s="7" t="inlineStr">
        <is>
          <t>Apr</t>
        </is>
      </c>
      <c r="C197" s="7">
        <f>IFERROR(VLOOKUP(A197,Projects!$A:$AK,21,FALSE())/12,0)</f>
        <v/>
      </c>
      <c r="D197" s="7">
        <f>IFERROR(VLOOKUP(A197,Projects!$A:$AK,22,FALSE())/12,0)</f>
        <v/>
      </c>
      <c r="E197" s="7" t="n">
        <v>243472</v>
      </c>
      <c r="F197" s="7" t="n">
        <v>238354</v>
      </c>
      <c r="G197" s="7">
        <f>F197-E197</f>
        <v/>
      </c>
      <c r="H197" s="7" t="n">
        <v>206895</v>
      </c>
      <c r="I197" s="7" t="n">
        <v>168293</v>
      </c>
    </row>
    <row r="198" ht="15" customHeight="1" s="5">
      <c r="A198" s="7" t="inlineStr">
        <is>
          <t>PRJ017</t>
        </is>
      </c>
      <c r="B198" s="7" t="inlineStr">
        <is>
          <t>May</t>
        </is>
      </c>
      <c r="C198" s="7">
        <f>IFERROR(VLOOKUP(A198,Projects!$A:$AK,21,FALSE())/12,0)</f>
        <v/>
      </c>
      <c r="D198" s="7">
        <f>IFERROR(VLOOKUP(A198,Projects!$A:$AK,22,FALSE())/12,0)</f>
        <v/>
      </c>
      <c r="E198" s="7" t="n">
        <v>236246</v>
      </c>
      <c r="F198" s="7" t="n">
        <v>320988</v>
      </c>
      <c r="G198" s="7">
        <f>F198-E198</f>
        <v/>
      </c>
      <c r="H198" s="7" t="n">
        <v>262570</v>
      </c>
      <c r="I198" s="7" t="n">
        <v>219104</v>
      </c>
    </row>
    <row r="199" ht="15" customHeight="1" s="5">
      <c r="A199" s="7" t="inlineStr">
        <is>
          <t>PRJ017</t>
        </is>
      </c>
      <c r="B199" s="7" t="inlineStr">
        <is>
          <t>Jun</t>
        </is>
      </c>
      <c r="C199" s="7">
        <f>IFERROR(VLOOKUP(A199,Projects!$A:$AK,21,FALSE())/12,0)</f>
        <v/>
      </c>
      <c r="D199" s="7">
        <f>IFERROR(VLOOKUP(A199,Projects!$A:$AK,22,FALSE())/12,0)</f>
        <v/>
      </c>
      <c r="E199" s="7" t="n">
        <v>168469</v>
      </c>
      <c r="F199" s="7" t="n">
        <v>220523</v>
      </c>
      <c r="G199" s="7">
        <f>F199-E199</f>
        <v/>
      </c>
      <c r="H199" s="7" t="n">
        <v>210462</v>
      </c>
      <c r="I199" s="7" t="n">
        <v>199999</v>
      </c>
    </row>
    <row r="200" ht="15" customHeight="1" s="5">
      <c r="A200" s="7" t="inlineStr">
        <is>
          <t>PRJ017</t>
        </is>
      </c>
      <c r="B200" s="7" t="inlineStr">
        <is>
          <t>Jul</t>
        </is>
      </c>
      <c r="C200" s="7">
        <f>IFERROR(VLOOKUP(A200,Projects!$A:$AK,21,FALSE())/12,0)</f>
        <v/>
      </c>
      <c r="D200" s="7">
        <f>IFERROR(VLOOKUP(A200,Projects!$A:$AK,22,FALSE())/12,0)</f>
        <v/>
      </c>
      <c r="E200" s="7" t="n">
        <v>299029</v>
      </c>
      <c r="F200" s="7" t="n">
        <v>310618</v>
      </c>
      <c r="G200" s="7">
        <f>F200-E200</f>
        <v/>
      </c>
      <c r="H200" s="7" t="n">
        <v>288576</v>
      </c>
      <c r="I200" s="7" t="n">
        <v>204096</v>
      </c>
    </row>
    <row r="201" ht="15" customHeight="1" s="5">
      <c r="A201" s="7" t="inlineStr">
        <is>
          <t>PRJ017</t>
        </is>
      </c>
      <c r="B201" s="7" t="inlineStr">
        <is>
          <t>Aug</t>
        </is>
      </c>
      <c r="C201" s="7">
        <f>IFERROR(VLOOKUP(A201,Projects!$A:$AK,21,FALSE())/12,0)</f>
        <v/>
      </c>
      <c r="D201" s="7">
        <f>IFERROR(VLOOKUP(A201,Projects!$A:$AK,22,FALSE())/12,0)</f>
        <v/>
      </c>
      <c r="E201" s="7" t="n">
        <v>147579</v>
      </c>
      <c r="F201" s="7" t="n">
        <v>199078</v>
      </c>
      <c r="G201" s="7">
        <f>F201-E201</f>
        <v/>
      </c>
      <c r="H201" s="7" t="n">
        <v>180232</v>
      </c>
      <c r="I201" s="7" t="n">
        <v>169354</v>
      </c>
    </row>
    <row r="202" ht="15" customHeight="1" s="5">
      <c r="A202" s="7" t="inlineStr">
        <is>
          <t>PRJ017</t>
        </is>
      </c>
      <c r="B202" s="7" t="inlineStr">
        <is>
          <t>Sep</t>
        </is>
      </c>
      <c r="C202" s="7">
        <f>IFERROR(VLOOKUP(A202,Projects!$A:$AK,21,FALSE())/12,0)</f>
        <v/>
      </c>
      <c r="D202" s="7">
        <f>IFERROR(VLOOKUP(A202,Projects!$A:$AK,22,FALSE())/12,0)</f>
        <v/>
      </c>
      <c r="E202" s="7" t="n">
        <v>146355</v>
      </c>
      <c r="F202" s="7" t="n">
        <v>224100</v>
      </c>
      <c r="G202" s="7">
        <f>F202-E202</f>
        <v/>
      </c>
      <c r="H202" s="7" t="n">
        <v>201343</v>
      </c>
      <c r="I202" s="7" t="n">
        <v>235653</v>
      </c>
    </row>
    <row r="203" ht="15" customHeight="1" s="5">
      <c r="A203" s="7" t="inlineStr">
        <is>
          <t>PRJ017</t>
        </is>
      </c>
      <c r="B203" s="7" t="inlineStr">
        <is>
          <t>Oct</t>
        </is>
      </c>
      <c r="C203" s="7">
        <f>IFERROR(VLOOKUP(A203,Projects!$A:$AK,21,FALSE())/12,0)</f>
        <v/>
      </c>
      <c r="D203" s="7">
        <f>IFERROR(VLOOKUP(A203,Projects!$A:$AK,22,FALSE())/12,0)</f>
        <v/>
      </c>
      <c r="E203" s="7" t="n">
        <v>133286</v>
      </c>
      <c r="F203" s="7" t="n">
        <v>172495</v>
      </c>
      <c r="G203" s="7">
        <f>F203-E203</f>
        <v/>
      </c>
      <c r="H203" s="7" t="n">
        <v>151410</v>
      </c>
      <c r="I203" s="7" t="n">
        <v>141319</v>
      </c>
    </row>
    <row r="204" ht="15" customHeight="1" s="5">
      <c r="A204" s="7" t="inlineStr">
        <is>
          <t>PRJ017</t>
        </is>
      </c>
      <c r="B204" s="7" t="inlineStr">
        <is>
          <t>Nov</t>
        </is>
      </c>
      <c r="C204" s="7">
        <f>IFERROR(VLOOKUP(A204,Projects!$A:$AK,21,FALSE())/12,0)</f>
        <v/>
      </c>
      <c r="D204" s="7">
        <f>IFERROR(VLOOKUP(A204,Projects!$A:$AK,22,FALSE())/12,0)</f>
        <v/>
      </c>
      <c r="E204" s="7" t="n">
        <v>275542</v>
      </c>
      <c r="F204" s="7" t="n">
        <v>345155</v>
      </c>
      <c r="G204" s="7">
        <f>F204-E204</f>
        <v/>
      </c>
      <c r="H204" s="7" t="n">
        <v>294431</v>
      </c>
      <c r="I204" s="7" t="n">
        <v>313257</v>
      </c>
    </row>
    <row r="205" ht="15" customHeight="1" s="5">
      <c r="A205" s="7" t="inlineStr">
        <is>
          <t>PRJ017</t>
        </is>
      </c>
      <c r="B205" s="7" t="inlineStr">
        <is>
          <t>Dec</t>
        </is>
      </c>
      <c r="C205" s="7">
        <f>IFERROR(VLOOKUP(A205,Projects!$A:$AK,21,FALSE())/12,0)</f>
        <v/>
      </c>
      <c r="D205" s="7">
        <f>IFERROR(VLOOKUP(A205,Projects!$A:$AK,22,FALSE())/12,0)</f>
        <v/>
      </c>
      <c r="E205" s="7" t="n">
        <v>246072</v>
      </c>
      <c r="F205" s="7" t="n">
        <v>285390</v>
      </c>
      <c r="G205" s="7">
        <f>F205-E205</f>
        <v/>
      </c>
      <c r="H205" s="7" t="n">
        <v>279670</v>
      </c>
      <c r="I205" s="7" t="n">
        <v>276724</v>
      </c>
    </row>
    <row r="206" ht="15" customHeight="1" s="5">
      <c r="A206" s="7" t="inlineStr">
        <is>
          <t>PRJ018</t>
        </is>
      </c>
      <c r="B206" s="7" t="inlineStr">
        <is>
          <t>Jan</t>
        </is>
      </c>
      <c r="C206" s="7">
        <f>IFERROR(VLOOKUP(A206,Projects!$A:$AK,21,FALSE())/12,0)</f>
        <v/>
      </c>
      <c r="D206" s="7">
        <f>IFERROR(VLOOKUP(A206,Projects!$A:$AK,22,FALSE())/12,0)</f>
        <v/>
      </c>
      <c r="E206" s="7" t="n">
        <v>87580</v>
      </c>
      <c r="F206" s="7" t="n">
        <v>100155</v>
      </c>
      <c r="G206" s="7">
        <f>F206-E206</f>
        <v/>
      </c>
      <c r="H206" s="7" t="n">
        <v>82380</v>
      </c>
      <c r="I206" s="7" t="n">
        <v>65001</v>
      </c>
    </row>
    <row r="207" ht="15" customHeight="1" s="5">
      <c r="A207" s="7" t="inlineStr">
        <is>
          <t>PRJ018</t>
        </is>
      </c>
      <c r="B207" s="7" t="inlineStr">
        <is>
          <t>Feb</t>
        </is>
      </c>
      <c r="C207" s="7">
        <f>IFERROR(VLOOKUP(A207,Projects!$A:$AK,21,FALSE())/12,0)</f>
        <v/>
      </c>
      <c r="D207" s="7">
        <f>IFERROR(VLOOKUP(A207,Projects!$A:$AK,22,FALSE())/12,0)</f>
        <v/>
      </c>
      <c r="E207" s="7" t="n">
        <v>56321</v>
      </c>
      <c r="F207" s="7" t="n">
        <v>88155</v>
      </c>
      <c r="G207" s="7">
        <f>F207-E207</f>
        <v/>
      </c>
      <c r="H207" s="7" t="n">
        <v>93786</v>
      </c>
      <c r="I207" s="7" t="n">
        <v>85575</v>
      </c>
    </row>
    <row r="208" ht="15" customHeight="1" s="5">
      <c r="A208" s="7" t="inlineStr">
        <is>
          <t>PRJ018</t>
        </is>
      </c>
      <c r="B208" s="7" t="inlineStr">
        <is>
          <t>Mar</t>
        </is>
      </c>
      <c r="C208" s="7">
        <f>IFERROR(VLOOKUP(A208,Projects!$A:$AK,21,FALSE())/12,0)</f>
        <v/>
      </c>
      <c r="D208" s="7">
        <f>IFERROR(VLOOKUP(A208,Projects!$A:$AK,22,FALSE())/12,0)</f>
        <v/>
      </c>
      <c r="E208" s="7" t="n">
        <v>114994</v>
      </c>
      <c r="F208" s="7" t="n">
        <v>132557</v>
      </c>
      <c r="G208" s="7">
        <f>F208-E208</f>
        <v/>
      </c>
      <c r="H208" s="7" t="n">
        <v>121992</v>
      </c>
      <c r="I208" s="7" t="n">
        <v>80794</v>
      </c>
    </row>
    <row r="209" ht="15" customHeight="1" s="5">
      <c r="A209" s="7" t="inlineStr">
        <is>
          <t>PRJ018</t>
        </is>
      </c>
      <c r="B209" s="7" t="inlineStr">
        <is>
          <t>Apr</t>
        </is>
      </c>
      <c r="C209" s="7">
        <f>IFERROR(VLOOKUP(A209,Projects!$A:$AK,21,FALSE())/12,0)</f>
        <v/>
      </c>
      <c r="D209" s="7">
        <f>IFERROR(VLOOKUP(A209,Projects!$A:$AK,22,FALSE())/12,0)</f>
        <v/>
      </c>
      <c r="E209" s="7" t="n">
        <v>102674</v>
      </c>
      <c r="F209" s="7" t="n">
        <v>114194</v>
      </c>
      <c r="G209" s="7">
        <f>F209-E209</f>
        <v/>
      </c>
      <c r="H209" s="7" t="n">
        <v>87978</v>
      </c>
      <c r="I209" s="7" t="n">
        <v>99682</v>
      </c>
    </row>
    <row r="210" ht="15" customHeight="1" s="5">
      <c r="A210" s="7" t="inlineStr">
        <is>
          <t>PRJ018</t>
        </is>
      </c>
      <c r="B210" s="7" t="inlineStr">
        <is>
          <t>May</t>
        </is>
      </c>
      <c r="C210" s="7">
        <f>IFERROR(VLOOKUP(A210,Projects!$A:$AK,21,FALSE())/12,0)</f>
        <v/>
      </c>
      <c r="D210" s="7">
        <f>IFERROR(VLOOKUP(A210,Projects!$A:$AK,22,FALSE())/12,0)</f>
        <v/>
      </c>
      <c r="E210" s="7" t="n">
        <v>96597</v>
      </c>
      <c r="F210" s="7" t="n">
        <v>156884</v>
      </c>
      <c r="G210" s="7">
        <f>F210-E210</f>
        <v/>
      </c>
      <c r="H210" s="7" t="n">
        <v>126760</v>
      </c>
      <c r="I210" s="7" t="n">
        <v>97592</v>
      </c>
    </row>
    <row r="211" ht="15" customHeight="1" s="5">
      <c r="A211" s="7" t="inlineStr">
        <is>
          <t>PRJ018</t>
        </is>
      </c>
      <c r="B211" s="7" t="inlineStr">
        <is>
          <t>Jun</t>
        </is>
      </c>
      <c r="C211" s="7">
        <f>IFERROR(VLOOKUP(A211,Projects!$A:$AK,21,FALSE())/12,0)</f>
        <v/>
      </c>
      <c r="D211" s="7">
        <f>IFERROR(VLOOKUP(A211,Projects!$A:$AK,22,FALSE())/12,0)</f>
        <v/>
      </c>
      <c r="E211" s="7" t="n">
        <v>71031</v>
      </c>
      <c r="F211" s="7" t="n">
        <v>108698</v>
      </c>
      <c r="G211" s="7">
        <f>F211-E211</f>
        <v/>
      </c>
      <c r="H211" s="7" t="n">
        <v>110467</v>
      </c>
      <c r="I211" s="7" t="n">
        <v>102849</v>
      </c>
    </row>
    <row r="212" ht="15" customHeight="1" s="5">
      <c r="A212" s="7" t="inlineStr">
        <is>
          <t>PRJ018</t>
        </is>
      </c>
      <c r="B212" s="7" t="inlineStr">
        <is>
          <t>Jul</t>
        </is>
      </c>
      <c r="C212" s="7">
        <f>IFERROR(VLOOKUP(A212,Projects!$A:$AK,21,FALSE())/12,0)</f>
        <v/>
      </c>
      <c r="D212" s="7">
        <f>IFERROR(VLOOKUP(A212,Projects!$A:$AK,22,FALSE())/12,0)</f>
        <v/>
      </c>
      <c r="E212" s="7" t="n">
        <v>210094</v>
      </c>
      <c r="F212" s="7" t="n">
        <v>217848</v>
      </c>
      <c r="G212" s="7">
        <f>F212-E212</f>
        <v/>
      </c>
      <c r="H212" s="7" t="n">
        <v>195956</v>
      </c>
      <c r="I212" s="7" t="n">
        <v>205888</v>
      </c>
    </row>
    <row r="213" ht="15" customHeight="1" s="5">
      <c r="A213" s="7" t="inlineStr">
        <is>
          <t>PRJ018</t>
        </is>
      </c>
      <c r="B213" s="7" t="inlineStr">
        <is>
          <t>Aug</t>
        </is>
      </c>
      <c r="C213" s="7">
        <f>IFERROR(VLOOKUP(A213,Projects!$A:$AK,21,FALSE())/12,0)</f>
        <v/>
      </c>
      <c r="D213" s="7">
        <f>IFERROR(VLOOKUP(A213,Projects!$A:$AK,22,FALSE())/12,0)</f>
        <v/>
      </c>
      <c r="E213" s="7" t="n">
        <v>168117</v>
      </c>
      <c r="F213" s="7" t="n">
        <v>195870</v>
      </c>
      <c r="G213" s="7">
        <f>F213-E213</f>
        <v/>
      </c>
      <c r="H213" s="7" t="n">
        <v>153178</v>
      </c>
      <c r="I213" s="7" t="n">
        <v>134716</v>
      </c>
    </row>
    <row r="214" ht="15" customHeight="1" s="5">
      <c r="A214" s="7" t="inlineStr">
        <is>
          <t>PRJ018</t>
        </is>
      </c>
      <c r="B214" s="7" t="inlineStr">
        <is>
          <t>Sep</t>
        </is>
      </c>
      <c r="C214" s="7">
        <f>IFERROR(VLOOKUP(A214,Projects!$A:$AK,21,FALSE())/12,0)</f>
        <v/>
      </c>
      <c r="D214" s="7">
        <f>IFERROR(VLOOKUP(A214,Projects!$A:$AK,22,FALSE())/12,0)</f>
        <v/>
      </c>
      <c r="E214" s="7" t="n">
        <v>78442</v>
      </c>
      <c r="F214" s="7" t="n">
        <v>109283</v>
      </c>
      <c r="G214" s="7">
        <f>F214-E214</f>
        <v/>
      </c>
      <c r="H214" s="7" t="n">
        <v>110456</v>
      </c>
      <c r="I214" s="7" t="n">
        <v>118912</v>
      </c>
    </row>
    <row r="215" ht="15" customHeight="1" s="5">
      <c r="A215" s="7" t="inlineStr">
        <is>
          <t>PRJ018</t>
        </is>
      </c>
      <c r="B215" s="7" t="inlineStr">
        <is>
          <t>Oct</t>
        </is>
      </c>
      <c r="C215" s="7">
        <f>IFERROR(VLOOKUP(A215,Projects!$A:$AK,21,FALSE())/12,0)</f>
        <v/>
      </c>
      <c r="D215" s="7">
        <f>IFERROR(VLOOKUP(A215,Projects!$A:$AK,22,FALSE())/12,0)</f>
        <v/>
      </c>
      <c r="E215" s="7" t="n">
        <v>106626</v>
      </c>
      <c r="F215" s="7" t="n">
        <v>160229</v>
      </c>
      <c r="G215" s="7">
        <f>F215-E215</f>
        <v/>
      </c>
      <c r="H215" s="7" t="n">
        <v>127087</v>
      </c>
      <c r="I215" s="7" t="n">
        <v>84962</v>
      </c>
    </row>
    <row r="216" ht="15" customHeight="1" s="5">
      <c r="A216" s="7" t="inlineStr">
        <is>
          <t>PRJ018</t>
        </is>
      </c>
      <c r="B216" s="7" t="inlineStr">
        <is>
          <t>Nov</t>
        </is>
      </c>
      <c r="C216" s="7">
        <f>IFERROR(VLOOKUP(A216,Projects!$A:$AK,21,FALSE())/12,0)</f>
        <v/>
      </c>
      <c r="D216" s="7">
        <f>IFERROR(VLOOKUP(A216,Projects!$A:$AK,22,FALSE())/12,0)</f>
        <v/>
      </c>
      <c r="E216" s="7" t="n">
        <v>99270</v>
      </c>
      <c r="F216" s="7" t="n">
        <v>164054</v>
      </c>
      <c r="G216" s="7">
        <f>F216-E216</f>
        <v/>
      </c>
      <c r="H216" s="7" t="n">
        <v>148053</v>
      </c>
      <c r="I216" s="7" t="n">
        <v>96798</v>
      </c>
    </row>
    <row r="217" ht="15" customHeight="1" s="5">
      <c r="A217" s="7" t="inlineStr">
        <is>
          <t>PRJ018</t>
        </is>
      </c>
      <c r="B217" s="7" t="inlineStr">
        <is>
          <t>Dec</t>
        </is>
      </c>
      <c r="C217" s="7">
        <f>IFERROR(VLOOKUP(A217,Projects!$A:$AK,21,FALSE())/12,0)</f>
        <v/>
      </c>
      <c r="D217" s="7">
        <f>IFERROR(VLOOKUP(A217,Projects!$A:$AK,22,FALSE())/12,0)</f>
        <v/>
      </c>
      <c r="E217" s="7" t="n">
        <v>137963</v>
      </c>
      <c r="F217" s="7" t="n">
        <v>199560</v>
      </c>
      <c r="G217" s="7">
        <f>F217-E217</f>
        <v/>
      </c>
      <c r="H217" s="7" t="n">
        <v>151647</v>
      </c>
      <c r="I217" s="7" t="n">
        <v>173854</v>
      </c>
    </row>
    <row r="218" ht="15" customHeight="1" s="5">
      <c r="A218" s="7" t="inlineStr">
        <is>
          <t>PRJ019</t>
        </is>
      </c>
      <c r="B218" s="7" t="inlineStr">
        <is>
          <t>Jan</t>
        </is>
      </c>
      <c r="C218" s="7">
        <f>IFERROR(VLOOKUP(A218,Projects!$A:$AK,21,FALSE())/12,0)</f>
        <v/>
      </c>
      <c r="D218" s="7">
        <f>IFERROR(VLOOKUP(A218,Projects!$A:$AK,22,FALSE())/12,0)</f>
        <v/>
      </c>
      <c r="E218" s="7" t="n">
        <v>43777</v>
      </c>
      <c r="F218" s="7" t="n">
        <v>48952</v>
      </c>
      <c r="G218" s="7">
        <f>F218-E218</f>
        <v/>
      </c>
      <c r="H218" s="7" t="n">
        <v>48806</v>
      </c>
      <c r="I218" s="7" t="n">
        <v>48910</v>
      </c>
    </row>
    <row r="219" ht="15" customHeight="1" s="5">
      <c r="A219" s="7" t="inlineStr">
        <is>
          <t>PRJ019</t>
        </is>
      </c>
      <c r="B219" s="7" t="inlineStr">
        <is>
          <t>Feb</t>
        </is>
      </c>
      <c r="C219" s="7">
        <f>IFERROR(VLOOKUP(A219,Projects!$A:$AK,21,FALSE())/12,0)</f>
        <v/>
      </c>
      <c r="D219" s="7">
        <f>IFERROR(VLOOKUP(A219,Projects!$A:$AK,22,FALSE())/12,0)</f>
        <v/>
      </c>
      <c r="E219" s="7" t="n">
        <v>21357</v>
      </c>
      <c r="F219" s="7" t="n">
        <v>31074</v>
      </c>
      <c r="G219" s="7">
        <f>F219-E219</f>
        <v/>
      </c>
      <c r="H219" s="7" t="n">
        <v>24490</v>
      </c>
      <c r="I219" s="7" t="n">
        <v>18936</v>
      </c>
    </row>
    <row r="220" ht="15" customHeight="1" s="5">
      <c r="A220" s="7" t="inlineStr">
        <is>
          <t>PRJ019</t>
        </is>
      </c>
      <c r="B220" s="7" t="inlineStr">
        <is>
          <t>Mar</t>
        </is>
      </c>
      <c r="C220" s="7">
        <f>IFERROR(VLOOKUP(A220,Projects!$A:$AK,21,FALSE())/12,0)</f>
        <v/>
      </c>
      <c r="D220" s="7">
        <f>IFERROR(VLOOKUP(A220,Projects!$A:$AK,22,FALSE())/12,0)</f>
        <v/>
      </c>
      <c r="E220" s="7" t="n">
        <v>53075</v>
      </c>
      <c r="F220" s="7" t="n">
        <v>60010</v>
      </c>
      <c r="G220" s="7">
        <f>F220-E220</f>
        <v/>
      </c>
      <c r="H220" s="7" t="n">
        <v>54279</v>
      </c>
      <c r="I220" s="7" t="n">
        <v>46517</v>
      </c>
    </row>
    <row r="221" ht="15" customHeight="1" s="5">
      <c r="A221" s="7" t="inlineStr">
        <is>
          <t>PRJ019</t>
        </is>
      </c>
      <c r="B221" s="7" t="inlineStr">
        <is>
          <t>Apr</t>
        </is>
      </c>
      <c r="C221" s="7">
        <f>IFERROR(VLOOKUP(A221,Projects!$A:$AK,21,FALSE())/12,0)</f>
        <v/>
      </c>
      <c r="D221" s="7">
        <f>IFERROR(VLOOKUP(A221,Projects!$A:$AK,22,FALSE())/12,0)</f>
        <v/>
      </c>
      <c r="E221" s="7" t="n">
        <v>24401</v>
      </c>
      <c r="F221" s="7" t="n">
        <v>27423</v>
      </c>
      <c r="G221" s="7">
        <f>F221-E221</f>
        <v/>
      </c>
      <c r="H221" s="7" t="n">
        <v>26726</v>
      </c>
      <c r="I221" s="7" t="n">
        <v>25700</v>
      </c>
    </row>
    <row r="222" ht="15" customHeight="1" s="5">
      <c r="A222" s="7" t="inlineStr">
        <is>
          <t>PRJ019</t>
        </is>
      </c>
      <c r="B222" s="7" t="inlineStr">
        <is>
          <t>May</t>
        </is>
      </c>
      <c r="C222" s="7">
        <f>IFERROR(VLOOKUP(A222,Projects!$A:$AK,21,FALSE())/12,0)</f>
        <v/>
      </c>
      <c r="D222" s="7">
        <f>IFERROR(VLOOKUP(A222,Projects!$A:$AK,22,FALSE())/12,0)</f>
        <v/>
      </c>
      <c r="E222" s="7" t="n">
        <v>58490</v>
      </c>
      <c r="F222" s="7" t="n">
        <v>60461</v>
      </c>
      <c r="G222" s="7">
        <f>F222-E222</f>
        <v/>
      </c>
      <c r="H222" s="7" t="n">
        <v>45844</v>
      </c>
      <c r="I222" s="7" t="n">
        <v>36889</v>
      </c>
    </row>
    <row r="223" ht="15" customHeight="1" s="5">
      <c r="A223" s="7" t="inlineStr">
        <is>
          <t>PRJ019</t>
        </is>
      </c>
      <c r="B223" s="7" t="inlineStr">
        <is>
          <t>Jun</t>
        </is>
      </c>
      <c r="C223" s="7">
        <f>IFERROR(VLOOKUP(A223,Projects!$A:$AK,21,FALSE())/12,0)</f>
        <v/>
      </c>
      <c r="D223" s="7">
        <f>IFERROR(VLOOKUP(A223,Projects!$A:$AK,22,FALSE())/12,0)</f>
        <v/>
      </c>
      <c r="E223" s="7" t="n">
        <v>39976</v>
      </c>
      <c r="F223" s="7" t="n">
        <v>40774</v>
      </c>
      <c r="G223" s="7">
        <f>F223-E223</f>
        <v/>
      </c>
      <c r="H223" s="7" t="n">
        <v>36318</v>
      </c>
      <c r="I223" s="7" t="n">
        <v>32032</v>
      </c>
    </row>
    <row r="224" ht="15" customHeight="1" s="5">
      <c r="A224" s="7" t="inlineStr">
        <is>
          <t>PRJ019</t>
        </is>
      </c>
      <c r="B224" s="7" t="inlineStr">
        <is>
          <t>Jul</t>
        </is>
      </c>
      <c r="C224" s="7">
        <f>IFERROR(VLOOKUP(A224,Projects!$A:$AK,21,FALSE())/12,0)</f>
        <v/>
      </c>
      <c r="D224" s="7">
        <f>IFERROR(VLOOKUP(A224,Projects!$A:$AK,22,FALSE())/12,0)</f>
        <v/>
      </c>
      <c r="E224" s="7" t="n">
        <v>27549</v>
      </c>
      <c r="F224" s="7" t="n">
        <v>45853</v>
      </c>
      <c r="G224" s="7">
        <f>F224-E224</f>
        <v/>
      </c>
      <c r="H224" s="7" t="n">
        <v>37658</v>
      </c>
      <c r="I224" s="7" t="n">
        <v>31421</v>
      </c>
    </row>
    <row r="225" ht="15" customHeight="1" s="5">
      <c r="A225" s="7" t="inlineStr">
        <is>
          <t>PRJ019</t>
        </is>
      </c>
      <c r="B225" s="7" t="inlineStr">
        <is>
          <t>Aug</t>
        </is>
      </c>
      <c r="C225" s="7">
        <f>IFERROR(VLOOKUP(A225,Projects!$A:$AK,21,FALSE())/12,0)</f>
        <v/>
      </c>
      <c r="D225" s="7">
        <f>IFERROR(VLOOKUP(A225,Projects!$A:$AK,22,FALSE())/12,0)</f>
        <v/>
      </c>
      <c r="E225" s="7" t="n">
        <v>30488</v>
      </c>
      <c r="F225" s="7" t="n">
        <v>45178</v>
      </c>
      <c r="G225" s="7">
        <f>F225-E225</f>
        <v/>
      </c>
      <c r="H225" s="7" t="n">
        <v>37391</v>
      </c>
      <c r="I225" s="7" t="n">
        <v>36527</v>
      </c>
    </row>
    <row r="226" ht="15" customHeight="1" s="5">
      <c r="A226" s="7" t="inlineStr">
        <is>
          <t>PRJ019</t>
        </is>
      </c>
      <c r="B226" s="7" t="inlineStr">
        <is>
          <t>Sep</t>
        </is>
      </c>
      <c r="C226" s="7">
        <f>IFERROR(VLOOKUP(A226,Projects!$A:$AK,21,FALSE())/12,0)</f>
        <v/>
      </c>
      <c r="D226" s="7">
        <f>IFERROR(VLOOKUP(A226,Projects!$A:$AK,22,FALSE())/12,0)</f>
        <v/>
      </c>
      <c r="E226" s="7" t="n">
        <v>24753</v>
      </c>
      <c r="F226" s="7" t="n">
        <v>35062</v>
      </c>
      <c r="G226" s="7">
        <f>F226-E226</f>
        <v/>
      </c>
      <c r="H226" s="7" t="n">
        <v>31782</v>
      </c>
      <c r="I226" s="7" t="n">
        <v>25711</v>
      </c>
    </row>
    <row r="227" ht="15" customHeight="1" s="5">
      <c r="A227" s="7" t="inlineStr">
        <is>
          <t>PRJ019</t>
        </is>
      </c>
      <c r="B227" s="7" t="inlineStr">
        <is>
          <t>Oct</t>
        </is>
      </c>
      <c r="C227" s="7">
        <f>IFERROR(VLOOKUP(A227,Projects!$A:$AK,21,FALSE())/12,0)</f>
        <v/>
      </c>
      <c r="D227" s="7">
        <f>IFERROR(VLOOKUP(A227,Projects!$A:$AK,22,FALSE())/12,0)</f>
        <v/>
      </c>
      <c r="E227" s="7" t="n">
        <v>37025</v>
      </c>
      <c r="F227" s="7" t="n">
        <v>38689</v>
      </c>
      <c r="G227" s="7">
        <f>F227-E227</f>
        <v/>
      </c>
      <c r="H227" s="7" t="n">
        <v>37824</v>
      </c>
      <c r="I227" s="7" t="n">
        <v>27733</v>
      </c>
    </row>
    <row r="228" ht="15" customHeight="1" s="5">
      <c r="A228" s="7" t="inlineStr">
        <is>
          <t>PRJ019</t>
        </is>
      </c>
      <c r="B228" s="7" t="inlineStr">
        <is>
          <t>Nov</t>
        </is>
      </c>
      <c r="C228" s="7">
        <f>IFERROR(VLOOKUP(A228,Projects!$A:$AK,21,FALSE())/12,0)</f>
        <v/>
      </c>
      <c r="D228" s="7">
        <f>IFERROR(VLOOKUP(A228,Projects!$A:$AK,22,FALSE())/12,0)</f>
        <v/>
      </c>
      <c r="E228" s="7" t="n">
        <v>24789</v>
      </c>
      <c r="F228" s="7" t="n">
        <v>26721</v>
      </c>
      <c r="G228" s="7">
        <f>F228-E228</f>
        <v/>
      </c>
      <c r="H228" s="7" t="n">
        <v>22891</v>
      </c>
      <c r="I228" s="7" t="n">
        <v>19765</v>
      </c>
    </row>
    <row r="229" ht="15" customHeight="1" s="5">
      <c r="A229" s="7" t="inlineStr">
        <is>
          <t>PRJ019</t>
        </is>
      </c>
      <c r="B229" s="7" t="inlineStr">
        <is>
          <t>Dec</t>
        </is>
      </c>
      <c r="C229" s="7">
        <f>IFERROR(VLOOKUP(A229,Projects!$A:$AK,21,FALSE())/12,0)</f>
        <v/>
      </c>
      <c r="D229" s="7">
        <f>IFERROR(VLOOKUP(A229,Projects!$A:$AK,22,FALSE())/12,0)</f>
        <v/>
      </c>
      <c r="E229" s="7" t="n">
        <v>25748</v>
      </c>
      <c r="F229" s="7" t="n">
        <v>30504</v>
      </c>
      <c r="G229" s="7">
        <f>F229-E229</f>
        <v/>
      </c>
      <c r="H229" s="7" t="n">
        <v>32308</v>
      </c>
      <c r="I229" s="7" t="n">
        <v>21493</v>
      </c>
    </row>
    <row r="230" ht="15" customHeight="1" s="5">
      <c r="A230" s="7" t="inlineStr">
        <is>
          <t>PRJ020</t>
        </is>
      </c>
      <c r="B230" s="7" t="inlineStr">
        <is>
          <t>Jan</t>
        </is>
      </c>
      <c r="C230" s="7">
        <f>IFERROR(VLOOKUP(A230,Projects!$A:$AK,21,FALSE())/12,0)</f>
        <v/>
      </c>
      <c r="D230" s="7">
        <f>IFERROR(VLOOKUP(A230,Projects!$A:$AK,22,FALSE())/12,0)</f>
        <v/>
      </c>
      <c r="E230" s="7" t="n">
        <v>292638</v>
      </c>
      <c r="F230" s="7" t="n">
        <v>395633</v>
      </c>
      <c r="G230" s="7">
        <f>F230-E230</f>
        <v/>
      </c>
      <c r="H230" s="7" t="n">
        <v>333988</v>
      </c>
      <c r="I230" s="7" t="n">
        <v>277831</v>
      </c>
    </row>
    <row r="231" ht="15" customHeight="1" s="5">
      <c r="A231" s="7" t="inlineStr">
        <is>
          <t>PRJ020</t>
        </is>
      </c>
      <c r="B231" s="7" t="inlineStr">
        <is>
          <t>Feb</t>
        </is>
      </c>
      <c r="C231" s="7">
        <f>IFERROR(VLOOKUP(A231,Projects!$A:$AK,21,FALSE())/12,0)</f>
        <v/>
      </c>
      <c r="D231" s="7">
        <f>IFERROR(VLOOKUP(A231,Projects!$A:$AK,22,FALSE())/12,0)</f>
        <v/>
      </c>
      <c r="E231" s="7" t="n">
        <v>269942</v>
      </c>
      <c r="F231" s="7" t="n">
        <v>374503</v>
      </c>
      <c r="G231" s="7">
        <f>F231-E231</f>
        <v/>
      </c>
      <c r="H231" s="7" t="n">
        <v>328806</v>
      </c>
      <c r="I231" s="7" t="n">
        <v>273305</v>
      </c>
    </row>
    <row r="232" ht="15" customHeight="1" s="5">
      <c r="A232" s="7" t="inlineStr">
        <is>
          <t>PRJ020</t>
        </is>
      </c>
      <c r="B232" s="7" t="inlineStr">
        <is>
          <t>Mar</t>
        </is>
      </c>
      <c r="C232" s="7">
        <f>IFERROR(VLOOKUP(A232,Projects!$A:$AK,21,FALSE())/12,0)</f>
        <v/>
      </c>
      <c r="D232" s="7">
        <f>IFERROR(VLOOKUP(A232,Projects!$A:$AK,22,FALSE())/12,0)</f>
        <v/>
      </c>
      <c r="E232" s="7" t="n">
        <v>312831</v>
      </c>
      <c r="F232" s="7" t="n">
        <v>316629</v>
      </c>
      <c r="G232" s="7">
        <f>F232-E232</f>
        <v/>
      </c>
      <c r="H232" s="7" t="n">
        <v>287685</v>
      </c>
      <c r="I232" s="7" t="n">
        <v>242315</v>
      </c>
    </row>
    <row r="233" ht="15" customHeight="1" s="5">
      <c r="A233" s="7" t="inlineStr">
        <is>
          <t>PRJ020</t>
        </is>
      </c>
      <c r="B233" s="7" t="inlineStr">
        <is>
          <t>Apr</t>
        </is>
      </c>
      <c r="C233" s="7">
        <f>IFERROR(VLOOKUP(A233,Projects!$A:$AK,21,FALSE())/12,0)</f>
        <v/>
      </c>
      <c r="D233" s="7">
        <f>IFERROR(VLOOKUP(A233,Projects!$A:$AK,22,FALSE())/12,0)</f>
        <v/>
      </c>
      <c r="E233" s="7" t="n">
        <v>215707</v>
      </c>
      <c r="F233" s="7" t="n">
        <v>277658</v>
      </c>
      <c r="G233" s="7">
        <f>F233-E233</f>
        <v/>
      </c>
      <c r="H233" s="7" t="n">
        <v>208690</v>
      </c>
      <c r="I233" s="7" t="n">
        <v>148988</v>
      </c>
    </row>
    <row r="234" ht="15" customHeight="1" s="5">
      <c r="A234" s="7" t="inlineStr">
        <is>
          <t>PRJ020</t>
        </is>
      </c>
      <c r="B234" s="7" t="inlineStr">
        <is>
          <t>May</t>
        </is>
      </c>
      <c r="C234" s="7">
        <f>IFERROR(VLOOKUP(A234,Projects!$A:$AK,21,FALSE())/12,0)</f>
        <v/>
      </c>
      <c r="D234" s="7">
        <f>IFERROR(VLOOKUP(A234,Projects!$A:$AK,22,FALSE())/12,0)</f>
        <v/>
      </c>
      <c r="E234" s="7" t="n">
        <v>243027</v>
      </c>
      <c r="F234" s="7" t="n">
        <v>213407</v>
      </c>
      <c r="G234" s="7">
        <f>F234-E234</f>
        <v/>
      </c>
      <c r="H234" s="7" t="n">
        <v>205642</v>
      </c>
      <c r="I234" s="7" t="n">
        <v>193165</v>
      </c>
    </row>
    <row r="235" ht="15" customHeight="1" s="5">
      <c r="A235" s="7" t="inlineStr">
        <is>
          <t>PRJ020</t>
        </is>
      </c>
      <c r="B235" s="7" t="inlineStr">
        <is>
          <t>Jun</t>
        </is>
      </c>
      <c r="C235" s="7">
        <f>IFERROR(VLOOKUP(A235,Projects!$A:$AK,21,FALSE())/12,0)</f>
        <v/>
      </c>
      <c r="D235" s="7">
        <f>IFERROR(VLOOKUP(A235,Projects!$A:$AK,22,FALSE())/12,0)</f>
        <v/>
      </c>
      <c r="E235" s="7" t="n">
        <v>180457</v>
      </c>
      <c r="F235" s="7" t="n">
        <v>247934</v>
      </c>
      <c r="G235" s="7">
        <f>F235-E235</f>
        <v/>
      </c>
      <c r="H235" s="7" t="n">
        <v>208294</v>
      </c>
      <c r="I235" s="7" t="n">
        <v>207624</v>
      </c>
    </row>
    <row r="236" ht="15" customHeight="1" s="5">
      <c r="A236" s="7" t="inlineStr">
        <is>
          <t>PRJ020</t>
        </is>
      </c>
      <c r="B236" s="7" t="inlineStr">
        <is>
          <t>Jul</t>
        </is>
      </c>
      <c r="C236" s="7">
        <f>IFERROR(VLOOKUP(A236,Projects!$A:$AK,21,FALSE())/12,0)</f>
        <v/>
      </c>
      <c r="D236" s="7">
        <f>IFERROR(VLOOKUP(A236,Projects!$A:$AK,22,FALSE())/12,0)</f>
        <v/>
      </c>
      <c r="E236" s="7" t="n">
        <v>279374</v>
      </c>
      <c r="F236" s="7" t="n">
        <v>397649</v>
      </c>
      <c r="G236" s="7">
        <f>F236-E236</f>
        <v/>
      </c>
      <c r="H236" s="7" t="n">
        <v>311589</v>
      </c>
      <c r="I236" s="7" t="n">
        <v>250720</v>
      </c>
    </row>
    <row r="237" ht="15" customHeight="1" s="5">
      <c r="A237" s="7" t="inlineStr">
        <is>
          <t>PRJ020</t>
        </is>
      </c>
      <c r="B237" s="7" t="inlineStr">
        <is>
          <t>Aug</t>
        </is>
      </c>
      <c r="C237" s="7">
        <f>IFERROR(VLOOKUP(A237,Projects!$A:$AK,21,FALSE())/12,0)</f>
        <v/>
      </c>
      <c r="D237" s="7">
        <f>IFERROR(VLOOKUP(A237,Projects!$A:$AK,22,FALSE())/12,0)</f>
        <v/>
      </c>
      <c r="E237" s="7" t="n">
        <v>324317</v>
      </c>
      <c r="F237" s="7" t="n">
        <v>369396</v>
      </c>
      <c r="G237" s="7">
        <f>F237-E237</f>
        <v/>
      </c>
      <c r="H237" s="7" t="n">
        <v>343494</v>
      </c>
      <c r="I237" s="7" t="n">
        <v>222627</v>
      </c>
    </row>
    <row r="238" ht="15" customHeight="1" s="5">
      <c r="A238" s="7" t="inlineStr">
        <is>
          <t>PRJ020</t>
        </is>
      </c>
      <c r="B238" s="7" t="inlineStr">
        <is>
          <t>Sep</t>
        </is>
      </c>
      <c r="C238" s="7">
        <f>IFERROR(VLOOKUP(A238,Projects!$A:$AK,21,FALSE())/12,0)</f>
        <v/>
      </c>
      <c r="D238" s="7">
        <f>IFERROR(VLOOKUP(A238,Projects!$A:$AK,22,FALSE())/12,0)</f>
        <v/>
      </c>
      <c r="E238" s="7" t="n">
        <v>149426</v>
      </c>
      <c r="F238" s="7" t="n">
        <v>191667</v>
      </c>
      <c r="G238" s="7">
        <f>F238-E238</f>
        <v/>
      </c>
      <c r="H238" s="7" t="n">
        <v>168154</v>
      </c>
      <c r="I238" s="7" t="n">
        <v>169013</v>
      </c>
    </row>
    <row r="239" ht="15" customHeight="1" s="5">
      <c r="A239" s="7" t="inlineStr">
        <is>
          <t>PRJ020</t>
        </is>
      </c>
      <c r="B239" s="7" t="inlineStr">
        <is>
          <t>Oct</t>
        </is>
      </c>
      <c r="C239" s="7">
        <f>IFERROR(VLOOKUP(A239,Projects!$A:$AK,21,FALSE())/12,0)</f>
        <v/>
      </c>
      <c r="D239" s="7">
        <f>IFERROR(VLOOKUP(A239,Projects!$A:$AK,22,FALSE())/12,0)</f>
        <v/>
      </c>
      <c r="E239" s="7" t="n">
        <v>242533</v>
      </c>
      <c r="F239" s="7" t="n">
        <v>232984</v>
      </c>
      <c r="G239" s="7">
        <f>F239-E239</f>
        <v/>
      </c>
      <c r="H239" s="7" t="n">
        <v>215722</v>
      </c>
      <c r="I239" s="7" t="n">
        <v>231906</v>
      </c>
    </row>
    <row r="240" ht="15" customHeight="1" s="5">
      <c r="A240" s="7" t="inlineStr">
        <is>
          <t>PRJ020</t>
        </is>
      </c>
      <c r="B240" s="7" t="inlineStr">
        <is>
          <t>Nov</t>
        </is>
      </c>
      <c r="C240" s="7">
        <f>IFERROR(VLOOKUP(A240,Projects!$A:$AK,21,FALSE())/12,0)</f>
        <v/>
      </c>
      <c r="D240" s="7">
        <f>IFERROR(VLOOKUP(A240,Projects!$A:$AK,22,FALSE())/12,0)</f>
        <v/>
      </c>
      <c r="E240" s="7" t="n">
        <v>154904</v>
      </c>
      <c r="F240" s="7" t="n">
        <v>274053</v>
      </c>
      <c r="G240" s="7">
        <f>F240-E240</f>
        <v/>
      </c>
      <c r="H240" s="7" t="n">
        <v>236175</v>
      </c>
      <c r="I240" s="7" t="n">
        <v>247262</v>
      </c>
    </row>
    <row r="241" ht="15" customHeight="1" s="5">
      <c r="A241" s="7" t="inlineStr">
        <is>
          <t>PRJ020</t>
        </is>
      </c>
      <c r="B241" s="7" t="inlineStr">
        <is>
          <t>Dec</t>
        </is>
      </c>
      <c r="C241" s="7">
        <f>IFERROR(VLOOKUP(A241,Projects!$A:$AK,21,FALSE())/12,0)</f>
        <v/>
      </c>
      <c r="D241" s="7">
        <f>IFERROR(VLOOKUP(A241,Projects!$A:$AK,22,FALSE())/12,0)</f>
        <v/>
      </c>
      <c r="E241" s="7" t="n">
        <v>214756</v>
      </c>
      <c r="F241" s="7" t="n">
        <v>290891</v>
      </c>
      <c r="G241" s="7">
        <f>F241-E241</f>
        <v/>
      </c>
      <c r="H241" s="7" t="n">
        <v>255386</v>
      </c>
      <c r="I241" s="7" t="n">
        <v>298974</v>
      </c>
    </row>
    <row r="242" ht="15" customHeight="1" s="5">
      <c r="A242" s="7" t="inlineStr">
        <is>
          <t>PRJ021</t>
        </is>
      </c>
      <c r="B242" s="7" t="inlineStr">
        <is>
          <t>Jan</t>
        </is>
      </c>
      <c r="C242" s="7">
        <f>IFERROR(VLOOKUP(A242,Projects!$A:$AK,21,FALSE())/12,0)</f>
        <v/>
      </c>
      <c r="D242" s="7">
        <f>IFERROR(VLOOKUP(A242,Projects!$A:$AK,22,FALSE())/12,0)</f>
        <v/>
      </c>
      <c r="E242" s="7" t="n">
        <v>231329</v>
      </c>
      <c r="F242" s="7" t="n">
        <v>316137</v>
      </c>
      <c r="G242" s="7">
        <f>F242-E242</f>
        <v/>
      </c>
      <c r="H242" s="7" t="n">
        <v>236585</v>
      </c>
      <c r="I242" s="7" t="n">
        <v>204234</v>
      </c>
    </row>
    <row r="243" ht="15" customHeight="1" s="5">
      <c r="A243" s="7" t="inlineStr">
        <is>
          <t>PRJ021</t>
        </is>
      </c>
      <c r="B243" s="7" t="inlineStr">
        <is>
          <t>Feb</t>
        </is>
      </c>
      <c r="C243" s="7">
        <f>IFERROR(VLOOKUP(A243,Projects!$A:$AK,21,FALSE())/12,0)</f>
        <v/>
      </c>
      <c r="D243" s="7">
        <f>IFERROR(VLOOKUP(A243,Projects!$A:$AK,22,FALSE())/12,0)</f>
        <v/>
      </c>
      <c r="E243" s="7" t="n">
        <v>276808</v>
      </c>
      <c r="F243" s="7" t="n">
        <v>259448</v>
      </c>
      <c r="G243" s="7">
        <f>F243-E243</f>
        <v/>
      </c>
      <c r="H243" s="7" t="n">
        <v>225505</v>
      </c>
      <c r="I243" s="7" t="n">
        <v>189453</v>
      </c>
    </row>
    <row r="244" ht="15" customHeight="1" s="5">
      <c r="A244" s="7" t="inlineStr">
        <is>
          <t>PRJ021</t>
        </is>
      </c>
      <c r="B244" s="7" t="inlineStr">
        <is>
          <t>Mar</t>
        </is>
      </c>
      <c r="C244" s="7">
        <f>IFERROR(VLOOKUP(A244,Projects!$A:$AK,21,FALSE())/12,0)</f>
        <v/>
      </c>
      <c r="D244" s="7">
        <f>IFERROR(VLOOKUP(A244,Projects!$A:$AK,22,FALSE())/12,0)</f>
        <v/>
      </c>
      <c r="E244" s="7" t="n">
        <v>324109</v>
      </c>
      <c r="F244" s="7" t="n">
        <v>288458</v>
      </c>
      <c r="G244" s="7">
        <f>F244-E244</f>
        <v/>
      </c>
      <c r="H244" s="7" t="n">
        <v>296588</v>
      </c>
      <c r="I244" s="7" t="n">
        <v>300225</v>
      </c>
    </row>
    <row r="245" ht="15" customHeight="1" s="5">
      <c r="A245" s="7" t="inlineStr">
        <is>
          <t>PRJ021</t>
        </is>
      </c>
      <c r="B245" s="7" t="inlineStr">
        <is>
          <t>Apr</t>
        </is>
      </c>
      <c r="C245" s="7">
        <f>IFERROR(VLOOKUP(A245,Projects!$A:$AK,21,FALSE())/12,0)</f>
        <v/>
      </c>
      <c r="D245" s="7">
        <f>IFERROR(VLOOKUP(A245,Projects!$A:$AK,22,FALSE())/12,0)</f>
        <v/>
      </c>
      <c r="E245" s="7" t="n">
        <v>310411</v>
      </c>
      <c r="F245" s="7" t="n">
        <v>295470</v>
      </c>
      <c r="G245" s="7">
        <f>F245-E245</f>
        <v/>
      </c>
      <c r="H245" s="7" t="n">
        <v>243902</v>
      </c>
      <c r="I245" s="7" t="n">
        <v>222053</v>
      </c>
    </row>
    <row r="246" ht="15" customHeight="1" s="5">
      <c r="A246" s="7" t="inlineStr">
        <is>
          <t>PRJ021</t>
        </is>
      </c>
      <c r="B246" s="7" t="inlineStr">
        <is>
          <t>May</t>
        </is>
      </c>
      <c r="C246" s="7">
        <f>IFERROR(VLOOKUP(A246,Projects!$A:$AK,21,FALSE())/12,0)</f>
        <v/>
      </c>
      <c r="D246" s="7">
        <f>IFERROR(VLOOKUP(A246,Projects!$A:$AK,22,FALSE())/12,0)</f>
        <v/>
      </c>
      <c r="E246" s="7" t="n">
        <v>311937</v>
      </c>
      <c r="F246" s="7" t="n">
        <v>475435</v>
      </c>
      <c r="G246" s="7">
        <f>F246-E246</f>
        <v/>
      </c>
      <c r="H246" s="7" t="n">
        <v>419625</v>
      </c>
      <c r="I246" s="7" t="n">
        <v>387064</v>
      </c>
    </row>
    <row r="247" ht="15" customHeight="1" s="5">
      <c r="A247" s="7" t="inlineStr">
        <is>
          <t>PRJ021</t>
        </is>
      </c>
      <c r="B247" s="7" t="inlineStr">
        <is>
          <t>Jun</t>
        </is>
      </c>
      <c r="C247" s="7">
        <f>IFERROR(VLOOKUP(A247,Projects!$A:$AK,21,FALSE())/12,0)</f>
        <v/>
      </c>
      <c r="D247" s="7">
        <f>IFERROR(VLOOKUP(A247,Projects!$A:$AK,22,FALSE())/12,0)</f>
        <v/>
      </c>
      <c r="E247" s="7" t="n">
        <v>316401</v>
      </c>
      <c r="F247" s="7" t="n">
        <v>336233</v>
      </c>
      <c r="G247" s="7">
        <f>F247-E247</f>
        <v/>
      </c>
      <c r="H247" s="7" t="n">
        <v>299087</v>
      </c>
      <c r="I247" s="7" t="n">
        <v>280660</v>
      </c>
    </row>
    <row r="248" ht="15" customHeight="1" s="5">
      <c r="A248" s="7" t="inlineStr">
        <is>
          <t>PRJ021</t>
        </is>
      </c>
      <c r="B248" s="7" t="inlineStr">
        <is>
          <t>Jul</t>
        </is>
      </c>
      <c r="C248" s="7">
        <f>IFERROR(VLOOKUP(A248,Projects!$A:$AK,21,FALSE())/12,0)</f>
        <v/>
      </c>
      <c r="D248" s="7">
        <f>IFERROR(VLOOKUP(A248,Projects!$A:$AK,22,FALSE())/12,0)</f>
        <v/>
      </c>
      <c r="E248" s="7" t="n">
        <v>305193</v>
      </c>
      <c r="F248" s="7" t="n">
        <v>376165</v>
      </c>
      <c r="G248" s="7">
        <f>F248-E248</f>
        <v/>
      </c>
      <c r="H248" s="7" t="n">
        <v>335531</v>
      </c>
      <c r="I248" s="7" t="n">
        <v>233911</v>
      </c>
    </row>
    <row r="249" ht="15" customHeight="1" s="5">
      <c r="A249" s="7" t="inlineStr">
        <is>
          <t>PRJ021</t>
        </is>
      </c>
      <c r="B249" s="7" t="inlineStr">
        <is>
          <t>Aug</t>
        </is>
      </c>
      <c r="C249" s="7">
        <f>IFERROR(VLOOKUP(A249,Projects!$A:$AK,21,FALSE())/12,0)</f>
        <v/>
      </c>
      <c r="D249" s="7">
        <f>IFERROR(VLOOKUP(A249,Projects!$A:$AK,22,FALSE())/12,0)</f>
        <v/>
      </c>
      <c r="E249" s="7" t="n">
        <v>334815</v>
      </c>
      <c r="F249" s="7" t="n">
        <v>441233</v>
      </c>
      <c r="G249" s="7">
        <f>F249-E249</f>
        <v/>
      </c>
      <c r="H249" s="7" t="n">
        <v>347705</v>
      </c>
      <c r="I249" s="7" t="n">
        <v>420213</v>
      </c>
    </row>
    <row r="250" ht="15" customHeight="1" s="5">
      <c r="A250" s="7" t="inlineStr">
        <is>
          <t>PRJ021</t>
        </is>
      </c>
      <c r="B250" s="7" t="inlineStr">
        <is>
          <t>Sep</t>
        </is>
      </c>
      <c r="C250" s="7">
        <f>IFERROR(VLOOKUP(A250,Projects!$A:$AK,21,FALSE())/12,0)</f>
        <v/>
      </c>
      <c r="D250" s="7">
        <f>IFERROR(VLOOKUP(A250,Projects!$A:$AK,22,FALSE())/12,0)</f>
        <v/>
      </c>
      <c r="E250" s="7" t="n">
        <v>257203</v>
      </c>
      <c r="F250" s="7" t="n">
        <v>428671</v>
      </c>
      <c r="G250" s="7">
        <f>F250-E250</f>
        <v/>
      </c>
      <c r="H250" s="7" t="n">
        <v>365271</v>
      </c>
      <c r="I250" s="7" t="n">
        <v>294607</v>
      </c>
    </row>
    <row r="251" ht="15" customHeight="1" s="5">
      <c r="A251" s="7" t="inlineStr">
        <is>
          <t>PRJ021</t>
        </is>
      </c>
      <c r="B251" s="7" t="inlineStr">
        <is>
          <t>Oct</t>
        </is>
      </c>
      <c r="C251" s="7">
        <f>IFERROR(VLOOKUP(A251,Projects!$A:$AK,21,FALSE())/12,0)</f>
        <v/>
      </c>
      <c r="D251" s="7">
        <f>IFERROR(VLOOKUP(A251,Projects!$A:$AK,22,FALSE())/12,0)</f>
        <v/>
      </c>
      <c r="E251" s="7" t="n">
        <v>163923</v>
      </c>
      <c r="F251" s="7" t="n">
        <v>211577</v>
      </c>
      <c r="G251" s="7">
        <f>F251-E251</f>
        <v/>
      </c>
      <c r="H251" s="7" t="n">
        <v>178789</v>
      </c>
      <c r="I251" s="7" t="n">
        <v>135332</v>
      </c>
    </row>
    <row r="252" ht="15" customHeight="1" s="5">
      <c r="A252" s="7" t="inlineStr">
        <is>
          <t>PRJ021</t>
        </is>
      </c>
      <c r="B252" s="7" t="inlineStr">
        <is>
          <t>Nov</t>
        </is>
      </c>
      <c r="C252" s="7">
        <f>IFERROR(VLOOKUP(A252,Projects!$A:$AK,21,FALSE())/12,0)</f>
        <v/>
      </c>
      <c r="D252" s="7">
        <f>IFERROR(VLOOKUP(A252,Projects!$A:$AK,22,FALSE())/12,0)</f>
        <v/>
      </c>
      <c r="E252" s="7" t="n">
        <v>291438</v>
      </c>
      <c r="F252" s="7" t="n">
        <v>356642</v>
      </c>
      <c r="G252" s="7">
        <f>F252-E252</f>
        <v/>
      </c>
      <c r="H252" s="7" t="n">
        <v>326620</v>
      </c>
      <c r="I252" s="7" t="n">
        <v>256963</v>
      </c>
    </row>
    <row r="253" ht="15" customHeight="1" s="5">
      <c r="A253" s="7" t="inlineStr">
        <is>
          <t>PRJ021</t>
        </is>
      </c>
      <c r="B253" s="7" t="inlineStr">
        <is>
          <t>Dec</t>
        </is>
      </c>
      <c r="C253" s="7">
        <f>IFERROR(VLOOKUP(A253,Projects!$A:$AK,21,FALSE())/12,0)</f>
        <v/>
      </c>
      <c r="D253" s="7">
        <f>IFERROR(VLOOKUP(A253,Projects!$A:$AK,22,FALSE())/12,0)</f>
        <v/>
      </c>
      <c r="E253" s="7" t="n">
        <v>430250</v>
      </c>
      <c r="F253" s="7" t="n">
        <v>459128</v>
      </c>
      <c r="G253" s="7">
        <f>F253-E253</f>
        <v/>
      </c>
      <c r="H253" s="7" t="n">
        <v>367306</v>
      </c>
      <c r="I253" s="7" t="n">
        <v>384552</v>
      </c>
    </row>
    <row r="254" ht="15" customHeight="1" s="5">
      <c r="A254" s="7" t="inlineStr">
        <is>
          <t>PRJ022</t>
        </is>
      </c>
      <c r="B254" s="7" t="inlineStr">
        <is>
          <t>Jan</t>
        </is>
      </c>
      <c r="C254" s="7">
        <f>IFERROR(VLOOKUP(A254,Projects!$A:$AK,21,FALSE())/12,0)</f>
        <v/>
      </c>
      <c r="D254" s="7">
        <f>IFERROR(VLOOKUP(A254,Projects!$A:$AK,22,FALSE())/12,0)</f>
        <v/>
      </c>
      <c r="E254" s="7" t="n">
        <v>272297</v>
      </c>
      <c r="F254" s="7" t="n">
        <v>250778</v>
      </c>
      <c r="G254" s="7">
        <f>F254-E254</f>
        <v/>
      </c>
      <c r="H254" s="7" t="n">
        <v>227524</v>
      </c>
      <c r="I254" s="7" t="n">
        <v>226686</v>
      </c>
    </row>
    <row r="255" ht="15" customHeight="1" s="5">
      <c r="A255" s="7" t="inlineStr">
        <is>
          <t>PRJ022</t>
        </is>
      </c>
      <c r="B255" s="7" t="inlineStr">
        <is>
          <t>Feb</t>
        </is>
      </c>
      <c r="C255" s="7">
        <f>IFERROR(VLOOKUP(A255,Projects!$A:$AK,21,FALSE())/12,0)</f>
        <v/>
      </c>
      <c r="D255" s="7">
        <f>IFERROR(VLOOKUP(A255,Projects!$A:$AK,22,FALSE())/12,0)</f>
        <v/>
      </c>
      <c r="E255" s="7" t="n">
        <v>205601</v>
      </c>
      <c r="F255" s="7" t="n">
        <v>213626</v>
      </c>
      <c r="G255" s="7">
        <f>F255-E255</f>
        <v/>
      </c>
      <c r="H255" s="7" t="n">
        <v>181350</v>
      </c>
      <c r="I255" s="7" t="n">
        <v>139835</v>
      </c>
    </row>
    <row r="256" ht="15" customHeight="1" s="5">
      <c r="A256" s="7" t="inlineStr">
        <is>
          <t>PRJ022</t>
        </is>
      </c>
      <c r="B256" s="7" t="inlineStr">
        <is>
          <t>Mar</t>
        </is>
      </c>
      <c r="C256" s="7">
        <f>IFERROR(VLOOKUP(A256,Projects!$A:$AK,21,FALSE())/12,0)</f>
        <v/>
      </c>
      <c r="D256" s="7">
        <f>IFERROR(VLOOKUP(A256,Projects!$A:$AK,22,FALSE())/12,0)</f>
        <v/>
      </c>
      <c r="E256" s="7" t="n">
        <v>133763</v>
      </c>
      <c r="F256" s="7" t="n">
        <v>198712</v>
      </c>
      <c r="G256" s="7">
        <f>F256-E256</f>
        <v/>
      </c>
      <c r="H256" s="7" t="n">
        <v>193729</v>
      </c>
      <c r="I256" s="7" t="n">
        <v>183006</v>
      </c>
    </row>
    <row r="257" ht="15" customHeight="1" s="5">
      <c r="A257" s="7" t="inlineStr">
        <is>
          <t>PRJ022</t>
        </is>
      </c>
      <c r="B257" s="7" t="inlineStr">
        <is>
          <t>Apr</t>
        </is>
      </c>
      <c r="C257" s="7">
        <f>IFERROR(VLOOKUP(A257,Projects!$A:$AK,21,FALSE())/12,0)</f>
        <v/>
      </c>
      <c r="D257" s="7">
        <f>IFERROR(VLOOKUP(A257,Projects!$A:$AK,22,FALSE())/12,0)</f>
        <v/>
      </c>
      <c r="E257" s="7" t="n">
        <v>139824</v>
      </c>
      <c r="F257" s="7" t="n">
        <v>162725</v>
      </c>
      <c r="G257" s="7">
        <f>F257-E257</f>
        <v/>
      </c>
      <c r="H257" s="7" t="n">
        <v>142388</v>
      </c>
      <c r="I257" s="7" t="n">
        <v>151878</v>
      </c>
    </row>
    <row r="258" ht="15" customHeight="1" s="5">
      <c r="A258" s="7" t="inlineStr">
        <is>
          <t>PRJ022</t>
        </is>
      </c>
      <c r="B258" s="7" t="inlineStr">
        <is>
          <t>May</t>
        </is>
      </c>
      <c r="C258" s="7">
        <f>IFERROR(VLOOKUP(A258,Projects!$A:$AK,21,FALSE())/12,0)</f>
        <v/>
      </c>
      <c r="D258" s="7">
        <f>IFERROR(VLOOKUP(A258,Projects!$A:$AK,22,FALSE())/12,0)</f>
        <v/>
      </c>
      <c r="E258" s="7" t="n">
        <v>292599</v>
      </c>
      <c r="F258" s="7" t="n">
        <v>288735</v>
      </c>
      <c r="G258" s="7">
        <f>F258-E258</f>
        <v/>
      </c>
      <c r="H258" s="7" t="n">
        <v>284664</v>
      </c>
      <c r="I258" s="7" t="n">
        <v>288175</v>
      </c>
    </row>
    <row r="259" ht="15" customHeight="1" s="5">
      <c r="A259" s="7" t="inlineStr">
        <is>
          <t>PRJ022</t>
        </is>
      </c>
      <c r="B259" s="7" t="inlineStr">
        <is>
          <t>Jun</t>
        </is>
      </c>
      <c r="C259" s="7">
        <f>IFERROR(VLOOKUP(A259,Projects!$A:$AK,21,FALSE())/12,0)</f>
        <v/>
      </c>
      <c r="D259" s="7">
        <f>IFERROR(VLOOKUP(A259,Projects!$A:$AK,22,FALSE())/12,0)</f>
        <v/>
      </c>
      <c r="E259" s="7" t="n">
        <v>138899</v>
      </c>
      <c r="F259" s="7" t="n">
        <v>222333</v>
      </c>
      <c r="G259" s="7">
        <f>F259-E259</f>
        <v/>
      </c>
      <c r="H259" s="7" t="n">
        <v>183200</v>
      </c>
      <c r="I259" s="7" t="n">
        <v>204651</v>
      </c>
    </row>
    <row r="260" ht="15" customHeight="1" s="5">
      <c r="A260" s="7" t="inlineStr">
        <is>
          <t>PRJ022</t>
        </is>
      </c>
      <c r="B260" s="7" t="inlineStr">
        <is>
          <t>Jul</t>
        </is>
      </c>
      <c r="C260" s="7">
        <f>IFERROR(VLOOKUP(A260,Projects!$A:$AK,21,FALSE())/12,0)</f>
        <v/>
      </c>
      <c r="D260" s="7">
        <f>IFERROR(VLOOKUP(A260,Projects!$A:$AK,22,FALSE())/12,0)</f>
        <v/>
      </c>
      <c r="E260" s="7" t="n">
        <v>208687</v>
      </c>
      <c r="F260" s="7" t="n">
        <v>344782</v>
      </c>
      <c r="G260" s="7">
        <f>F260-E260</f>
        <v/>
      </c>
      <c r="H260" s="7" t="n">
        <v>268300</v>
      </c>
      <c r="I260" s="7" t="n">
        <v>286832</v>
      </c>
    </row>
    <row r="261" ht="15" customHeight="1" s="5">
      <c r="A261" s="7" t="inlineStr">
        <is>
          <t>PRJ022</t>
        </is>
      </c>
      <c r="B261" s="7" t="inlineStr">
        <is>
          <t>Aug</t>
        </is>
      </c>
      <c r="C261" s="7">
        <f>IFERROR(VLOOKUP(A261,Projects!$A:$AK,21,FALSE())/12,0)</f>
        <v/>
      </c>
      <c r="D261" s="7">
        <f>IFERROR(VLOOKUP(A261,Projects!$A:$AK,22,FALSE())/12,0)</f>
        <v/>
      </c>
      <c r="E261" s="7" t="n">
        <v>160478</v>
      </c>
      <c r="F261" s="7" t="n">
        <v>264155</v>
      </c>
      <c r="G261" s="7">
        <f>F261-E261</f>
        <v/>
      </c>
      <c r="H261" s="7" t="n">
        <v>248281</v>
      </c>
      <c r="I261" s="7" t="n">
        <v>210359</v>
      </c>
    </row>
    <row r="262" ht="15" customHeight="1" s="5">
      <c r="A262" s="7" t="inlineStr">
        <is>
          <t>PRJ022</t>
        </is>
      </c>
      <c r="B262" s="7" t="inlineStr">
        <is>
          <t>Sep</t>
        </is>
      </c>
      <c r="C262" s="7">
        <f>IFERROR(VLOOKUP(A262,Projects!$A:$AK,21,FALSE())/12,0)</f>
        <v/>
      </c>
      <c r="D262" s="7">
        <f>IFERROR(VLOOKUP(A262,Projects!$A:$AK,22,FALSE())/12,0)</f>
        <v/>
      </c>
      <c r="E262" s="7" t="n">
        <v>275683</v>
      </c>
      <c r="F262" s="7" t="n">
        <v>286616</v>
      </c>
      <c r="G262" s="7">
        <f>F262-E262</f>
        <v/>
      </c>
      <c r="H262" s="7" t="n">
        <v>253379</v>
      </c>
      <c r="I262" s="7" t="n">
        <v>249585</v>
      </c>
    </row>
    <row r="263" ht="15" customHeight="1" s="5">
      <c r="A263" s="7" t="inlineStr">
        <is>
          <t>PRJ022</t>
        </is>
      </c>
      <c r="B263" s="7" t="inlineStr">
        <is>
          <t>Oct</t>
        </is>
      </c>
      <c r="C263" s="7">
        <f>IFERROR(VLOOKUP(A263,Projects!$A:$AK,21,FALSE())/12,0)</f>
        <v/>
      </c>
      <c r="D263" s="7">
        <f>IFERROR(VLOOKUP(A263,Projects!$A:$AK,22,FALSE())/12,0)</f>
        <v/>
      </c>
      <c r="E263" s="7" t="n">
        <v>203179</v>
      </c>
      <c r="F263" s="7" t="n">
        <v>227469</v>
      </c>
      <c r="G263" s="7">
        <f>F263-E263</f>
        <v/>
      </c>
      <c r="H263" s="7" t="n">
        <v>219057</v>
      </c>
      <c r="I263" s="7" t="n">
        <v>160446</v>
      </c>
    </row>
    <row r="264" ht="15" customHeight="1" s="5">
      <c r="A264" s="7" t="inlineStr">
        <is>
          <t>PRJ022</t>
        </is>
      </c>
      <c r="B264" s="7" t="inlineStr">
        <is>
          <t>Nov</t>
        </is>
      </c>
      <c r="C264" s="7">
        <f>IFERROR(VLOOKUP(A264,Projects!$A:$AK,21,FALSE())/12,0)</f>
        <v/>
      </c>
      <c r="D264" s="7">
        <f>IFERROR(VLOOKUP(A264,Projects!$A:$AK,22,FALSE())/12,0)</f>
        <v/>
      </c>
      <c r="E264" s="7" t="n">
        <v>232759</v>
      </c>
      <c r="F264" s="7" t="n">
        <v>304777</v>
      </c>
      <c r="G264" s="7">
        <f>F264-E264</f>
        <v/>
      </c>
      <c r="H264" s="7" t="n">
        <v>304235</v>
      </c>
      <c r="I264" s="7" t="n">
        <v>239625</v>
      </c>
    </row>
    <row r="265" ht="15" customHeight="1" s="5">
      <c r="A265" s="7" t="inlineStr">
        <is>
          <t>PRJ022</t>
        </is>
      </c>
      <c r="B265" s="7" t="inlineStr">
        <is>
          <t>Dec</t>
        </is>
      </c>
      <c r="C265" s="7">
        <f>IFERROR(VLOOKUP(A265,Projects!$A:$AK,21,FALSE())/12,0)</f>
        <v/>
      </c>
      <c r="D265" s="7">
        <f>IFERROR(VLOOKUP(A265,Projects!$A:$AK,22,FALSE())/12,0)</f>
        <v/>
      </c>
      <c r="E265" s="7" t="n">
        <v>113657</v>
      </c>
      <c r="F265" s="7" t="n">
        <v>189011</v>
      </c>
      <c r="G265" s="7">
        <f>F265-E265</f>
        <v/>
      </c>
      <c r="H265" s="7" t="n">
        <v>138110</v>
      </c>
      <c r="I265" s="7" t="n">
        <v>106245</v>
      </c>
    </row>
    <row r="266" ht="15" customHeight="1" s="5">
      <c r="A266" s="7" t="inlineStr">
        <is>
          <t>PRJ023</t>
        </is>
      </c>
      <c r="B266" s="7" t="inlineStr">
        <is>
          <t>Jan</t>
        </is>
      </c>
      <c r="C266" s="7">
        <f>IFERROR(VLOOKUP(A266,Projects!$A:$AK,21,FALSE())/12,0)</f>
        <v/>
      </c>
      <c r="D266" s="7">
        <f>IFERROR(VLOOKUP(A266,Projects!$A:$AK,22,FALSE())/12,0)</f>
        <v/>
      </c>
      <c r="E266" s="7" t="n">
        <v>250903</v>
      </c>
      <c r="F266" s="7" t="n">
        <v>277371</v>
      </c>
      <c r="G266" s="7">
        <f>F266-E266</f>
        <v/>
      </c>
      <c r="H266" s="7" t="n">
        <v>228495</v>
      </c>
      <c r="I266" s="7" t="n">
        <v>185244</v>
      </c>
    </row>
    <row r="267" ht="15" customHeight="1" s="5">
      <c r="A267" s="7" t="inlineStr">
        <is>
          <t>PRJ023</t>
        </is>
      </c>
      <c r="B267" s="7" t="inlineStr">
        <is>
          <t>Feb</t>
        </is>
      </c>
      <c r="C267" s="7">
        <f>IFERROR(VLOOKUP(A267,Projects!$A:$AK,21,FALSE())/12,0)</f>
        <v/>
      </c>
      <c r="D267" s="7">
        <f>IFERROR(VLOOKUP(A267,Projects!$A:$AK,22,FALSE())/12,0)</f>
        <v/>
      </c>
      <c r="E267" s="7" t="n">
        <v>188401</v>
      </c>
      <c r="F267" s="7" t="n">
        <v>203223</v>
      </c>
      <c r="G267" s="7">
        <f>F267-E267</f>
        <v/>
      </c>
      <c r="H267" s="7" t="n">
        <v>163574</v>
      </c>
      <c r="I267" s="7" t="n">
        <v>110327</v>
      </c>
    </row>
    <row r="268" ht="15" customHeight="1" s="5">
      <c r="A268" s="7" t="inlineStr">
        <is>
          <t>PRJ023</t>
        </is>
      </c>
      <c r="B268" s="7" t="inlineStr">
        <is>
          <t>Mar</t>
        </is>
      </c>
      <c r="C268" s="7">
        <f>IFERROR(VLOOKUP(A268,Projects!$A:$AK,21,FALSE())/12,0)</f>
        <v/>
      </c>
      <c r="D268" s="7">
        <f>IFERROR(VLOOKUP(A268,Projects!$A:$AK,22,FALSE())/12,0)</f>
        <v/>
      </c>
      <c r="E268" s="7" t="n">
        <v>271805</v>
      </c>
      <c r="F268" s="7" t="n">
        <v>254260</v>
      </c>
      <c r="G268" s="7">
        <f>F268-E268</f>
        <v/>
      </c>
      <c r="H268" s="7" t="n">
        <v>231079</v>
      </c>
      <c r="I268" s="7" t="n">
        <v>270969</v>
      </c>
    </row>
    <row r="269" ht="15" customHeight="1" s="5">
      <c r="A269" s="7" t="inlineStr">
        <is>
          <t>PRJ023</t>
        </is>
      </c>
      <c r="B269" s="7" t="inlineStr">
        <is>
          <t>Apr</t>
        </is>
      </c>
      <c r="C269" s="7">
        <f>IFERROR(VLOOKUP(A269,Projects!$A:$AK,21,FALSE())/12,0)</f>
        <v/>
      </c>
      <c r="D269" s="7">
        <f>IFERROR(VLOOKUP(A269,Projects!$A:$AK,22,FALSE())/12,0)</f>
        <v/>
      </c>
      <c r="E269" s="7" t="n">
        <v>301257</v>
      </c>
      <c r="F269" s="7" t="n">
        <v>303335</v>
      </c>
      <c r="G269" s="7">
        <f>F269-E269</f>
        <v/>
      </c>
      <c r="H269" s="7" t="n">
        <v>251936</v>
      </c>
      <c r="I269" s="7" t="n">
        <v>263084</v>
      </c>
    </row>
    <row r="270" ht="15" customHeight="1" s="5">
      <c r="A270" s="7" t="inlineStr">
        <is>
          <t>PRJ023</t>
        </is>
      </c>
      <c r="B270" s="7" t="inlineStr">
        <is>
          <t>May</t>
        </is>
      </c>
      <c r="C270" s="7">
        <f>IFERROR(VLOOKUP(A270,Projects!$A:$AK,21,FALSE())/12,0)</f>
        <v/>
      </c>
      <c r="D270" s="7">
        <f>IFERROR(VLOOKUP(A270,Projects!$A:$AK,22,FALSE())/12,0)</f>
        <v/>
      </c>
      <c r="E270" s="7" t="n">
        <v>194699</v>
      </c>
      <c r="F270" s="7" t="n">
        <v>189503</v>
      </c>
      <c r="G270" s="7">
        <f>F270-E270</f>
        <v/>
      </c>
      <c r="H270" s="7" t="n">
        <v>164672</v>
      </c>
      <c r="I270" s="7" t="n">
        <v>133201</v>
      </c>
    </row>
    <row r="271" ht="15" customHeight="1" s="5">
      <c r="A271" s="7" t="inlineStr">
        <is>
          <t>PRJ023</t>
        </is>
      </c>
      <c r="B271" s="7" t="inlineStr">
        <is>
          <t>Jun</t>
        </is>
      </c>
      <c r="C271" s="7">
        <f>IFERROR(VLOOKUP(A271,Projects!$A:$AK,21,FALSE())/12,0)</f>
        <v/>
      </c>
      <c r="D271" s="7">
        <f>IFERROR(VLOOKUP(A271,Projects!$A:$AK,22,FALSE())/12,0)</f>
        <v/>
      </c>
      <c r="E271" s="7" t="n">
        <v>169692</v>
      </c>
      <c r="F271" s="7" t="n">
        <v>241553</v>
      </c>
      <c r="G271" s="7">
        <f>F271-E271</f>
        <v/>
      </c>
      <c r="H271" s="7" t="n">
        <v>231656</v>
      </c>
      <c r="I271" s="7" t="n">
        <v>173808</v>
      </c>
    </row>
    <row r="272" ht="15" customHeight="1" s="5">
      <c r="A272" s="7" t="inlineStr">
        <is>
          <t>PRJ023</t>
        </is>
      </c>
      <c r="B272" s="7" t="inlineStr">
        <is>
          <t>Jul</t>
        </is>
      </c>
      <c r="C272" s="7">
        <f>IFERROR(VLOOKUP(A272,Projects!$A:$AK,21,FALSE())/12,0)</f>
        <v/>
      </c>
      <c r="D272" s="7">
        <f>IFERROR(VLOOKUP(A272,Projects!$A:$AK,22,FALSE())/12,0)</f>
        <v/>
      </c>
      <c r="E272" s="7" t="n">
        <v>279621</v>
      </c>
      <c r="F272" s="7" t="n">
        <v>292357</v>
      </c>
      <c r="G272" s="7">
        <f>F272-E272</f>
        <v/>
      </c>
      <c r="H272" s="7" t="n">
        <v>264877</v>
      </c>
      <c r="I272" s="7" t="n">
        <v>228943</v>
      </c>
    </row>
    <row r="273" ht="15" customHeight="1" s="5">
      <c r="A273" s="7" t="inlineStr">
        <is>
          <t>PRJ023</t>
        </is>
      </c>
      <c r="B273" s="7" t="inlineStr">
        <is>
          <t>Aug</t>
        </is>
      </c>
      <c r="C273" s="7">
        <f>IFERROR(VLOOKUP(A273,Projects!$A:$AK,21,FALSE())/12,0)</f>
        <v/>
      </c>
      <c r="D273" s="7">
        <f>IFERROR(VLOOKUP(A273,Projects!$A:$AK,22,FALSE())/12,0)</f>
        <v/>
      </c>
      <c r="E273" s="7" t="n">
        <v>112140</v>
      </c>
      <c r="F273" s="7" t="n">
        <v>197903</v>
      </c>
      <c r="G273" s="7">
        <f>F273-E273</f>
        <v/>
      </c>
      <c r="H273" s="7" t="n">
        <v>163591</v>
      </c>
      <c r="I273" s="7" t="n">
        <v>125935</v>
      </c>
    </row>
    <row r="274" ht="15" customHeight="1" s="5">
      <c r="A274" s="7" t="inlineStr">
        <is>
          <t>PRJ023</t>
        </is>
      </c>
      <c r="B274" s="7" t="inlineStr">
        <is>
          <t>Sep</t>
        </is>
      </c>
      <c r="C274" s="7">
        <f>IFERROR(VLOOKUP(A274,Projects!$A:$AK,21,FALSE())/12,0)</f>
        <v/>
      </c>
      <c r="D274" s="7">
        <f>IFERROR(VLOOKUP(A274,Projects!$A:$AK,22,FALSE())/12,0)</f>
        <v/>
      </c>
      <c r="E274" s="7" t="n">
        <v>179918</v>
      </c>
      <c r="F274" s="7" t="n">
        <v>174763</v>
      </c>
      <c r="G274" s="7">
        <f>F274-E274</f>
        <v/>
      </c>
      <c r="H274" s="7" t="n">
        <v>171941</v>
      </c>
      <c r="I274" s="7" t="n">
        <v>157212</v>
      </c>
    </row>
    <row r="275" ht="15" customHeight="1" s="5">
      <c r="A275" s="7" t="inlineStr">
        <is>
          <t>PRJ023</t>
        </is>
      </c>
      <c r="B275" s="7" t="inlineStr">
        <is>
          <t>Oct</t>
        </is>
      </c>
      <c r="C275" s="7">
        <f>IFERROR(VLOOKUP(A275,Projects!$A:$AK,21,FALSE())/12,0)</f>
        <v/>
      </c>
      <c r="D275" s="7">
        <f>IFERROR(VLOOKUP(A275,Projects!$A:$AK,22,FALSE())/12,0)</f>
        <v/>
      </c>
      <c r="E275" s="7" t="n">
        <v>201019</v>
      </c>
      <c r="F275" s="7" t="n">
        <v>238878</v>
      </c>
      <c r="G275" s="7">
        <f>F275-E275</f>
        <v/>
      </c>
      <c r="H275" s="7" t="n">
        <v>212272</v>
      </c>
      <c r="I275" s="7" t="n">
        <v>197097</v>
      </c>
    </row>
    <row r="276" ht="15" customHeight="1" s="5">
      <c r="A276" s="7" t="inlineStr">
        <is>
          <t>PRJ023</t>
        </is>
      </c>
      <c r="B276" s="7" t="inlineStr">
        <is>
          <t>Nov</t>
        </is>
      </c>
      <c r="C276" s="7">
        <f>IFERROR(VLOOKUP(A276,Projects!$A:$AK,21,FALSE())/12,0)</f>
        <v/>
      </c>
      <c r="D276" s="7">
        <f>IFERROR(VLOOKUP(A276,Projects!$A:$AK,22,FALSE())/12,0)</f>
        <v/>
      </c>
      <c r="E276" s="7" t="n">
        <v>141615</v>
      </c>
      <c r="F276" s="7" t="n">
        <v>222786</v>
      </c>
      <c r="G276" s="7">
        <f>F276-E276</f>
        <v/>
      </c>
      <c r="H276" s="7" t="n">
        <v>175785</v>
      </c>
      <c r="I276" s="7" t="n">
        <v>201881</v>
      </c>
    </row>
    <row r="277" ht="15" customHeight="1" s="5">
      <c r="A277" s="7" t="inlineStr">
        <is>
          <t>PRJ023</t>
        </is>
      </c>
      <c r="B277" s="7" t="inlineStr">
        <is>
          <t>Dec</t>
        </is>
      </c>
      <c r="C277" s="7">
        <f>IFERROR(VLOOKUP(A277,Projects!$A:$AK,21,FALSE())/12,0)</f>
        <v/>
      </c>
      <c r="D277" s="7">
        <f>IFERROR(VLOOKUP(A277,Projects!$A:$AK,22,FALSE())/12,0)</f>
        <v/>
      </c>
      <c r="E277" s="7" t="n">
        <v>141194</v>
      </c>
      <c r="F277" s="7" t="n">
        <v>205706</v>
      </c>
      <c r="G277" s="7">
        <f>F277-E277</f>
        <v/>
      </c>
      <c r="H277" s="7" t="n">
        <v>165104</v>
      </c>
      <c r="I277" s="7" t="n">
        <v>166847</v>
      </c>
    </row>
    <row r="278" ht="15" customHeight="1" s="5">
      <c r="A278" s="7" t="inlineStr">
        <is>
          <t>PRJ024</t>
        </is>
      </c>
      <c r="B278" s="7" t="inlineStr">
        <is>
          <t>Jan</t>
        </is>
      </c>
      <c r="C278" s="7">
        <f>IFERROR(VLOOKUP(A278,Projects!$A:$AK,21,FALSE())/12,0)</f>
        <v/>
      </c>
      <c r="D278" s="7">
        <f>IFERROR(VLOOKUP(A278,Projects!$A:$AK,22,FALSE())/12,0)</f>
        <v/>
      </c>
      <c r="E278" s="7" t="n">
        <v>85692</v>
      </c>
      <c r="F278" s="7" t="n">
        <v>106787</v>
      </c>
      <c r="G278" s="7">
        <f>F278-E278</f>
        <v/>
      </c>
      <c r="H278" s="7" t="n">
        <v>84528</v>
      </c>
      <c r="I278" s="7" t="n">
        <v>74136</v>
      </c>
    </row>
    <row r="279" ht="15" customHeight="1" s="5">
      <c r="A279" s="7" t="inlineStr">
        <is>
          <t>PRJ024</t>
        </is>
      </c>
      <c r="B279" s="7" t="inlineStr">
        <is>
          <t>Feb</t>
        </is>
      </c>
      <c r="C279" s="7">
        <f>IFERROR(VLOOKUP(A279,Projects!$A:$AK,21,FALSE())/12,0)</f>
        <v/>
      </c>
      <c r="D279" s="7">
        <f>IFERROR(VLOOKUP(A279,Projects!$A:$AK,22,FALSE())/12,0)</f>
        <v/>
      </c>
      <c r="E279" s="7" t="n">
        <v>76805</v>
      </c>
      <c r="F279" s="7" t="n">
        <v>68662</v>
      </c>
      <c r="G279" s="7">
        <f>F279-E279</f>
        <v/>
      </c>
      <c r="H279" s="7" t="n">
        <v>64775</v>
      </c>
      <c r="I279" s="7" t="n">
        <v>68930</v>
      </c>
    </row>
    <row r="280" ht="15" customHeight="1" s="5">
      <c r="A280" s="7" t="inlineStr">
        <is>
          <t>PRJ024</t>
        </is>
      </c>
      <c r="B280" s="7" t="inlineStr">
        <is>
          <t>Mar</t>
        </is>
      </c>
      <c r="C280" s="7">
        <f>IFERROR(VLOOKUP(A280,Projects!$A:$AK,21,FALSE())/12,0)</f>
        <v/>
      </c>
      <c r="D280" s="7">
        <f>IFERROR(VLOOKUP(A280,Projects!$A:$AK,22,FALSE())/12,0)</f>
        <v/>
      </c>
      <c r="E280" s="7" t="n">
        <v>40259</v>
      </c>
      <c r="F280" s="7" t="n">
        <v>66391</v>
      </c>
      <c r="G280" s="7">
        <f>F280-E280</f>
        <v/>
      </c>
      <c r="H280" s="7" t="n">
        <v>63079</v>
      </c>
      <c r="I280" s="7" t="n">
        <v>48947</v>
      </c>
    </row>
    <row r="281" ht="15" customHeight="1" s="5">
      <c r="A281" s="7" t="inlineStr">
        <is>
          <t>PRJ024</t>
        </is>
      </c>
      <c r="B281" s="7" t="inlineStr">
        <is>
          <t>Apr</t>
        </is>
      </c>
      <c r="C281" s="7">
        <f>IFERROR(VLOOKUP(A281,Projects!$A:$AK,21,FALSE())/12,0)</f>
        <v/>
      </c>
      <c r="D281" s="7">
        <f>IFERROR(VLOOKUP(A281,Projects!$A:$AK,22,FALSE())/12,0)</f>
        <v/>
      </c>
      <c r="E281" s="7" t="n">
        <v>77333</v>
      </c>
      <c r="F281" s="7" t="n">
        <v>73865</v>
      </c>
      <c r="G281" s="7">
        <f>F281-E281</f>
        <v/>
      </c>
      <c r="H281" s="7" t="n">
        <v>61765</v>
      </c>
      <c r="I281" s="7" t="n">
        <v>48009</v>
      </c>
    </row>
    <row r="282" ht="15" customHeight="1" s="5">
      <c r="A282" s="7" t="inlineStr">
        <is>
          <t>PRJ024</t>
        </is>
      </c>
      <c r="B282" s="7" t="inlineStr">
        <is>
          <t>May</t>
        </is>
      </c>
      <c r="C282" s="7">
        <f>IFERROR(VLOOKUP(A282,Projects!$A:$AK,21,FALSE())/12,0)</f>
        <v/>
      </c>
      <c r="D282" s="7">
        <f>IFERROR(VLOOKUP(A282,Projects!$A:$AK,22,FALSE())/12,0)</f>
        <v/>
      </c>
      <c r="E282" s="7" t="n">
        <v>85557</v>
      </c>
      <c r="F282" s="7" t="n">
        <v>73201</v>
      </c>
      <c r="G282" s="7">
        <f>F282-E282</f>
        <v/>
      </c>
      <c r="H282" s="7" t="n">
        <v>74845</v>
      </c>
      <c r="I282" s="7" t="n">
        <v>64361</v>
      </c>
    </row>
    <row r="283" ht="15" customHeight="1" s="5">
      <c r="A283" s="7" t="inlineStr">
        <is>
          <t>PRJ024</t>
        </is>
      </c>
      <c r="B283" s="7" t="inlineStr">
        <is>
          <t>Jun</t>
        </is>
      </c>
      <c r="C283" s="7">
        <f>IFERROR(VLOOKUP(A283,Projects!$A:$AK,21,FALSE())/12,0)</f>
        <v/>
      </c>
      <c r="D283" s="7">
        <f>IFERROR(VLOOKUP(A283,Projects!$A:$AK,22,FALSE())/12,0)</f>
        <v/>
      </c>
      <c r="E283" s="7" t="n">
        <v>45193</v>
      </c>
      <c r="F283" s="7" t="n">
        <v>65903</v>
      </c>
      <c r="G283" s="7">
        <f>F283-E283</f>
        <v/>
      </c>
      <c r="H283" s="7" t="n">
        <v>52143</v>
      </c>
      <c r="I283" s="7" t="n">
        <v>56130</v>
      </c>
    </row>
    <row r="284" ht="15" customHeight="1" s="5">
      <c r="A284" s="7" t="inlineStr">
        <is>
          <t>PRJ024</t>
        </is>
      </c>
      <c r="B284" s="7" t="inlineStr">
        <is>
          <t>Jul</t>
        </is>
      </c>
      <c r="C284" s="7">
        <f>IFERROR(VLOOKUP(A284,Projects!$A:$AK,21,FALSE())/12,0)</f>
        <v/>
      </c>
      <c r="D284" s="7">
        <f>IFERROR(VLOOKUP(A284,Projects!$A:$AK,22,FALSE())/12,0)</f>
        <v/>
      </c>
      <c r="E284" s="7" t="n">
        <v>58040</v>
      </c>
      <c r="F284" s="7" t="n">
        <v>62471</v>
      </c>
      <c r="G284" s="7">
        <f>F284-E284</f>
        <v/>
      </c>
      <c r="H284" s="7" t="n">
        <v>56299</v>
      </c>
      <c r="I284" s="7" t="n">
        <v>54680</v>
      </c>
    </row>
    <row r="285" ht="15" customHeight="1" s="5">
      <c r="A285" s="7" t="inlineStr">
        <is>
          <t>PRJ024</t>
        </is>
      </c>
      <c r="B285" s="7" t="inlineStr">
        <is>
          <t>Aug</t>
        </is>
      </c>
      <c r="C285" s="7">
        <f>IFERROR(VLOOKUP(A285,Projects!$A:$AK,21,FALSE())/12,0)</f>
        <v/>
      </c>
      <c r="D285" s="7">
        <f>IFERROR(VLOOKUP(A285,Projects!$A:$AK,22,FALSE())/12,0)</f>
        <v/>
      </c>
      <c r="E285" s="7" t="n">
        <v>61387</v>
      </c>
      <c r="F285" s="7" t="n">
        <v>88976</v>
      </c>
      <c r="G285" s="7">
        <f>F285-E285</f>
        <v/>
      </c>
      <c r="H285" s="7" t="n">
        <v>77157</v>
      </c>
      <c r="I285" s="7" t="n">
        <v>58992</v>
      </c>
    </row>
    <row r="286" ht="15" customHeight="1" s="5">
      <c r="A286" s="7" t="inlineStr">
        <is>
          <t>PRJ024</t>
        </is>
      </c>
      <c r="B286" s="7" t="inlineStr">
        <is>
          <t>Sep</t>
        </is>
      </c>
      <c r="C286" s="7">
        <f>IFERROR(VLOOKUP(A286,Projects!$A:$AK,21,FALSE())/12,0)</f>
        <v/>
      </c>
      <c r="D286" s="7">
        <f>IFERROR(VLOOKUP(A286,Projects!$A:$AK,22,FALSE())/12,0)</f>
        <v/>
      </c>
      <c r="E286" s="7" t="n">
        <v>79254</v>
      </c>
      <c r="F286" s="7" t="n">
        <v>99944</v>
      </c>
      <c r="G286" s="7">
        <f>F286-E286</f>
        <v/>
      </c>
      <c r="H286" s="7" t="n">
        <v>101936</v>
      </c>
      <c r="I286" s="7" t="n">
        <v>74526</v>
      </c>
    </row>
    <row r="287" ht="15" customHeight="1" s="5">
      <c r="A287" s="7" t="inlineStr">
        <is>
          <t>PRJ024</t>
        </is>
      </c>
      <c r="B287" s="7" t="inlineStr">
        <is>
          <t>Oct</t>
        </is>
      </c>
      <c r="C287" s="7">
        <f>IFERROR(VLOOKUP(A287,Projects!$A:$AK,21,FALSE())/12,0)</f>
        <v/>
      </c>
      <c r="D287" s="7">
        <f>IFERROR(VLOOKUP(A287,Projects!$A:$AK,22,FALSE())/12,0)</f>
        <v/>
      </c>
      <c r="E287" s="7" t="n">
        <v>63606</v>
      </c>
      <c r="F287" s="7" t="n">
        <v>84372</v>
      </c>
      <c r="G287" s="7">
        <f>F287-E287</f>
        <v/>
      </c>
      <c r="H287" s="7" t="n">
        <v>71906</v>
      </c>
      <c r="I287" s="7" t="n">
        <v>64383</v>
      </c>
    </row>
    <row r="288" ht="15" customHeight="1" s="5">
      <c r="A288" s="7" t="inlineStr">
        <is>
          <t>PRJ024</t>
        </is>
      </c>
      <c r="B288" s="7" t="inlineStr">
        <is>
          <t>Nov</t>
        </is>
      </c>
      <c r="C288" s="7">
        <f>IFERROR(VLOOKUP(A288,Projects!$A:$AK,21,FALSE())/12,0)</f>
        <v/>
      </c>
      <c r="D288" s="7">
        <f>IFERROR(VLOOKUP(A288,Projects!$A:$AK,22,FALSE())/12,0)</f>
        <v/>
      </c>
      <c r="E288" s="7" t="n">
        <v>74294</v>
      </c>
      <c r="F288" s="7" t="n">
        <v>67337</v>
      </c>
      <c r="G288" s="7">
        <f>F288-E288</f>
        <v/>
      </c>
      <c r="H288" s="7" t="n">
        <v>69350</v>
      </c>
      <c r="I288" s="7" t="n">
        <v>54441</v>
      </c>
    </row>
    <row r="289" ht="15" customHeight="1" s="5">
      <c r="A289" s="7" t="inlineStr">
        <is>
          <t>PRJ024</t>
        </is>
      </c>
      <c r="B289" s="7" t="inlineStr">
        <is>
          <t>Dec</t>
        </is>
      </c>
      <c r="C289" s="7">
        <f>IFERROR(VLOOKUP(A289,Projects!$A:$AK,21,FALSE())/12,0)</f>
        <v/>
      </c>
      <c r="D289" s="7">
        <f>IFERROR(VLOOKUP(A289,Projects!$A:$AK,22,FALSE())/12,0)</f>
        <v/>
      </c>
      <c r="E289" s="7" t="n">
        <v>85511</v>
      </c>
      <c r="F289" s="7" t="n">
        <v>82178</v>
      </c>
      <c r="G289" s="7">
        <f>F289-E289</f>
        <v/>
      </c>
      <c r="H289" s="7" t="n">
        <v>70786</v>
      </c>
      <c r="I289" s="7" t="n">
        <v>78138</v>
      </c>
    </row>
    <row r="290" ht="15" customHeight="1" s="5">
      <c r="A290" s="7" t="inlineStr">
        <is>
          <t>PRJ025</t>
        </is>
      </c>
      <c r="B290" s="7" t="inlineStr">
        <is>
          <t>Jan</t>
        </is>
      </c>
      <c r="C290" s="7">
        <f>IFERROR(VLOOKUP(A290,Projects!$A:$AK,21,FALSE())/12,0)</f>
        <v/>
      </c>
      <c r="D290" s="7">
        <f>IFERROR(VLOOKUP(A290,Projects!$A:$AK,22,FALSE())/12,0)</f>
        <v/>
      </c>
      <c r="E290" s="7" t="n">
        <v>89094</v>
      </c>
      <c r="F290" s="7" t="n">
        <v>139595</v>
      </c>
      <c r="G290" s="7">
        <f>F290-E290</f>
        <v/>
      </c>
      <c r="H290" s="7" t="n">
        <v>100798</v>
      </c>
      <c r="I290" s="7" t="n">
        <v>116392</v>
      </c>
    </row>
    <row r="291" ht="15" customHeight="1" s="5">
      <c r="A291" s="7" t="inlineStr">
        <is>
          <t>PRJ025</t>
        </is>
      </c>
      <c r="B291" s="7" t="inlineStr">
        <is>
          <t>Feb</t>
        </is>
      </c>
      <c r="C291" s="7">
        <f>IFERROR(VLOOKUP(A291,Projects!$A:$AK,21,FALSE())/12,0)</f>
        <v/>
      </c>
      <c r="D291" s="7">
        <f>IFERROR(VLOOKUP(A291,Projects!$A:$AK,22,FALSE())/12,0)</f>
        <v/>
      </c>
      <c r="E291" s="7" t="n">
        <v>152327</v>
      </c>
      <c r="F291" s="7" t="n">
        <v>180513</v>
      </c>
      <c r="G291" s="7">
        <f>F291-E291</f>
        <v/>
      </c>
      <c r="H291" s="7" t="n">
        <v>171150</v>
      </c>
      <c r="I291" s="7" t="n">
        <v>114985</v>
      </c>
    </row>
    <row r="292" ht="15" customHeight="1" s="5">
      <c r="A292" s="7" t="inlineStr">
        <is>
          <t>PRJ025</t>
        </is>
      </c>
      <c r="B292" s="7" t="inlineStr">
        <is>
          <t>Mar</t>
        </is>
      </c>
      <c r="C292" s="7">
        <f>IFERROR(VLOOKUP(A292,Projects!$A:$AK,21,FALSE())/12,0)</f>
        <v/>
      </c>
      <c r="D292" s="7">
        <f>IFERROR(VLOOKUP(A292,Projects!$A:$AK,22,FALSE())/12,0)</f>
        <v/>
      </c>
      <c r="E292" s="7" t="n">
        <v>62576</v>
      </c>
      <c r="F292" s="7" t="n">
        <v>92738</v>
      </c>
      <c r="G292" s="7">
        <f>F292-E292</f>
        <v/>
      </c>
      <c r="H292" s="7" t="n">
        <v>85694</v>
      </c>
      <c r="I292" s="7" t="n">
        <v>64820</v>
      </c>
    </row>
    <row r="293" ht="15" customHeight="1" s="5">
      <c r="A293" s="7" t="inlineStr">
        <is>
          <t>PRJ025</t>
        </is>
      </c>
      <c r="B293" s="7" t="inlineStr">
        <is>
          <t>Apr</t>
        </is>
      </c>
      <c r="C293" s="7">
        <f>IFERROR(VLOOKUP(A293,Projects!$A:$AK,21,FALSE())/12,0)</f>
        <v/>
      </c>
      <c r="D293" s="7">
        <f>IFERROR(VLOOKUP(A293,Projects!$A:$AK,22,FALSE())/12,0)</f>
        <v/>
      </c>
      <c r="E293" s="7" t="n">
        <v>146887</v>
      </c>
      <c r="F293" s="7" t="n">
        <v>207407</v>
      </c>
      <c r="G293" s="7">
        <f>F293-E293</f>
        <v/>
      </c>
      <c r="H293" s="7" t="n">
        <v>173873</v>
      </c>
      <c r="I293" s="7" t="n">
        <v>163328</v>
      </c>
    </row>
    <row r="294" ht="15" customHeight="1" s="5">
      <c r="A294" s="7" t="inlineStr">
        <is>
          <t>PRJ025</t>
        </is>
      </c>
      <c r="B294" s="7" t="inlineStr">
        <is>
          <t>May</t>
        </is>
      </c>
      <c r="C294" s="7">
        <f>IFERROR(VLOOKUP(A294,Projects!$A:$AK,21,FALSE())/12,0)</f>
        <v/>
      </c>
      <c r="D294" s="7">
        <f>IFERROR(VLOOKUP(A294,Projects!$A:$AK,22,FALSE())/12,0)</f>
        <v/>
      </c>
      <c r="E294" s="7" t="n">
        <v>186095</v>
      </c>
      <c r="F294" s="7" t="n">
        <v>197036</v>
      </c>
      <c r="G294" s="7">
        <f>F294-E294</f>
        <v/>
      </c>
      <c r="H294" s="7" t="n">
        <v>168162</v>
      </c>
      <c r="I294" s="7" t="n">
        <v>176947</v>
      </c>
    </row>
    <row r="295" ht="15" customHeight="1" s="5">
      <c r="A295" s="7" t="inlineStr">
        <is>
          <t>PRJ025</t>
        </is>
      </c>
      <c r="B295" s="7" t="inlineStr">
        <is>
          <t>Jun</t>
        </is>
      </c>
      <c r="C295" s="7">
        <f>IFERROR(VLOOKUP(A295,Projects!$A:$AK,21,FALSE())/12,0)</f>
        <v/>
      </c>
      <c r="D295" s="7">
        <f>IFERROR(VLOOKUP(A295,Projects!$A:$AK,22,FALSE())/12,0)</f>
        <v/>
      </c>
      <c r="E295" s="7" t="n">
        <v>156858</v>
      </c>
      <c r="F295" s="7" t="n">
        <v>169642</v>
      </c>
      <c r="G295" s="7">
        <f>F295-E295</f>
        <v/>
      </c>
      <c r="H295" s="7" t="n">
        <v>132535</v>
      </c>
      <c r="I295" s="7" t="n">
        <v>101123</v>
      </c>
    </row>
    <row r="296" ht="15" customHeight="1" s="5">
      <c r="A296" s="7" t="inlineStr">
        <is>
          <t>PRJ025</t>
        </is>
      </c>
      <c r="B296" s="7" t="inlineStr">
        <is>
          <t>Jul</t>
        </is>
      </c>
      <c r="C296" s="7">
        <f>IFERROR(VLOOKUP(A296,Projects!$A:$AK,21,FALSE())/12,0)</f>
        <v/>
      </c>
      <c r="D296" s="7">
        <f>IFERROR(VLOOKUP(A296,Projects!$A:$AK,22,FALSE())/12,0)</f>
        <v/>
      </c>
      <c r="E296" s="7" t="n">
        <v>187737</v>
      </c>
      <c r="F296" s="7" t="n">
        <v>186911</v>
      </c>
      <c r="G296" s="7">
        <f>F296-E296</f>
        <v/>
      </c>
      <c r="H296" s="7" t="n">
        <v>181222</v>
      </c>
      <c r="I296" s="7" t="n">
        <v>176447</v>
      </c>
    </row>
    <row r="297" ht="15" customHeight="1" s="5">
      <c r="A297" s="7" t="inlineStr">
        <is>
          <t>PRJ025</t>
        </is>
      </c>
      <c r="B297" s="7" t="inlineStr">
        <is>
          <t>Aug</t>
        </is>
      </c>
      <c r="C297" s="7">
        <f>IFERROR(VLOOKUP(A297,Projects!$A:$AK,21,FALSE())/12,0)</f>
        <v/>
      </c>
      <c r="D297" s="7">
        <f>IFERROR(VLOOKUP(A297,Projects!$A:$AK,22,FALSE())/12,0)</f>
        <v/>
      </c>
      <c r="E297" s="7" t="n">
        <v>113783</v>
      </c>
      <c r="F297" s="7" t="n">
        <v>113999</v>
      </c>
      <c r="G297" s="7">
        <f>F297-E297</f>
        <v/>
      </c>
      <c r="H297" s="7" t="n">
        <v>120643</v>
      </c>
      <c r="I297" s="7" t="n">
        <v>95076</v>
      </c>
    </row>
    <row r="298" ht="15" customHeight="1" s="5">
      <c r="A298" s="7" t="inlineStr">
        <is>
          <t>PRJ025</t>
        </is>
      </c>
      <c r="B298" s="7" t="inlineStr">
        <is>
          <t>Sep</t>
        </is>
      </c>
      <c r="C298" s="7">
        <f>IFERROR(VLOOKUP(A298,Projects!$A:$AK,21,FALSE())/12,0)</f>
        <v/>
      </c>
      <c r="D298" s="7">
        <f>IFERROR(VLOOKUP(A298,Projects!$A:$AK,22,FALSE())/12,0)</f>
        <v/>
      </c>
      <c r="E298" s="7" t="n">
        <v>102654</v>
      </c>
      <c r="F298" s="7" t="n">
        <v>110611</v>
      </c>
      <c r="G298" s="7">
        <f>F298-E298</f>
        <v/>
      </c>
      <c r="H298" s="7" t="n">
        <v>106255</v>
      </c>
      <c r="I298" s="7" t="n">
        <v>81220</v>
      </c>
    </row>
    <row r="299" ht="15" customHeight="1" s="5">
      <c r="A299" s="7" t="inlineStr">
        <is>
          <t>PRJ025</t>
        </is>
      </c>
      <c r="B299" s="7" t="inlineStr">
        <is>
          <t>Oct</t>
        </is>
      </c>
      <c r="C299" s="7">
        <f>IFERROR(VLOOKUP(A299,Projects!$A:$AK,21,FALSE())/12,0)</f>
        <v/>
      </c>
      <c r="D299" s="7">
        <f>IFERROR(VLOOKUP(A299,Projects!$A:$AK,22,FALSE())/12,0)</f>
        <v/>
      </c>
      <c r="E299" s="7" t="n">
        <v>84651</v>
      </c>
      <c r="F299" s="7" t="n">
        <v>107498</v>
      </c>
      <c r="G299" s="7">
        <f>F299-E299</f>
        <v/>
      </c>
      <c r="H299" s="7" t="n">
        <v>97680</v>
      </c>
      <c r="I299" s="7" t="n">
        <v>85230</v>
      </c>
    </row>
    <row r="300" ht="15" customHeight="1" s="5">
      <c r="A300" s="7" t="inlineStr">
        <is>
          <t>PRJ025</t>
        </is>
      </c>
      <c r="B300" s="7" t="inlineStr">
        <is>
          <t>Nov</t>
        </is>
      </c>
      <c r="C300" s="7">
        <f>IFERROR(VLOOKUP(A300,Projects!$A:$AK,21,FALSE())/12,0)</f>
        <v/>
      </c>
      <c r="D300" s="7">
        <f>IFERROR(VLOOKUP(A300,Projects!$A:$AK,22,FALSE())/12,0)</f>
        <v/>
      </c>
      <c r="E300" s="7" t="n">
        <v>91595</v>
      </c>
      <c r="F300" s="7" t="n">
        <v>107209</v>
      </c>
      <c r="G300" s="7">
        <f>F300-E300</f>
        <v/>
      </c>
      <c r="H300" s="7" t="n">
        <v>93819</v>
      </c>
      <c r="I300" s="7" t="n">
        <v>95205</v>
      </c>
    </row>
    <row r="301" ht="15" customHeight="1" s="5">
      <c r="A301" s="7" t="inlineStr">
        <is>
          <t>PRJ025</t>
        </is>
      </c>
      <c r="B301" s="7" t="inlineStr">
        <is>
          <t>Dec</t>
        </is>
      </c>
      <c r="C301" s="7">
        <f>IFERROR(VLOOKUP(A301,Projects!$A:$AK,21,FALSE())/12,0)</f>
        <v/>
      </c>
      <c r="D301" s="7">
        <f>IFERROR(VLOOKUP(A301,Projects!$A:$AK,22,FALSE())/12,0)</f>
        <v/>
      </c>
      <c r="E301" s="7" t="n">
        <v>61855</v>
      </c>
      <c r="F301" s="7" t="n">
        <v>98718</v>
      </c>
      <c r="G301" s="7">
        <f>F301-E301</f>
        <v/>
      </c>
      <c r="H301" s="7" t="n">
        <v>91912</v>
      </c>
      <c r="I301" s="7" t="n">
        <v>62781</v>
      </c>
    </row>
    <row r="302" ht="15" customHeight="1" s="5">
      <c r="A302" s="7" t="inlineStr">
        <is>
          <t>PRJ026</t>
        </is>
      </c>
      <c r="B302" s="7" t="inlineStr">
        <is>
          <t>Jan</t>
        </is>
      </c>
      <c r="C302" s="7">
        <f>IFERROR(VLOOKUP(A302,Projects!$A:$AK,21,FALSE())/12,0)</f>
        <v/>
      </c>
      <c r="D302" s="7">
        <f>IFERROR(VLOOKUP(A302,Projects!$A:$AK,22,FALSE())/12,0)</f>
        <v/>
      </c>
      <c r="E302" s="7" t="n">
        <v>133158</v>
      </c>
      <c r="F302" s="7" t="n">
        <v>167733</v>
      </c>
      <c r="G302" s="7">
        <f>F302-E302</f>
        <v/>
      </c>
      <c r="H302" s="7" t="n">
        <v>132415</v>
      </c>
      <c r="I302" s="7" t="n">
        <v>133547</v>
      </c>
    </row>
    <row r="303" ht="15" customHeight="1" s="5">
      <c r="A303" s="7" t="inlineStr">
        <is>
          <t>PRJ026</t>
        </is>
      </c>
      <c r="B303" s="7" t="inlineStr">
        <is>
          <t>Feb</t>
        </is>
      </c>
      <c r="C303" s="7">
        <f>IFERROR(VLOOKUP(A303,Projects!$A:$AK,21,FALSE())/12,0)</f>
        <v/>
      </c>
      <c r="D303" s="7">
        <f>IFERROR(VLOOKUP(A303,Projects!$A:$AK,22,FALSE())/12,0)</f>
        <v/>
      </c>
      <c r="E303" s="7" t="n">
        <v>166194</v>
      </c>
      <c r="F303" s="7" t="n">
        <v>286005</v>
      </c>
      <c r="G303" s="7">
        <f>F303-E303</f>
        <v/>
      </c>
      <c r="H303" s="7" t="n">
        <v>226014</v>
      </c>
      <c r="I303" s="7" t="n">
        <v>253452</v>
      </c>
    </row>
    <row r="304" ht="15" customHeight="1" s="5">
      <c r="A304" s="7" t="inlineStr">
        <is>
          <t>PRJ026</t>
        </is>
      </c>
      <c r="B304" s="7" t="inlineStr">
        <is>
          <t>Mar</t>
        </is>
      </c>
      <c r="C304" s="7">
        <f>IFERROR(VLOOKUP(A304,Projects!$A:$AK,21,FALSE())/12,0)</f>
        <v/>
      </c>
      <c r="D304" s="7">
        <f>IFERROR(VLOOKUP(A304,Projects!$A:$AK,22,FALSE())/12,0)</f>
        <v/>
      </c>
      <c r="E304" s="7" t="n">
        <v>124251</v>
      </c>
      <c r="F304" s="7" t="n">
        <v>151084</v>
      </c>
      <c r="G304" s="7">
        <f>F304-E304</f>
        <v/>
      </c>
      <c r="H304" s="7" t="n">
        <v>132268</v>
      </c>
      <c r="I304" s="7" t="n">
        <v>128197</v>
      </c>
    </row>
    <row r="305" ht="15" customHeight="1" s="5">
      <c r="A305" s="7" t="inlineStr">
        <is>
          <t>PRJ026</t>
        </is>
      </c>
      <c r="B305" s="7" t="inlineStr">
        <is>
          <t>Apr</t>
        </is>
      </c>
      <c r="C305" s="7">
        <f>IFERROR(VLOOKUP(A305,Projects!$A:$AK,21,FALSE())/12,0)</f>
        <v/>
      </c>
      <c r="D305" s="7">
        <f>IFERROR(VLOOKUP(A305,Projects!$A:$AK,22,FALSE())/12,0)</f>
        <v/>
      </c>
      <c r="E305" s="7" t="n">
        <v>139849</v>
      </c>
      <c r="F305" s="7" t="n">
        <v>134764</v>
      </c>
      <c r="G305" s="7">
        <f>F305-E305</f>
        <v/>
      </c>
      <c r="H305" s="7" t="n">
        <v>127601</v>
      </c>
      <c r="I305" s="7" t="n">
        <v>99327</v>
      </c>
    </row>
    <row r="306" ht="15" customHeight="1" s="5">
      <c r="A306" s="7" t="inlineStr">
        <is>
          <t>PRJ026</t>
        </is>
      </c>
      <c r="B306" s="7" t="inlineStr">
        <is>
          <t>May</t>
        </is>
      </c>
      <c r="C306" s="7">
        <f>IFERROR(VLOOKUP(A306,Projects!$A:$AK,21,FALSE())/12,0)</f>
        <v/>
      </c>
      <c r="D306" s="7">
        <f>IFERROR(VLOOKUP(A306,Projects!$A:$AK,22,FALSE())/12,0)</f>
        <v/>
      </c>
      <c r="E306" s="7" t="n">
        <v>143283</v>
      </c>
      <c r="F306" s="7" t="n">
        <v>134882</v>
      </c>
      <c r="G306" s="7">
        <f>F306-E306</f>
        <v/>
      </c>
      <c r="H306" s="7" t="n">
        <v>124210</v>
      </c>
      <c r="I306" s="7" t="n">
        <v>128233</v>
      </c>
    </row>
    <row r="307" ht="15" customHeight="1" s="5">
      <c r="A307" s="7" t="inlineStr">
        <is>
          <t>PRJ026</t>
        </is>
      </c>
      <c r="B307" s="7" t="inlineStr">
        <is>
          <t>Jun</t>
        </is>
      </c>
      <c r="C307" s="7">
        <f>IFERROR(VLOOKUP(A307,Projects!$A:$AK,21,FALSE())/12,0)</f>
        <v/>
      </c>
      <c r="D307" s="7">
        <f>IFERROR(VLOOKUP(A307,Projects!$A:$AK,22,FALSE())/12,0)</f>
        <v/>
      </c>
      <c r="E307" s="7" t="n">
        <v>175036</v>
      </c>
      <c r="F307" s="7" t="n">
        <v>317339</v>
      </c>
      <c r="G307" s="7">
        <f>F307-E307</f>
        <v/>
      </c>
      <c r="H307" s="7" t="n">
        <v>274955</v>
      </c>
      <c r="I307" s="7" t="n">
        <v>264394</v>
      </c>
    </row>
    <row r="308" ht="15" customHeight="1" s="5">
      <c r="A308" s="7" t="inlineStr">
        <is>
          <t>PRJ026</t>
        </is>
      </c>
      <c r="B308" s="7" t="inlineStr">
        <is>
          <t>Jul</t>
        </is>
      </c>
      <c r="C308" s="7">
        <f>IFERROR(VLOOKUP(A308,Projects!$A:$AK,21,FALSE())/12,0)</f>
        <v/>
      </c>
      <c r="D308" s="7">
        <f>IFERROR(VLOOKUP(A308,Projects!$A:$AK,22,FALSE())/12,0)</f>
        <v/>
      </c>
      <c r="E308" s="7" t="n">
        <v>255093</v>
      </c>
      <c r="F308" s="7" t="n">
        <v>249954</v>
      </c>
      <c r="G308" s="7">
        <f>F308-E308</f>
        <v/>
      </c>
      <c r="H308" s="7" t="n">
        <v>239768</v>
      </c>
      <c r="I308" s="7" t="n">
        <v>164091</v>
      </c>
    </row>
    <row r="309" ht="15" customHeight="1" s="5">
      <c r="A309" s="7" t="inlineStr">
        <is>
          <t>PRJ026</t>
        </is>
      </c>
      <c r="B309" s="7" t="inlineStr">
        <is>
          <t>Aug</t>
        </is>
      </c>
      <c r="C309" s="7">
        <f>IFERROR(VLOOKUP(A309,Projects!$A:$AK,21,FALSE())/12,0)</f>
        <v/>
      </c>
      <c r="D309" s="7">
        <f>IFERROR(VLOOKUP(A309,Projects!$A:$AK,22,FALSE())/12,0)</f>
        <v/>
      </c>
      <c r="E309" s="7" t="n">
        <v>120144</v>
      </c>
      <c r="F309" s="7" t="n">
        <v>176445</v>
      </c>
      <c r="G309" s="7">
        <f>F309-E309</f>
        <v/>
      </c>
      <c r="H309" s="7" t="n">
        <v>145791</v>
      </c>
      <c r="I309" s="7" t="n">
        <v>135774</v>
      </c>
    </row>
    <row r="310" ht="15" customHeight="1" s="5">
      <c r="A310" s="7" t="inlineStr">
        <is>
          <t>PRJ026</t>
        </is>
      </c>
      <c r="B310" s="7" t="inlineStr">
        <is>
          <t>Sep</t>
        </is>
      </c>
      <c r="C310" s="7">
        <f>IFERROR(VLOOKUP(A310,Projects!$A:$AK,21,FALSE())/12,0)</f>
        <v/>
      </c>
      <c r="D310" s="7">
        <f>IFERROR(VLOOKUP(A310,Projects!$A:$AK,22,FALSE())/12,0)</f>
        <v/>
      </c>
      <c r="E310" s="7" t="n">
        <v>243652</v>
      </c>
      <c r="F310" s="7" t="n">
        <v>232159</v>
      </c>
      <c r="G310" s="7">
        <f>F310-E310</f>
        <v/>
      </c>
      <c r="H310" s="7" t="n">
        <v>235240</v>
      </c>
      <c r="I310" s="7" t="n">
        <v>222103</v>
      </c>
    </row>
    <row r="311" ht="15" customHeight="1" s="5">
      <c r="A311" s="7" t="inlineStr">
        <is>
          <t>PRJ026</t>
        </is>
      </c>
      <c r="B311" s="7" t="inlineStr">
        <is>
          <t>Oct</t>
        </is>
      </c>
      <c r="C311" s="7">
        <f>IFERROR(VLOOKUP(A311,Projects!$A:$AK,21,FALSE())/12,0)</f>
        <v/>
      </c>
      <c r="D311" s="7">
        <f>IFERROR(VLOOKUP(A311,Projects!$A:$AK,22,FALSE())/12,0)</f>
        <v/>
      </c>
      <c r="E311" s="7" t="n">
        <v>94125</v>
      </c>
      <c r="F311" s="7" t="n">
        <v>139194</v>
      </c>
      <c r="G311" s="7">
        <f>F311-E311</f>
        <v/>
      </c>
      <c r="H311" s="7" t="n">
        <v>117160</v>
      </c>
      <c r="I311" s="7" t="n">
        <v>78805</v>
      </c>
    </row>
    <row r="312" ht="15" customHeight="1" s="5">
      <c r="A312" s="7" t="inlineStr">
        <is>
          <t>PRJ026</t>
        </is>
      </c>
      <c r="B312" s="7" t="inlineStr">
        <is>
          <t>Nov</t>
        </is>
      </c>
      <c r="C312" s="7">
        <f>IFERROR(VLOOKUP(A312,Projects!$A:$AK,21,FALSE())/12,0)</f>
        <v/>
      </c>
      <c r="D312" s="7">
        <f>IFERROR(VLOOKUP(A312,Projects!$A:$AK,22,FALSE())/12,0)</f>
        <v/>
      </c>
      <c r="E312" s="7" t="n">
        <v>188810</v>
      </c>
      <c r="F312" s="7" t="n">
        <v>230053</v>
      </c>
      <c r="G312" s="7">
        <f>F312-E312</f>
        <v/>
      </c>
      <c r="H312" s="7" t="n">
        <v>230668</v>
      </c>
      <c r="I312" s="7" t="n">
        <v>205382</v>
      </c>
    </row>
    <row r="313" ht="15" customHeight="1" s="5">
      <c r="A313" s="7" t="inlineStr">
        <is>
          <t>PRJ026</t>
        </is>
      </c>
      <c r="B313" s="7" t="inlineStr">
        <is>
          <t>Dec</t>
        </is>
      </c>
      <c r="C313" s="7">
        <f>IFERROR(VLOOKUP(A313,Projects!$A:$AK,21,FALSE())/12,0)</f>
        <v/>
      </c>
      <c r="D313" s="7">
        <f>IFERROR(VLOOKUP(A313,Projects!$A:$AK,22,FALSE())/12,0)</f>
        <v/>
      </c>
      <c r="E313" s="7" t="n">
        <v>287368</v>
      </c>
      <c r="F313" s="7" t="n">
        <v>295332</v>
      </c>
      <c r="G313" s="7">
        <f>F313-E313</f>
        <v/>
      </c>
      <c r="H313" s="7" t="n">
        <v>235251</v>
      </c>
      <c r="I313" s="7" t="n">
        <v>209132</v>
      </c>
    </row>
    <row r="314" ht="15" customHeight="1" s="5">
      <c r="A314" s="7" t="inlineStr">
        <is>
          <t>PRJ027</t>
        </is>
      </c>
      <c r="B314" s="7" t="inlineStr">
        <is>
          <t>Jan</t>
        </is>
      </c>
      <c r="C314" s="7">
        <f>IFERROR(VLOOKUP(A314,Projects!$A:$AK,21,FALSE())/12,0)</f>
        <v/>
      </c>
      <c r="D314" s="7">
        <f>IFERROR(VLOOKUP(A314,Projects!$A:$AK,22,FALSE())/12,0)</f>
        <v/>
      </c>
      <c r="E314" s="7" t="n">
        <v>144115</v>
      </c>
      <c r="F314" s="7" t="n">
        <v>212388</v>
      </c>
      <c r="G314" s="7">
        <f>F314-E314</f>
        <v/>
      </c>
      <c r="H314" s="7" t="n">
        <v>172375</v>
      </c>
      <c r="I314" s="7" t="n">
        <v>128299</v>
      </c>
    </row>
    <row r="315" ht="15" customHeight="1" s="5">
      <c r="A315" s="7" t="inlineStr">
        <is>
          <t>PRJ027</t>
        </is>
      </c>
      <c r="B315" s="7" t="inlineStr">
        <is>
          <t>Feb</t>
        </is>
      </c>
      <c r="C315" s="7">
        <f>IFERROR(VLOOKUP(A315,Projects!$A:$AK,21,FALSE())/12,0)</f>
        <v/>
      </c>
      <c r="D315" s="7">
        <f>IFERROR(VLOOKUP(A315,Projects!$A:$AK,22,FALSE())/12,0)</f>
        <v/>
      </c>
      <c r="E315" s="7" t="n">
        <v>159237</v>
      </c>
      <c r="F315" s="7" t="n">
        <v>135602</v>
      </c>
      <c r="G315" s="7">
        <f>F315-E315</f>
        <v/>
      </c>
      <c r="H315" s="7" t="n">
        <v>127231</v>
      </c>
      <c r="I315" s="7" t="n">
        <v>121582</v>
      </c>
    </row>
    <row r="316" ht="15" customHeight="1" s="5">
      <c r="A316" s="7" t="inlineStr">
        <is>
          <t>PRJ027</t>
        </is>
      </c>
      <c r="B316" s="7" t="inlineStr">
        <is>
          <t>Mar</t>
        </is>
      </c>
      <c r="C316" s="7">
        <f>IFERROR(VLOOKUP(A316,Projects!$A:$AK,21,FALSE())/12,0)</f>
        <v/>
      </c>
      <c r="D316" s="7">
        <f>IFERROR(VLOOKUP(A316,Projects!$A:$AK,22,FALSE())/12,0)</f>
        <v/>
      </c>
      <c r="E316" s="7" t="n">
        <v>87105</v>
      </c>
      <c r="F316" s="7" t="n">
        <v>126670</v>
      </c>
      <c r="G316" s="7">
        <f>F316-E316</f>
        <v/>
      </c>
      <c r="H316" s="7" t="n">
        <v>111738</v>
      </c>
      <c r="I316" s="7" t="n">
        <v>109133</v>
      </c>
    </row>
    <row r="317" ht="15" customHeight="1" s="5">
      <c r="A317" s="7" t="inlineStr">
        <is>
          <t>PRJ027</t>
        </is>
      </c>
      <c r="B317" s="7" t="inlineStr">
        <is>
          <t>Apr</t>
        </is>
      </c>
      <c r="C317" s="7">
        <f>IFERROR(VLOOKUP(A317,Projects!$A:$AK,21,FALSE())/12,0)</f>
        <v/>
      </c>
      <c r="D317" s="7">
        <f>IFERROR(VLOOKUP(A317,Projects!$A:$AK,22,FALSE())/12,0)</f>
        <v/>
      </c>
      <c r="E317" s="7" t="n">
        <v>118643</v>
      </c>
      <c r="F317" s="7" t="n">
        <v>153839</v>
      </c>
      <c r="G317" s="7">
        <f>F317-E317</f>
        <v/>
      </c>
      <c r="H317" s="7" t="n">
        <v>129038</v>
      </c>
      <c r="I317" s="7" t="n">
        <v>132708</v>
      </c>
    </row>
    <row r="318" ht="15" customHeight="1" s="5">
      <c r="A318" s="7" t="inlineStr">
        <is>
          <t>PRJ027</t>
        </is>
      </c>
      <c r="B318" s="7" t="inlineStr">
        <is>
          <t>May</t>
        </is>
      </c>
      <c r="C318" s="7">
        <f>IFERROR(VLOOKUP(A318,Projects!$A:$AK,21,FALSE())/12,0)</f>
        <v/>
      </c>
      <c r="D318" s="7">
        <f>IFERROR(VLOOKUP(A318,Projects!$A:$AK,22,FALSE())/12,0)</f>
        <v/>
      </c>
      <c r="E318" s="7" t="n">
        <v>127555</v>
      </c>
      <c r="F318" s="7" t="n">
        <v>215534</v>
      </c>
      <c r="G318" s="7">
        <f>F318-E318</f>
        <v/>
      </c>
      <c r="H318" s="7" t="n">
        <v>177625</v>
      </c>
      <c r="I318" s="7" t="n">
        <v>137090</v>
      </c>
    </row>
    <row r="319" ht="15" customHeight="1" s="5">
      <c r="A319" s="7" t="inlineStr">
        <is>
          <t>PRJ027</t>
        </is>
      </c>
      <c r="B319" s="7" t="inlineStr">
        <is>
          <t>Jun</t>
        </is>
      </c>
      <c r="C319" s="7">
        <f>IFERROR(VLOOKUP(A319,Projects!$A:$AK,21,FALSE())/12,0)</f>
        <v/>
      </c>
      <c r="D319" s="7">
        <f>IFERROR(VLOOKUP(A319,Projects!$A:$AK,22,FALSE())/12,0)</f>
        <v/>
      </c>
      <c r="E319" s="7" t="n">
        <v>130251</v>
      </c>
      <c r="F319" s="7" t="n">
        <v>201385</v>
      </c>
      <c r="G319" s="7">
        <f>F319-E319</f>
        <v/>
      </c>
      <c r="H319" s="7" t="n">
        <v>200691</v>
      </c>
      <c r="I319" s="7" t="n">
        <v>170927</v>
      </c>
    </row>
    <row r="320" ht="15" customHeight="1" s="5">
      <c r="A320" s="7" t="inlineStr">
        <is>
          <t>PRJ027</t>
        </is>
      </c>
      <c r="B320" s="7" t="inlineStr">
        <is>
          <t>Jul</t>
        </is>
      </c>
      <c r="C320" s="7">
        <f>IFERROR(VLOOKUP(A320,Projects!$A:$AK,21,FALSE())/12,0)</f>
        <v/>
      </c>
      <c r="D320" s="7">
        <f>IFERROR(VLOOKUP(A320,Projects!$A:$AK,22,FALSE())/12,0)</f>
        <v/>
      </c>
      <c r="E320" s="7" t="n">
        <v>111779</v>
      </c>
      <c r="F320" s="7" t="n">
        <v>145616</v>
      </c>
      <c r="G320" s="7">
        <f>F320-E320</f>
        <v/>
      </c>
      <c r="H320" s="7" t="n">
        <v>154295</v>
      </c>
      <c r="I320" s="7" t="n">
        <v>149606</v>
      </c>
    </row>
    <row r="321" ht="15" customHeight="1" s="5">
      <c r="A321" s="7" t="inlineStr">
        <is>
          <t>PRJ027</t>
        </is>
      </c>
      <c r="B321" s="7" t="inlineStr">
        <is>
          <t>Aug</t>
        </is>
      </c>
      <c r="C321" s="7">
        <f>IFERROR(VLOOKUP(A321,Projects!$A:$AK,21,FALSE())/12,0)</f>
        <v/>
      </c>
      <c r="D321" s="7">
        <f>IFERROR(VLOOKUP(A321,Projects!$A:$AK,22,FALSE())/12,0)</f>
        <v/>
      </c>
      <c r="E321" s="7" t="n">
        <v>93919</v>
      </c>
      <c r="F321" s="7" t="n">
        <v>124799</v>
      </c>
      <c r="G321" s="7">
        <f>F321-E321</f>
        <v/>
      </c>
      <c r="H321" s="7" t="n">
        <v>121278</v>
      </c>
      <c r="I321" s="7" t="n">
        <v>122850</v>
      </c>
    </row>
    <row r="322" ht="15" customHeight="1" s="5">
      <c r="A322" s="7" t="inlineStr">
        <is>
          <t>PRJ027</t>
        </is>
      </c>
      <c r="B322" s="7" t="inlineStr">
        <is>
          <t>Sep</t>
        </is>
      </c>
      <c r="C322" s="7">
        <f>IFERROR(VLOOKUP(A322,Projects!$A:$AK,21,FALSE())/12,0)</f>
        <v/>
      </c>
      <c r="D322" s="7">
        <f>IFERROR(VLOOKUP(A322,Projects!$A:$AK,22,FALSE())/12,0)</f>
        <v/>
      </c>
      <c r="E322" s="7" t="n">
        <v>176404</v>
      </c>
      <c r="F322" s="7" t="n">
        <v>190920</v>
      </c>
      <c r="G322" s="7">
        <f>F322-E322</f>
        <v/>
      </c>
      <c r="H322" s="7" t="n">
        <v>153160</v>
      </c>
      <c r="I322" s="7" t="n">
        <v>184868</v>
      </c>
    </row>
    <row r="323" ht="15" customHeight="1" s="5">
      <c r="A323" s="7" t="inlineStr">
        <is>
          <t>PRJ027</t>
        </is>
      </c>
      <c r="B323" s="7" t="inlineStr">
        <is>
          <t>Oct</t>
        </is>
      </c>
      <c r="C323" s="7">
        <f>IFERROR(VLOOKUP(A323,Projects!$A:$AK,21,FALSE())/12,0)</f>
        <v/>
      </c>
      <c r="D323" s="7">
        <f>IFERROR(VLOOKUP(A323,Projects!$A:$AK,22,FALSE())/12,0)</f>
        <v/>
      </c>
      <c r="E323" s="7" t="n">
        <v>204583</v>
      </c>
      <c r="F323" s="7" t="n">
        <v>216623</v>
      </c>
      <c r="G323" s="7">
        <f>F323-E323</f>
        <v/>
      </c>
      <c r="H323" s="7" t="n">
        <v>165640</v>
      </c>
      <c r="I323" s="7" t="n">
        <v>157859</v>
      </c>
    </row>
    <row r="324" ht="15" customHeight="1" s="5">
      <c r="A324" s="7" t="inlineStr">
        <is>
          <t>PRJ027</t>
        </is>
      </c>
      <c r="B324" s="7" t="inlineStr">
        <is>
          <t>Nov</t>
        </is>
      </c>
      <c r="C324" s="7">
        <f>IFERROR(VLOOKUP(A324,Projects!$A:$AK,21,FALSE())/12,0)</f>
        <v/>
      </c>
      <c r="D324" s="7">
        <f>IFERROR(VLOOKUP(A324,Projects!$A:$AK,22,FALSE())/12,0)</f>
        <v/>
      </c>
      <c r="E324" s="7" t="n">
        <v>142448</v>
      </c>
      <c r="F324" s="7" t="n">
        <v>210238</v>
      </c>
      <c r="G324" s="7">
        <f>F324-E324</f>
        <v/>
      </c>
      <c r="H324" s="7" t="n">
        <v>177481</v>
      </c>
      <c r="I324" s="7" t="n">
        <v>170114</v>
      </c>
    </row>
    <row r="325" ht="15" customHeight="1" s="5">
      <c r="A325" s="7" t="inlineStr">
        <is>
          <t>PRJ027</t>
        </is>
      </c>
      <c r="B325" s="7" t="inlineStr">
        <is>
          <t>Dec</t>
        </is>
      </c>
      <c r="C325" s="7">
        <f>IFERROR(VLOOKUP(A325,Projects!$A:$AK,21,FALSE())/12,0)</f>
        <v/>
      </c>
      <c r="D325" s="7">
        <f>IFERROR(VLOOKUP(A325,Projects!$A:$AK,22,FALSE())/12,0)</f>
        <v/>
      </c>
      <c r="E325" s="7" t="n">
        <v>154000</v>
      </c>
      <c r="F325" s="7" t="n">
        <v>193211</v>
      </c>
      <c r="G325" s="7">
        <f>F325-E325</f>
        <v/>
      </c>
      <c r="H325" s="7" t="n">
        <v>188624</v>
      </c>
      <c r="I325" s="7" t="n">
        <v>183061</v>
      </c>
    </row>
    <row r="326" ht="15" customHeight="1" s="5">
      <c r="A326" s="7" t="inlineStr">
        <is>
          <t>PRJ028</t>
        </is>
      </c>
      <c r="B326" s="7" t="inlineStr">
        <is>
          <t>Jan</t>
        </is>
      </c>
      <c r="C326" s="7">
        <f>IFERROR(VLOOKUP(A326,Projects!$A:$AK,21,FALSE())/12,0)</f>
        <v/>
      </c>
      <c r="D326" s="7">
        <f>IFERROR(VLOOKUP(A326,Projects!$A:$AK,22,FALSE())/12,0)</f>
        <v/>
      </c>
      <c r="E326" s="7" t="n">
        <v>171045</v>
      </c>
      <c r="F326" s="7" t="n">
        <v>160180</v>
      </c>
      <c r="G326" s="7">
        <f>F326-E326</f>
        <v/>
      </c>
      <c r="H326" s="7" t="n">
        <v>144668</v>
      </c>
      <c r="I326" s="7" t="n">
        <v>156427</v>
      </c>
    </row>
    <row r="327" ht="15" customHeight="1" s="5">
      <c r="A327" s="7" t="inlineStr">
        <is>
          <t>PRJ028</t>
        </is>
      </c>
      <c r="B327" s="7" t="inlineStr">
        <is>
          <t>Feb</t>
        </is>
      </c>
      <c r="C327" s="7">
        <f>IFERROR(VLOOKUP(A327,Projects!$A:$AK,21,FALSE())/12,0)</f>
        <v/>
      </c>
      <c r="D327" s="7">
        <f>IFERROR(VLOOKUP(A327,Projects!$A:$AK,22,FALSE())/12,0)</f>
        <v/>
      </c>
      <c r="E327" s="7" t="n">
        <v>123062</v>
      </c>
      <c r="F327" s="7" t="n">
        <v>133398</v>
      </c>
      <c r="G327" s="7">
        <f>F327-E327</f>
        <v/>
      </c>
      <c r="H327" s="7" t="n">
        <v>117897</v>
      </c>
      <c r="I327" s="7" t="n">
        <v>121868</v>
      </c>
    </row>
    <row r="328" ht="15" customHeight="1" s="5">
      <c r="A328" s="7" t="inlineStr">
        <is>
          <t>PRJ028</t>
        </is>
      </c>
      <c r="B328" s="7" t="inlineStr">
        <is>
          <t>Mar</t>
        </is>
      </c>
      <c r="C328" s="7">
        <f>IFERROR(VLOOKUP(A328,Projects!$A:$AK,21,FALSE())/12,0)</f>
        <v/>
      </c>
      <c r="D328" s="7">
        <f>IFERROR(VLOOKUP(A328,Projects!$A:$AK,22,FALSE())/12,0)</f>
        <v/>
      </c>
      <c r="E328" s="7" t="n">
        <v>105758</v>
      </c>
      <c r="F328" s="7" t="n">
        <v>129384</v>
      </c>
      <c r="G328" s="7">
        <f>F328-E328</f>
        <v/>
      </c>
      <c r="H328" s="7" t="n">
        <v>116183</v>
      </c>
      <c r="I328" s="7" t="n">
        <v>111625</v>
      </c>
    </row>
    <row r="329" ht="15" customHeight="1" s="5">
      <c r="A329" s="7" t="inlineStr">
        <is>
          <t>PRJ028</t>
        </is>
      </c>
      <c r="B329" s="7" t="inlineStr">
        <is>
          <t>Apr</t>
        </is>
      </c>
      <c r="C329" s="7">
        <f>IFERROR(VLOOKUP(A329,Projects!$A:$AK,21,FALSE())/12,0)</f>
        <v/>
      </c>
      <c r="D329" s="7">
        <f>IFERROR(VLOOKUP(A329,Projects!$A:$AK,22,FALSE())/12,0)</f>
        <v/>
      </c>
      <c r="E329" s="7" t="n">
        <v>112298</v>
      </c>
      <c r="F329" s="7" t="n">
        <v>124070</v>
      </c>
      <c r="G329" s="7">
        <f>F329-E329</f>
        <v/>
      </c>
      <c r="H329" s="7" t="n">
        <v>111359</v>
      </c>
      <c r="I329" s="7" t="n">
        <v>81382</v>
      </c>
    </row>
    <row r="330" ht="15" customHeight="1" s="5">
      <c r="A330" s="7" t="inlineStr">
        <is>
          <t>PRJ028</t>
        </is>
      </c>
      <c r="B330" s="7" t="inlineStr">
        <is>
          <t>May</t>
        </is>
      </c>
      <c r="C330" s="7">
        <f>IFERROR(VLOOKUP(A330,Projects!$A:$AK,21,FALSE())/12,0)</f>
        <v/>
      </c>
      <c r="D330" s="7">
        <f>IFERROR(VLOOKUP(A330,Projects!$A:$AK,22,FALSE())/12,0)</f>
        <v/>
      </c>
      <c r="E330" s="7" t="n">
        <v>108246</v>
      </c>
      <c r="F330" s="7" t="n">
        <v>147768</v>
      </c>
      <c r="G330" s="7">
        <f>F330-E330</f>
        <v/>
      </c>
      <c r="H330" s="7" t="n">
        <v>139699</v>
      </c>
      <c r="I330" s="7" t="n">
        <v>146595</v>
      </c>
    </row>
    <row r="331" ht="15" customHeight="1" s="5">
      <c r="A331" s="7" t="inlineStr">
        <is>
          <t>PRJ028</t>
        </is>
      </c>
      <c r="B331" s="7" t="inlineStr">
        <is>
          <t>Jun</t>
        </is>
      </c>
      <c r="C331" s="7">
        <f>IFERROR(VLOOKUP(A331,Projects!$A:$AK,21,FALSE())/12,0)</f>
        <v/>
      </c>
      <c r="D331" s="7">
        <f>IFERROR(VLOOKUP(A331,Projects!$A:$AK,22,FALSE())/12,0)</f>
        <v/>
      </c>
      <c r="E331" s="7" t="n">
        <v>157593</v>
      </c>
      <c r="F331" s="7" t="n">
        <v>169870</v>
      </c>
      <c r="G331" s="7">
        <f>F331-E331</f>
        <v/>
      </c>
      <c r="H331" s="7" t="n">
        <v>144238</v>
      </c>
      <c r="I331" s="7" t="n">
        <v>117945</v>
      </c>
    </row>
    <row r="332" ht="15" customHeight="1" s="5">
      <c r="A332" s="7" t="inlineStr">
        <is>
          <t>PRJ028</t>
        </is>
      </c>
      <c r="B332" s="7" t="inlineStr">
        <is>
          <t>Jul</t>
        </is>
      </c>
      <c r="C332" s="7">
        <f>IFERROR(VLOOKUP(A332,Projects!$A:$AK,21,FALSE())/12,0)</f>
        <v/>
      </c>
      <c r="D332" s="7">
        <f>IFERROR(VLOOKUP(A332,Projects!$A:$AK,22,FALSE())/12,0)</f>
        <v/>
      </c>
      <c r="E332" s="7" t="n">
        <v>83491</v>
      </c>
      <c r="F332" s="7" t="n">
        <v>115556</v>
      </c>
      <c r="G332" s="7">
        <f>F332-E332</f>
        <v/>
      </c>
      <c r="H332" s="7" t="n">
        <v>93298</v>
      </c>
      <c r="I332" s="7" t="n">
        <v>103197</v>
      </c>
    </row>
    <row r="333" ht="15" customHeight="1" s="5">
      <c r="A333" s="7" t="inlineStr">
        <is>
          <t>PRJ028</t>
        </is>
      </c>
      <c r="B333" s="7" t="inlineStr">
        <is>
          <t>Aug</t>
        </is>
      </c>
      <c r="C333" s="7">
        <f>IFERROR(VLOOKUP(A333,Projects!$A:$AK,21,FALSE())/12,0)</f>
        <v/>
      </c>
      <c r="D333" s="7">
        <f>IFERROR(VLOOKUP(A333,Projects!$A:$AK,22,FALSE())/12,0)</f>
        <v/>
      </c>
      <c r="E333" s="7" t="n">
        <v>105679</v>
      </c>
      <c r="F333" s="7" t="n">
        <v>126664</v>
      </c>
      <c r="G333" s="7">
        <f>F333-E333</f>
        <v/>
      </c>
      <c r="H333" s="7" t="n">
        <v>107196</v>
      </c>
      <c r="I333" s="7" t="n">
        <v>94518</v>
      </c>
    </row>
    <row r="334" ht="15" customHeight="1" s="5">
      <c r="A334" s="7" t="inlineStr">
        <is>
          <t>PRJ028</t>
        </is>
      </c>
      <c r="B334" s="7" t="inlineStr">
        <is>
          <t>Sep</t>
        </is>
      </c>
      <c r="C334" s="7">
        <f>IFERROR(VLOOKUP(A334,Projects!$A:$AK,21,FALSE())/12,0)</f>
        <v/>
      </c>
      <c r="D334" s="7">
        <f>IFERROR(VLOOKUP(A334,Projects!$A:$AK,22,FALSE())/12,0)</f>
        <v/>
      </c>
      <c r="E334" s="7" t="n">
        <v>157308</v>
      </c>
      <c r="F334" s="7" t="n">
        <v>185206</v>
      </c>
      <c r="G334" s="7">
        <f>F334-E334</f>
        <v/>
      </c>
      <c r="H334" s="7" t="n">
        <v>176521</v>
      </c>
      <c r="I334" s="7" t="n">
        <v>112810</v>
      </c>
    </row>
    <row r="335" ht="15" customHeight="1" s="5">
      <c r="A335" s="7" t="inlineStr">
        <is>
          <t>PRJ028</t>
        </is>
      </c>
      <c r="B335" s="7" t="inlineStr">
        <is>
          <t>Oct</t>
        </is>
      </c>
      <c r="C335" s="7">
        <f>IFERROR(VLOOKUP(A335,Projects!$A:$AK,21,FALSE())/12,0)</f>
        <v/>
      </c>
      <c r="D335" s="7">
        <f>IFERROR(VLOOKUP(A335,Projects!$A:$AK,22,FALSE())/12,0)</f>
        <v/>
      </c>
      <c r="E335" s="7" t="n">
        <v>149163</v>
      </c>
      <c r="F335" s="7" t="n">
        <v>202632</v>
      </c>
      <c r="G335" s="7">
        <f>F335-E335</f>
        <v/>
      </c>
      <c r="H335" s="7" t="n">
        <v>170427</v>
      </c>
      <c r="I335" s="7" t="n">
        <v>150779</v>
      </c>
    </row>
    <row r="336" ht="15" customHeight="1" s="5">
      <c r="A336" s="7" t="inlineStr">
        <is>
          <t>PRJ028</t>
        </is>
      </c>
      <c r="B336" s="7" t="inlineStr">
        <is>
          <t>Nov</t>
        </is>
      </c>
      <c r="C336" s="7">
        <f>IFERROR(VLOOKUP(A336,Projects!$A:$AK,21,FALSE())/12,0)</f>
        <v/>
      </c>
      <c r="D336" s="7">
        <f>IFERROR(VLOOKUP(A336,Projects!$A:$AK,22,FALSE())/12,0)</f>
        <v/>
      </c>
      <c r="E336" s="7" t="n">
        <v>100248</v>
      </c>
      <c r="F336" s="7" t="n">
        <v>134389</v>
      </c>
      <c r="G336" s="7">
        <f>F336-E336</f>
        <v/>
      </c>
      <c r="H336" s="7" t="n">
        <v>115754</v>
      </c>
      <c r="I336" s="7" t="n">
        <v>125184</v>
      </c>
    </row>
    <row r="337" ht="15" customHeight="1" s="5">
      <c r="A337" s="7" t="inlineStr">
        <is>
          <t>PRJ028</t>
        </is>
      </c>
      <c r="B337" s="7" t="inlineStr">
        <is>
          <t>Dec</t>
        </is>
      </c>
      <c r="C337" s="7">
        <f>IFERROR(VLOOKUP(A337,Projects!$A:$AK,21,FALSE())/12,0)</f>
        <v/>
      </c>
      <c r="D337" s="7">
        <f>IFERROR(VLOOKUP(A337,Projects!$A:$AK,22,FALSE())/12,0)</f>
        <v/>
      </c>
      <c r="E337" s="7" t="n">
        <v>116484</v>
      </c>
      <c r="F337" s="7" t="n">
        <v>117392</v>
      </c>
      <c r="G337" s="7">
        <f>F337-E337</f>
        <v/>
      </c>
      <c r="H337" s="7" t="n">
        <v>116076</v>
      </c>
      <c r="I337" s="7" t="n">
        <v>84404</v>
      </c>
    </row>
    <row r="338" ht="15" customHeight="1" s="5">
      <c r="A338" s="7" t="inlineStr">
        <is>
          <t>PRJ029</t>
        </is>
      </c>
      <c r="B338" s="7" t="inlineStr">
        <is>
          <t>Jan</t>
        </is>
      </c>
      <c r="C338" s="7">
        <f>IFERROR(VLOOKUP(A338,Projects!$A:$AK,21,FALSE())/12,0)</f>
        <v/>
      </c>
      <c r="D338" s="7">
        <f>IFERROR(VLOOKUP(A338,Projects!$A:$AK,22,FALSE())/12,0)</f>
        <v/>
      </c>
      <c r="E338" s="7" t="n">
        <v>190453</v>
      </c>
      <c r="F338" s="7" t="n">
        <v>183909</v>
      </c>
      <c r="G338" s="7">
        <f>F338-E338</f>
        <v/>
      </c>
      <c r="H338" s="7" t="n">
        <v>189348</v>
      </c>
      <c r="I338" s="7" t="n">
        <v>193189</v>
      </c>
    </row>
    <row r="339" ht="15" customHeight="1" s="5">
      <c r="A339" s="7" t="inlineStr">
        <is>
          <t>PRJ029</t>
        </is>
      </c>
      <c r="B339" s="7" t="inlineStr">
        <is>
          <t>Feb</t>
        </is>
      </c>
      <c r="C339" s="7">
        <f>IFERROR(VLOOKUP(A339,Projects!$A:$AK,21,FALSE())/12,0)</f>
        <v/>
      </c>
      <c r="D339" s="7">
        <f>IFERROR(VLOOKUP(A339,Projects!$A:$AK,22,FALSE())/12,0)</f>
        <v/>
      </c>
      <c r="E339" s="7" t="n">
        <v>132993</v>
      </c>
      <c r="F339" s="7" t="n">
        <v>166941</v>
      </c>
      <c r="G339" s="7">
        <f>F339-E339</f>
        <v/>
      </c>
      <c r="H339" s="7" t="n">
        <v>137773</v>
      </c>
      <c r="I339" s="7" t="n">
        <v>137830</v>
      </c>
    </row>
    <row r="340" ht="15" customHeight="1" s="5">
      <c r="A340" s="7" t="inlineStr">
        <is>
          <t>PRJ029</t>
        </is>
      </c>
      <c r="B340" s="7" t="inlineStr">
        <is>
          <t>Mar</t>
        </is>
      </c>
      <c r="C340" s="7">
        <f>IFERROR(VLOOKUP(A340,Projects!$A:$AK,21,FALSE())/12,0)</f>
        <v/>
      </c>
      <c r="D340" s="7">
        <f>IFERROR(VLOOKUP(A340,Projects!$A:$AK,22,FALSE())/12,0)</f>
        <v/>
      </c>
      <c r="E340" s="7" t="n">
        <v>141160</v>
      </c>
      <c r="F340" s="7" t="n">
        <v>164224</v>
      </c>
      <c r="G340" s="7">
        <f>F340-E340</f>
        <v/>
      </c>
      <c r="H340" s="7" t="n">
        <v>160099</v>
      </c>
      <c r="I340" s="7" t="n">
        <v>164283</v>
      </c>
    </row>
    <row r="341" ht="15" customHeight="1" s="5">
      <c r="A341" s="7" t="inlineStr">
        <is>
          <t>PRJ029</t>
        </is>
      </c>
      <c r="B341" s="7" t="inlineStr">
        <is>
          <t>Apr</t>
        </is>
      </c>
      <c r="C341" s="7">
        <f>IFERROR(VLOOKUP(A341,Projects!$A:$AK,21,FALSE())/12,0)</f>
        <v/>
      </c>
      <c r="D341" s="7">
        <f>IFERROR(VLOOKUP(A341,Projects!$A:$AK,22,FALSE())/12,0)</f>
        <v/>
      </c>
      <c r="E341" s="7" t="n">
        <v>139442</v>
      </c>
      <c r="F341" s="7" t="n">
        <v>195653</v>
      </c>
      <c r="G341" s="7">
        <f>F341-E341</f>
        <v/>
      </c>
      <c r="H341" s="7" t="n">
        <v>187507</v>
      </c>
      <c r="I341" s="7" t="n">
        <v>157016</v>
      </c>
    </row>
    <row r="342" ht="15" customHeight="1" s="5">
      <c r="A342" s="7" t="inlineStr">
        <is>
          <t>PRJ029</t>
        </is>
      </c>
      <c r="B342" s="7" t="inlineStr">
        <is>
          <t>May</t>
        </is>
      </c>
      <c r="C342" s="7">
        <f>IFERROR(VLOOKUP(A342,Projects!$A:$AK,21,FALSE())/12,0)</f>
        <v/>
      </c>
      <c r="D342" s="7">
        <f>IFERROR(VLOOKUP(A342,Projects!$A:$AK,22,FALSE())/12,0)</f>
        <v/>
      </c>
      <c r="E342" s="7" t="n">
        <v>160953</v>
      </c>
      <c r="F342" s="7" t="n">
        <v>166188</v>
      </c>
      <c r="G342" s="7">
        <f>F342-E342</f>
        <v/>
      </c>
      <c r="H342" s="7" t="n">
        <v>160050</v>
      </c>
      <c r="I342" s="7" t="n">
        <v>121494</v>
      </c>
    </row>
    <row r="343" ht="15" customHeight="1" s="5">
      <c r="A343" s="7" t="inlineStr">
        <is>
          <t>PRJ029</t>
        </is>
      </c>
      <c r="B343" s="7" t="inlineStr">
        <is>
          <t>Jun</t>
        </is>
      </c>
      <c r="C343" s="7">
        <f>IFERROR(VLOOKUP(A343,Projects!$A:$AK,21,FALSE())/12,0)</f>
        <v/>
      </c>
      <c r="D343" s="7">
        <f>IFERROR(VLOOKUP(A343,Projects!$A:$AK,22,FALSE())/12,0)</f>
        <v/>
      </c>
      <c r="E343" s="7" t="n">
        <v>179296</v>
      </c>
      <c r="F343" s="7" t="n">
        <v>176792</v>
      </c>
      <c r="G343" s="7">
        <f>F343-E343</f>
        <v/>
      </c>
      <c r="H343" s="7" t="n">
        <v>158208</v>
      </c>
      <c r="I343" s="7" t="n">
        <v>112053</v>
      </c>
    </row>
    <row r="344" ht="15" customHeight="1" s="5">
      <c r="A344" s="7" t="inlineStr">
        <is>
          <t>PRJ029</t>
        </is>
      </c>
      <c r="B344" s="7" t="inlineStr">
        <is>
          <t>Jul</t>
        </is>
      </c>
      <c r="C344" s="7">
        <f>IFERROR(VLOOKUP(A344,Projects!$A:$AK,21,FALSE())/12,0)</f>
        <v/>
      </c>
      <c r="D344" s="7">
        <f>IFERROR(VLOOKUP(A344,Projects!$A:$AK,22,FALSE())/12,0)</f>
        <v/>
      </c>
      <c r="E344" s="7" t="n">
        <v>177565</v>
      </c>
      <c r="F344" s="7" t="n">
        <v>186642</v>
      </c>
      <c r="G344" s="7">
        <f>F344-E344</f>
        <v/>
      </c>
      <c r="H344" s="7" t="n">
        <v>160084</v>
      </c>
      <c r="I344" s="7" t="n">
        <v>168544</v>
      </c>
    </row>
    <row r="345" ht="15" customHeight="1" s="5">
      <c r="A345" s="7" t="inlineStr">
        <is>
          <t>PRJ029</t>
        </is>
      </c>
      <c r="B345" s="7" t="inlineStr">
        <is>
          <t>Aug</t>
        </is>
      </c>
      <c r="C345" s="7">
        <f>IFERROR(VLOOKUP(A345,Projects!$A:$AK,21,FALSE())/12,0)</f>
        <v/>
      </c>
      <c r="D345" s="7">
        <f>IFERROR(VLOOKUP(A345,Projects!$A:$AK,22,FALSE())/12,0)</f>
        <v/>
      </c>
      <c r="E345" s="7" t="n">
        <v>110762</v>
      </c>
      <c r="F345" s="7" t="n">
        <v>156850</v>
      </c>
      <c r="G345" s="7">
        <f>F345-E345</f>
        <v/>
      </c>
      <c r="H345" s="7" t="n">
        <v>141328</v>
      </c>
      <c r="I345" s="7" t="n">
        <v>142749</v>
      </c>
    </row>
    <row r="346" ht="15" customHeight="1" s="5">
      <c r="A346" s="7" t="inlineStr">
        <is>
          <t>PRJ029</t>
        </is>
      </c>
      <c r="B346" s="7" t="inlineStr">
        <is>
          <t>Sep</t>
        </is>
      </c>
      <c r="C346" s="7">
        <f>IFERROR(VLOOKUP(A346,Projects!$A:$AK,21,FALSE())/12,0)</f>
        <v/>
      </c>
      <c r="D346" s="7">
        <f>IFERROR(VLOOKUP(A346,Projects!$A:$AK,22,FALSE())/12,0)</f>
        <v/>
      </c>
      <c r="E346" s="7" t="n">
        <v>141381</v>
      </c>
      <c r="F346" s="7" t="n">
        <v>142505</v>
      </c>
      <c r="G346" s="7">
        <f>F346-E346</f>
        <v/>
      </c>
      <c r="H346" s="7" t="n">
        <v>110214</v>
      </c>
      <c r="I346" s="7" t="n">
        <v>131115</v>
      </c>
    </row>
    <row r="347" ht="15" customHeight="1" s="5">
      <c r="A347" s="7" t="inlineStr">
        <is>
          <t>PRJ029</t>
        </is>
      </c>
      <c r="B347" s="7" t="inlineStr">
        <is>
          <t>Oct</t>
        </is>
      </c>
      <c r="C347" s="7">
        <f>IFERROR(VLOOKUP(A347,Projects!$A:$AK,21,FALSE())/12,0)</f>
        <v/>
      </c>
      <c r="D347" s="7">
        <f>IFERROR(VLOOKUP(A347,Projects!$A:$AK,22,FALSE())/12,0)</f>
        <v/>
      </c>
      <c r="E347" s="7" t="n">
        <v>120513</v>
      </c>
      <c r="F347" s="7" t="n">
        <v>144200</v>
      </c>
      <c r="G347" s="7">
        <f>F347-E347</f>
        <v/>
      </c>
      <c r="H347" s="7" t="n">
        <v>117352</v>
      </c>
      <c r="I347" s="7" t="n">
        <v>120827</v>
      </c>
    </row>
    <row r="348" ht="15" customHeight="1" s="5">
      <c r="A348" s="7" t="inlineStr">
        <is>
          <t>PRJ029</t>
        </is>
      </c>
      <c r="B348" s="7" t="inlineStr">
        <is>
          <t>Nov</t>
        </is>
      </c>
      <c r="C348" s="7">
        <f>IFERROR(VLOOKUP(A348,Projects!$A:$AK,21,FALSE())/12,0)</f>
        <v/>
      </c>
      <c r="D348" s="7">
        <f>IFERROR(VLOOKUP(A348,Projects!$A:$AK,22,FALSE())/12,0)</f>
        <v/>
      </c>
      <c r="E348" s="7" t="n">
        <v>129245</v>
      </c>
      <c r="F348" s="7" t="n">
        <v>147641</v>
      </c>
      <c r="G348" s="7">
        <f>F348-E348</f>
        <v/>
      </c>
      <c r="H348" s="7" t="n">
        <v>137082</v>
      </c>
      <c r="I348" s="7" t="n">
        <v>88007</v>
      </c>
    </row>
    <row r="349" ht="15" customHeight="1" s="5">
      <c r="A349" s="7" t="inlineStr">
        <is>
          <t>PRJ029</t>
        </is>
      </c>
      <c r="B349" s="7" t="inlineStr">
        <is>
          <t>Dec</t>
        </is>
      </c>
      <c r="C349" s="7">
        <f>IFERROR(VLOOKUP(A349,Projects!$A:$AK,21,FALSE())/12,0)</f>
        <v/>
      </c>
      <c r="D349" s="7">
        <f>IFERROR(VLOOKUP(A349,Projects!$A:$AK,22,FALSE())/12,0)</f>
        <v/>
      </c>
      <c r="E349" s="7" t="n">
        <v>85493</v>
      </c>
      <c r="F349" s="7" t="n">
        <v>153943</v>
      </c>
      <c r="G349" s="7">
        <f>F349-E349</f>
        <v/>
      </c>
      <c r="H349" s="7" t="n">
        <v>129049</v>
      </c>
      <c r="I349" s="7" t="n">
        <v>129299</v>
      </c>
    </row>
    <row r="350" ht="15" customHeight="1" s="5">
      <c r="A350" s="7" t="inlineStr">
        <is>
          <t>PRJ030</t>
        </is>
      </c>
      <c r="B350" s="7" t="inlineStr">
        <is>
          <t>Jan</t>
        </is>
      </c>
      <c r="C350" s="7">
        <f>IFERROR(VLOOKUP(A350,Projects!$A:$AK,21,FALSE())/12,0)</f>
        <v/>
      </c>
      <c r="D350" s="7">
        <f>IFERROR(VLOOKUP(A350,Projects!$A:$AK,22,FALSE())/12,0)</f>
        <v/>
      </c>
      <c r="E350" s="7" t="n">
        <v>60221</v>
      </c>
      <c r="F350" s="7" t="n">
        <v>96837</v>
      </c>
      <c r="G350" s="7">
        <f>F350-E350</f>
        <v/>
      </c>
      <c r="H350" s="7" t="n">
        <v>80580</v>
      </c>
      <c r="I350" s="7" t="n">
        <v>83780</v>
      </c>
    </row>
    <row r="351" ht="15" customHeight="1" s="5">
      <c r="A351" s="7" t="inlineStr">
        <is>
          <t>PRJ030</t>
        </is>
      </c>
      <c r="B351" s="7" t="inlineStr">
        <is>
          <t>Feb</t>
        </is>
      </c>
      <c r="C351" s="7">
        <f>IFERROR(VLOOKUP(A351,Projects!$A:$AK,21,FALSE())/12,0)</f>
        <v/>
      </c>
      <c r="D351" s="7">
        <f>IFERROR(VLOOKUP(A351,Projects!$A:$AK,22,FALSE())/12,0)</f>
        <v/>
      </c>
      <c r="E351" s="7" t="n">
        <v>95207</v>
      </c>
      <c r="F351" s="7" t="n">
        <v>116354</v>
      </c>
      <c r="G351" s="7">
        <f>F351-E351</f>
        <v/>
      </c>
      <c r="H351" s="7" t="n">
        <v>88630</v>
      </c>
      <c r="I351" s="7" t="n">
        <v>82970</v>
      </c>
    </row>
    <row r="352" ht="15" customHeight="1" s="5">
      <c r="A352" s="7" t="inlineStr">
        <is>
          <t>PRJ030</t>
        </is>
      </c>
      <c r="B352" s="7" t="inlineStr">
        <is>
          <t>Mar</t>
        </is>
      </c>
      <c r="C352" s="7">
        <f>IFERROR(VLOOKUP(A352,Projects!$A:$AK,21,FALSE())/12,0)</f>
        <v/>
      </c>
      <c r="D352" s="7">
        <f>IFERROR(VLOOKUP(A352,Projects!$A:$AK,22,FALSE())/12,0)</f>
        <v/>
      </c>
      <c r="E352" s="7" t="n">
        <v>72958</v>
      </c>
      <c r="F352" s="7" t="n">
        <v>109998</v>
      </c>
      <c r="G352" s="7">
        <f>F352-E352</f>
        <v/>
      </c>
      <c r="H352" s="7" t="n">
        <v>98589</v>
      </c>
      <c r="I352" s="7" t="n">
        <v>84807</v>
      </c>
    </row>
    <row r="353" ht="15" customHeight="1" s="5">
      <c r="A353" s="7" t="inlineStr">
        <is>
          <t>PRJ030</t>
        </is>
      </c>
      <c r="B353" s="7" t="inlineStr">
        <is>
          <t>Apr</t>
        </is>
      </c>
      <c r="C353" s="7">
        <f>IFERROR(VLOOKUP(A353,Projects!$A:$AK,21,FALSE())/12,0)</f>
        <v/>
      </c>
      <c r="D353" s="7">
        <f>IFERROR(VLOOKUP(A353,Projects!$A:$AK,22,FALSE())/12,0)</f>
        <v/>
      </c>
      <c r="E353" s="7" t="n">
        <v>57418</v>
      </c>
      <c r="F353" s="7" t="n">
        <v>63845</v>
      </c>
      <c r="G353" s="7">
        <f>F353-E353</f>
        <v/>
      </c>
      <c r="H353" s="7" t="n">
        <v>54248</v>
      </c>
      <c r="I353" s="7" t="n">
        <v>57589</v>
      </c>
    </row>
    <row r="354" ht="15" customHeight="1" s="5">
      <c r="A354" s="7" t="inlineStr">
        <is>
          <t>PRJ030</t>
        </is>
      </c>
      <c r="B354" s="7" t="inlineStr">
        <is>
          <t>May</t>
        </is>
      </c>
      <c r="C354" s="7">
        <f>IFERROR(VLOOKUP(A354,Projects!$A:$AK,21,FALSE())/12,0)</f>
        <v/>
      </c>
      <c r="D354" s="7">
        <f>IFERROR(VLOOKUP(A354,Projects!$A:$AK,22,FALSE())/12,0)</f>
        <v/>
      </c>
      <c r="E354" s="7" t="n">
        <v>69827</v>
      </c>
      <c r="F354" s="7" t="n">
        <v>86964</v>
      </c>
      <c r="G354" s="7">
        <f>F354-E354</f>
        <v/>
      </c>
      <c r="H354" s="7" t="n">
        <v>74692</v>
      </c>
      <c r="I354" s="7" t="n">
        <v>52125</v>
      </c>
    </row>
    <row r="355" ht="15" customHeight="1" s="5">
      <c r="A355" s="7" t="inlineStr">
        <is>
          <t>PRJ030</t>
        </is>
      </c>
      <c r="B355" s="7" t="inlineStr">
        <is>
          <t>Jun</t>
        </is>
      </c>
      <c r="C355" s="7">
        <f>IFERROR(VLOOKUP(A355,Projects!$A:$AK,21,FALSE())/12,0)</f>
        <v/>
      </c>
      <c r="D355" s="7">
        <f>IFERROR(VLOOKUP(A355,Projects!$A:$AK,22,FALSE())/12,0)</f>
        <v/>
      </c>
      <c r="E355" s="7" t="n">
        <v>120968</v>
      </c>
      <c r="F355" s="7" t="n">
        <v>112929</v>
      </c>
      <c r="G355" s="7">
        <f>F355-E355</f>
        <v/>
      </c>
      <c r="H355" s="7" t="n">
        <v>103727</v>
      </c>
      <c r="I355" s="7" t="n">
        <v>107690</v>
      </c>
    </row>
    <row r="356" ht="15" customHeight="1" s="5">
      <c r="A356" s="7" t="inlineStr">
        <is>
          <t>PRJ030</t>
        </is>
      </c>
      <c r="B356" s="7" t="inlineStr">
        <is>
          <t>Jul</t>
        </is>
      </c>
      <c r="C356" s="7">
        <f>IFERROR(VLOOKUP(A356,Projects!$A:$AK,21,FALSE())/12,0)</f>
        <v/>
      </c>
      <c r="D356" s="7">
        <f>IFERROR(VLOOKUP(A356,Projects!$A:$AK,22,FALSE())/12,0)</f>
        <v/>
      </c>
      <c r="E356" s="7" t="n">
        <v>102221</v>
      </c>
      <c r="F356" s="7" t="n">
        <v>110664</v>
      </c>
      <c r="G356" s="7">
        <f>F356-E356</f>
        <v/>
      </c>
      <c r="H356" s="7" t="n">
        <v>102296</v>
      </c>
      <c r="I356" s="7" t="n">
        <v>112799</v>
      </c>
    </row>
    <row r="357" ht="15" customHeight="1" s="5">
      <c r="A357" s="7" t="inlineStr">
        <is>
          <t>PRJ030</t>
        </is>
      </c>
      <c r="B357" s="7" t="inlineStr">
        <is>
          <t>Aug</t>
        </is>
      </c>
      <c r="C357" s="7">
        <f>IFERROR(VLOOKUP(A357,Projects!$A:$AK,21,FALSE())/12,0)</f>
        <v/>
      </c>
      <c r="D357" s="7">
        <f>IFERROR(VLOOKUP(A357,Projects!$A:$AK,22,FALSE())/12,0)</f>
        <v/>
      </c>
      <c r="E357" s="7" t="n">
        <v>62826</v>
      </c>
      <c r="F357" s="7" t="n">
        <v>73419</v>
      </c>
      <c r="G357" s="7">
        <f>F357-E357</f>
        <v/>
      </c>
      <c r="H357" s="7" t="n">
        <v>66037</v>
      </c>
      <c r="I357" s="7" t="n">
        <v>56815</v>
      </c>
    </row>
    <row r="358" ht="15" customHeight="1" s="5">
      <c r="A358" s="7" t="inlineStr">
        <is>
          <t>PRJ030</t>
        </is>
      </c>
      <c r="B358" s="7" t="inlineStr">
        <is>
          <t>Sep</t>
        </is>
      </c>
      <c r="C358" s="7">
        <f>IFERROR(VLOOKUP(A358,Projects!$A:$AK,21,FALSE())/12,0)</f>
        <v/>
      </c>
      <c r="D358" s="7">
        <f>IFERROR(VLOOKUP(A358,Projects!$A:$AK,22,FALSE())/12,0)</f>
        <v/>
      </c>
      <c r="E358" s="7" t="n">
        <v>74940</v>
      </c>
      <c r="F358" s="7" t="n">
        <v>89901</v>
      </c>
      <c r="G358" s="7">
        <f>F358-E358</f>
        <v/>
      </c>
      <c r="H358" s="7" t="n">
        <v>62848</v>
      </c>
      <c r="I358" s="7" t="n">
        <v>47871</v>
      </c>
    </row>
    <row r="359" ht="15" customHeight="1" s="5">
      <c r="A359" s="7" t="inlineStr">
        <is>
          <t>PRJ030</t>
        </is>
      </c>
      <c r="B359" s="7" t="inlineStr">
        <is>
          <t>Oct</t>
        </is>
      </c>
      <c r="C359" s="7">
        <f>IFERROR(VLOOKUP(A359,Projects!$A:$AK,21,FALSE())/12,0)</f>
        <v/>
      </c>
      <c r="D359" s="7">
        <f>IFERROR(VLOOKUP(A359,Projects!$A:$AK,22,FALSE())/12,0)</f>
        <v/>
      </c>
      <c r="E359" s="7" t="n">
        <v>88444</v>
      </c>
      <c r="F359" s="7" t="n">
        <v>94995</v>
      </c>
      <c r="G359" s="7">
        <f>F359-E359</f>
        <v/>
      </c>
      <c r="H359" s="7" t="n">
        <v>86351</v>
      </c>
      <c r="I359" s="7" t="n">
        <v>66125</v>
      </c>
    </row>
    <row r="360" ht="15" customHeight="1" s="5">
      <c r="A360" s="7" t="inlineStr">
        <is>
          <t>PRJ030</t>
        </is>
      </c>
      <c r="B360" s="7" t="inlineStr">
        <is>
          <t>Nov</t>
        </is>
      </c>
      <c r="C360" s="7">
        <f>IFERROR(VLOOKUP(A360,Projects!$A:$AK,21,FALSE())/12,0)</f>
        <v/>
      </c>
      <c r="D360" s="7">
        <f>IFERROR(VLOOKUP(A360,Projects!$A:$AK,22,FALSE())/12,0)</f>
        <v/>
      </c>
      <c r="E360" s="7" t="n">
        <v>78607</v>
      </c>
      <c r="F360" s="7" t="n">
        <v>77245</v>
      </c>
      <c r="G360" s="7">
        <f>F360-E360</f>
        <v/>
      </c>
      <c r="H360" s="7" t="n">
        <v>71890</v>
      </c>
      <c r="I360" s="7" t="n">
        <v>60974</v>
      </c>
    </row>
    <row r="361" ht="15" customHeight="1" s="5">
      <c r="A361" s="7" t="inlineStr">
        <is>
          <t>PRJ030</t>
        </is>
      </c>
      <c r="B361" s="7" t="inlineStr">
        <is>
          <t>Dec</t>
        </is>
      </c>
      <c r="C361" s="7">
        <f>IFERROR(VLOOKUP(A361,Projects!$A:$AK,21,FALSE())/12,0)</f>
        <v/>
      </c>
      <c r="D361" s="7">
        <f>IFERROR(VLOOKUP(A361,Projects!$A:$AK,22,FALSE())/12,0)</f>
        <v/>
      </c>
      <c r="E361" s="7" t="n">
        <v>87526</v>
      </c>
      <c r="F361" s="7" t="n">
        <v>100617</v>
      </c>
      <c r="G361" s="7">
        <f>F361-E361</f>
        <v/>
      </c>
      <c r="H361" s="7" t="n">
        <v>82180</v>
      </c>
      <c r="I361" s="7" t="n">
        <v>89679</v>
      </c>
    </row>
    <row r="362" ht="15" customHeight="1" s="5">
      <c r="A362" s="7" t="inlineStr">
        <is>
          <t>PRJ031</t>
        </is>
      </c>
      <c r="B362" s="7" t="inlineStr">
        <is>
          <t>Jan</t>
        </is>
      </c>
      <c r="C362" s="7">
        <f>IFERROR(VLOOKUP(A362,Projects!$A:$AK,21,FALSE())/12,0)</f>
        <v/>
      </c>
      <c r="D362" s="7">
        <f>IFERROR(VLOOKUP(A362,Projects!$A:$AK,22,FALSE())/12,0)</f>
        <v/>
      </c>
      <c r="E362" s="7" t="n">
        <v>68399</v>
      </c>
      <c r="F362" s="7" t="n">
        <v>68345</v>
      </c>
      <c r="G362" s="7">
        <f>F362-E362</f>
        <v/>
      </c>
      <c r="H362" s="7" t="n">
        <v>62910</v>
      </c>
      <c r="I362" s="7" t="n">
        <v>55157</v>
      </c>
    </row>
    <row r="363" ht="15" customHeight="1" s="5">
      <c r="A363" s="7" t="inlineStr">
        <is>
          <t>PRJ031</t>
        </is>
      </c>
      <c r="B363" s="7" t="inlineStr">
        <is>
          <t>Feb</t>
        </is>
      </c>
      <c r="C363" s="7">
        <f>IFERROR(VLOOKUP(A363,Projects!$A:$AK,21,FALSE())/12,0)</f>
        <v/>
      </c>
      <c r="D363" s="7">
        <f>IFERROR(VLOOKUP(A363,Projects!$A:$AK,22,FALSE())/12,0)</f>
        <v/>
      </c>
      <c r="E363" s="7" t="n">
        <v>77590</v>
      </c>
      <c r="F363" s="7" t="n">
        <v>80614</v>
      </c>
      <c r="G363" s="7">
        <f>F363-E363</f>
        <v/>
      </c>
      <c r="H363" s="7" t="n">
        <v>68134</v>
      </c>
      <c r="I363" s="7" t="n">
        <v>58122</v>
      </c>
    </row>
    <row r="364" ht="15" customHeight="1" s="5">
      <c r="A364" s="7" t="inlineStr">
        <is>
          <t>PRJ031</t>
        </is>
      </c>
      <c r="B364" s="7" t="inlineStr">
        <is>
          <t>Mar</t>
        </is>
      </c>
      <c r="C364" s="7">
        <f>IFERROR(VLOOKUP(A364,Projects!$A:$AK,21,FALSE())/12,0)</f>
        <v/>
      </c>
      <c r="D364" s="7">
        <f>IFERROR(VLOOKUP(A364,Projects!$A:$AK,22,FALSE())/12,0)</f>
        <v/>
      </c>
      <c r="E364" s="7" t="n">
        <v>79877</v>
      </c>
      <c r="F364" s="7" t="n">
        <v>90481</v>
      </c>
      <c r="G364" s="7">
        <f>F364-E364</f>
        <v/>
      </c>
      <c r="H364" s="7" t="n">
        <v>88000</v>
      </c>
      <c r="I364" s="7" t="n">
        <v>70413</v>
      </c>
    </row>
    <row r="365" ht="15" customHeight="1" s="5">
      <c r="A365" s="7" t="inlineStr">
        <is>
          <t>PRJ031</t>
        </is>
      </c>
      <c r="B365" s="7" t="inlineStr">
        <is>
          <t>Apr</t>
        </is>
      </c>
      <c r="C365" s="7">
        <f>IFERROR(VLOOKUP(A365,Projects!$A:$AK,21,FALSE())/12,0)</f>
        <v/>
      </c>
      <c r="D365" s="7">
        <f>IFERROR(VLOOKUP(A365,Projects!$A:$AK,22,FALSE())/12,0)</f>
        <v/>
      </c>
      <c r="E365" s="7" t="n">
        <v>70619</v>
      </c>
      <c r="F365" s="7" t="n">
        <v>101853</v>
      </c>
      <c r="G365" s="7">
        <f>F365-E365</f>
        <v/>
      </c>
      <c r="H365" s="7" t="n">
        <v>81304</v>
      </c>
      <c r="I365" s="7" t="n">
        <v>76712</v>
      </c>
    </row>
    <row r="366" ht="15" customHeight="1" s="5">
      <c r="A366" s="7" t="inlineStr">
        <is>
          <t>PRJ031</t>
        </is>
      </c>
      <c r="B366" s="7" t="inlineStr">
        <is>
          <t>May</t>
        </is>
      </c>
      <c r="C366" s="7">
        <f>IFERROR(VLOOKUP(A366,Projects!$A:$AK,21,FALSE())/12,0)</f>
        <v/>
      </c>
      <c r="D366" s="7">
        <f>IFERROR(VLOOKUP(A366,Projects!$A:$AK,22,FALSE())/12,0)</f>
        <v/>
      </c>
      <c r="E366" s="7" t="n">
        <v>68977</v>
      </c>
      <c r="F366" s="7" t="n">
        <v>77411</v>
      </c>
      <c r="G366" s="7">
        <f>F366-E366</f>
        <v/>
      </c>
      <c r="H366" s="7" t="n">
        <v>60074</v>
      </c>
      <c r="I366" s="7" t="n">
        <v>68154</v>
      </c>
    </row>
    <row r="367" ht="15" customHeight="1" s="5">
      <c r="A367" s="7" t="inlineStr">
        <is>
          <t>PRJ031</t>
        </is>
      </c>
      <c r="B367" s="7" t="inlineStr">
        <is>
          <t>Jun</t>
        </is>
      </c>
      <c r="C367" s="7">
        <f>IFERROR(VLOOKUP(A367,Projects!$A:$AK,21,FALSE())/12,0)</f>
        <v/>
      </c>
      <c r="D367" s="7">
        <f>IFERROR(VLOOKUP(A367,Projects!$A:$AK,22,FALSE())/12,0)</f>
        <v/>
      </c>
      <c r="E367" s="7" t="n">
        <v>52502</v>
      </c>
      <c r="F367" s="7" t="n">
        <v>50810</v>
      </c>
      <c r="G367" s="7">
        <f>F367-E367</f>
        <v/>
      </c>
      <c r="H367" s="7" t="n">
        <v>46571</v>
      </c>
      <c r="I367" s="7" t="n">
        <v>39835</v>
      </c>
    </row>
    <row r="368" ht="15" customHeight="1" s="5">
      <c r="A368" s="7" t="inlineStr">
        <is>
          <t>PRJ031</t>
        </is>
      </c>
      <c r="B368" s="7" t="inlineStr">
        <is>
          <t>Jul</t>
        </is>
      </c>
      <c r="C368" s="7">
        <f>IFERROR(VLOOKUP(A368,Projects!$A:$AK,21,FALSE())/12,0)</f>
        <v/>
      </c>
      <c r="D368" s="7">
        <f>IFERROR(VLOOKUP(A368,Projects!$A:$AK,22,FALSE())/12,0)</f>
        <v/>
      </c>
      <c r="E368" s="7" t="n">
        <v>74801</v>
      </c>
      <c r="F368" s="7" t="n">
        <v>78829</v>
      </c>
      <c r="G368" s="7">
        <f>F368-E368</f>
        <v/>
      </c>
      <c r="H368" s="7" t="n">
        <v>68190</v>
      </c>
      <c r="I368" s="7" t="n">
        <v>52592</v>
      </c>
    </row>
    <row r="369" ht="15" customHeight="1" s="5">
      <c r="A369" s="7" t="inlineStr">
        <is>
          <t>PRJ031</t>
        </is>
      </c>
      <c r="B369" s="7" t="inlineStr">
        <is>
          <t>Aug</t>
        </is>
      </c>
      <c r="C369" s="7">
        <f>IFERROR(VLOOKUP(A369,Projects!$A:$AK,21,FALSE())/12,0)</f>
        <v/>
      </c>
      <c r="D369" s="7">
        <f>IFERROR(VLOOKUP(A369,Projects!$A:$AK,22,FALSE())/12,0)</f>
        <v/>
      </c>
      <c r="E369" s="7" t="n">
        <v>44677</v>
      </c>
      <c r="F369" s="7" t="n">
        <v>50515</v>
      </c>
      <c r="G369" s="7">
        <f>F369-E369</f>
        <v/>
      </c>
      <c r="H369" s="7" t="n">
        <v>46880</v>
      </c>
      <c r="I369" s="7" t="n">
        <v>51614</v>
      </c>
    </row>
    <row r="370" ht="15" customHeight="1" s="5">
      <c r="A370" s="7" t="inlineStr">
        <is>
          <t>PRJ031</t>
        </is>
      </c>
      <c r="B370" s="7" t="inlineStr">
        <is>
          <t>Sep</t>
        </is>
      </c>
      <c r="C370" s="7">
        <f>IFERROR(VLOOKUP(A370,Projects!$A:$AK,21,FALSE())/12,0)</f>
        <v/>
      </c>
      <c r="D370" s="7">
        <f>IFERROR(VLOOKUP(A370,Projects!$A:$AK,22,FALSE())/12,0)</f>
        <v/>
      </c>
      <c r="E370" s="7" t="n">
        <v>36397</v>
      </c>
      <c r="F370" s="7" t="n">
        <v>60813</v>
      </c>
      <c r="G370" s="7">
        <f>F370-E370</f>
        <v/>
      </c>
      <c r="H370" s="7" t="n">
        <v>53009</v>
      </c>
      <c r="I370" s="7" t="n">
        <v>53551</v>
      </c>
    </row>
    <row r="371" ht="15" customHeight="1" s="5">
      <c r="A371" s="7" t="inlineStr">
        <is>
          <t>PRJ031</t>
        </is>
      </c>
      <c r="B371" s="7" t="inlineStr">
        <is>
          <t>Oct</t>
        </is>
      </c>
      <c r="C371" s="7">
        <f>IFERROR(VLOOKUP(A371,Projects!$A:$AK,21,FALSE())/12,0)</f>
        <v/>
      </c>
      <c r="D371" s="7">
        <f>IFERROR(VLOOKUP(A371,Projects!$A:$AK,22,FALSE())/12,0)</f>
        <v/>
      </c>
      <c r="E371" s="7" t="n">
        <v>45363</v>
      </c>
      <c r="F371" s="7" t="n">
        <v>55267</v>
      </c>
      <c r="G371" s="7">
        <f>F371-E371</f>
        <v/>
      </c>
      <c r="H371" s="7" t="n">
        <v>45186</v>
      </c>
      <c r="I371" s="7" t="n">
        <v>52271</v>
      </c>
    </row>
    <row r="372" ht="15" customHeight="1" s="5">
      <c r="A372" s="7" t="inlineStr">
        <is>
          <t>PRJ031</t>
        </is>
      </c>
      <c r="B372" s="7" t="inlineStr">
        <is>
          <t>Nov</t>
        </is>
      </c>
      <c r="C372" s="7">
        <f>IFERROR(VLOOKUP(A372,Projects!$A:$AK,21,FALSE())/12,0)</f>
        <v/>
      </c>
      <c r="D372" s="7">
        <f>IFERROR(VLOOKUP(A372,Projects!$A:$AK,22,FALSE())/12,0)</f>
        <v/>
      </c>
      <c r="E372" s="7" t="n">
        <v>81587</v>
      </c>
      <c r="F372" s="7" t="n">
        <v>77296</v>
      </c>
      <c r="G372" s="7">
        <f>F372-E372</f>
        <v/>
      </c>
      <c r="H372" s="7" t="n">
        <v>80479</v>
      </c>
      <c r="I372" s="7" t="n">
        <v>76721</v>
      </c>
    </row>
    <row r="373" ht="15" customHeight="1" s="5">
      <c r="A373" s="7" t="inlineStr">
        <is>
          <t>PRJ031</t>
        </is>
      </c>
      <c r="B373" s="7" t="inlineStr">
        <is>
          <t>Dec</t>
        </is>
      </c>
      <c r="C373" s="7">
        <f>IFERROR(VLOOKUP(A373,Projects!$A:$AK,21,FALSE())/12,0)</f>
        <v/>
      </c>
      <c r="D373" s="7">
        <f>IFERROR(VLOOKUP(A373,Projects!$A:$AK,22,FALSE())/12,0)</f>
        <v/>
      </c>
      <c r="E373" s="7" t="n">
        <v>63796</v>
      </c>
      <c r="F373" s="7" t="n">
        <v>103506</v>
      </c>
      <c r="G373" s="7">
        <f>F373-E373</f>
        <v/>
      </c>
      <c r="H373" s="7" t="n">
        <v>85386</v>
      </c>
      <c r="I373" s="7" t="n">
        <v>84773</v>
      </c>
    </row>
    <row r="374" ht="15" customHeight="1" s="5">
      <c r="A374" s="7" t="inlineStr">
        <is>
          <t>PRJ032</t>
        </is>
      </c>
      <c r="B374" s="7" t="inlineStr">
        <is>
          <t>Jan</t>
        </is>
      </c>
      <c r="C374" s="7">
        <f>IFERROR(VLOOKUP(A374,Projects!$A:$AK,21,FALSE())/12,0)</f>
        <v/>
      </c>
      <c r="D374" s="7">
        <f>IFERROR(VLOOKUP(A374,Projects!$A:$AK,22,FALSE())/12,0)</f>
        <v/>
      </c>
      <c r="E374" s="7" t="n">
        <v>286980</v>
      </c>
      <c r="F374" s="7" t="n">
        <v>288485</v>
      </c>
      <c r="G374" s="7">
        <f>F374-E374</f>
        <v/>
      </c>
      <c r="H374" s="7" t="n">
        <v>247328</v>
      </c>
      <c r="I374" s="7" t="n">
        <v>170877</v>
      </c>
    </row>
    <row r="375" ht="15" customHeight="1" s="5">
      <c r="A375" s="7" t="inlineStr">
        <is>
          <t>PRJ032</t>
        </is>
      </c>
      <c r="B375" s="7" t="inlineStr">
        <is>
          <t>Feb</t>
        </is>
      </c>
      <c r="C375" s="7">
        <f>IFERROR(VLOOKUP(A375,Projects!$A:$AK,21,FALSE())/12,0)</f>
        <v/>
      </c>
      <c r="D375" s="7">
        <f>IFERROR(VLOOKUP(A375,Projects!$A:$AK,22,FALSE())/12,0)</f>
        <v/>
      </c>
      <c r="E375" s="7" t="n">
        <v>224526</v>
      </c>
      <c r="F375" s="7" t="n">
        <v>277887</v>
      </c>
      <c r="G375" s="7">
        <f>F375-E375</f>
        <v/>
      </c>
      <c r="H375" s="7" t="n">
        <v>225102</v>
      </c>
      <c r="I375" s="7" t="n">
        <v>216888</v>
      </c>
    </row>
    <row r="376" ht="15" customHeight="1" s="5">
      <c r="A376" s="7" t="inlineStr">
        <is>
          <t>PRJ032</t>
        </is>
      </c>
      <c r="B376" s="7" t="inlineStr">
        <is>
          <t>Mar</t>
        </is>
      </c>
      <c r="C376" s="7">
        <f>IFERROR(VLOOKUP(A376,Projects!$A:$AK,21,FALSE())/12,0)</f>
        <v/>
      </c>
      <c r="D376" s="7">
        <f>IFERROR(VLOOKUP(A376,Projects!$A:$AK,22,FALSE())/12,0)</f>
        <v/>
      </c>
      <c r="E376" s="7" t="n">
        <v>232426</v>
      </c>
      <c r="F376" s="7" t="n">
        <v>289795</v>
      </c>
      <c r="G376" s="7">
        <f>F376-E376</f>
        <v/>
      </c>
      <c r="H376" s="7" t="n">
        <v>261429</v>
      </c>
      <c r="I376" s="7" t="n">
        <v>222407</v>
      </c>
    </row>
    <row r="377" ht="15" customHeight="1" s="5">
      <c r="A377" s="7" t="inlineStr">
        <is>
          <t>PRJ032</t>
        </is>
      </c>
      <c r="B377" s="7" t="inlineStr">
        <is>
          <t>Apr</t>
        </is>
      </c>
      <c r="C377" s="7">
        <f>IFERROR(VLOOKUP(A377,Projects!$A:$AK,21,FALSE())/12,0)</f>
        <v/>
      </c>
      <c r="D377" s="7">
        <f>IFERROR(VLOOKUP(A377,Projects!$A:$AK,22,FALSE())/12,0)</f>
        <v/>
      </c>
      <c r="E377" s="7" t="n">
        <v>176764</v>
      </c>
      <c r="F377" s="7" t="n">
        <v>253727</v>
      </c>
      <c r="G377" s="7">
        <f>F377-E377</f>
        <v/>
      </c>
      <c r="H377" s="7" t="n">
        <v>210403</v>
      </c>
      <c r="I377" s="7" t="n">
        <v>222488</v>
      </c>
    </row>
    <row r="378" ht="15" customHeight="1" s="5">
      <c r="A378" s="7" t="inlineStr">
        <is>
          <t>PRJ032</t>
        </is>
      </c>
      <c r="B378" s="7" t="inlineStr">
        <is>
          <t>May</t>
        </is>
      </c>
      <c r="C378" s="7">
        <f>IFERROR(VLOOKUP(A378,Projects!$A:$AK,21,FALSE())/12,0)</f>
        <v/>
      </c>
      <c r="D378" s="7">
        <f>IFERROR(VLOOKUP(A378,Projects!$A:$AK,22,FALSE())/12,0)</f>
        <v/>
      </c>
      <c r="E378" s="7" t="n">
        <v>221783</v>
      </c>
      <c r="F378" s="7" t="n">
        <v>280282</v>
      </c>
      <c r="G378" s="7">
        <f>F378-E378</f>
        <v/>
      </c>
      <c r="H378" s="7" t="n">
        <v>236991</v>
      </c>
      <c r="I378" s="7" t="n">
        <v>252278</v>
      </c>
    </row>
    <row r="379" ht="15" customHeight="1" s="5">
      <c r="A379" s="7" t="inlineStr">
        <is>
          <t>PRJ032</t>
        </is>
      </c>
      <c r="B379" s="7" t="inlineStr">
        <is>
          <t>Jun</t>
        </is>
      </c>
      <c r="C379" s="7">
        <f>IFERROR(VLOOKUP(A379,Projects!$A:$AK,21,FALSE())/12,0)</f>
        <v/>
      </c>
      <c r="D379" s="7">
        <f>IFERROR(VLOOKUP(A379,Projects!$A:$AK,22,FALSE())/12,0)</f>
        <v/>
      </c>
      <c r="E379" s="7" t="n">
        <v>152185</v>
      </c>
      <c r="F379" s="7" t="n">
        <v>252192</v>
      </c>
      <c r="G379" s="7">
        <f>F379-E379</f>
        <v/>
      </c>
      <c r="H379" s="7" t="n">
        <v>207762</v>
      </c>
      <c r="I379" s="7" t="n">
        <v>186145</v>
      </c>
    </row>
    <row r="380" ht="15" customHeight="1" s="5">
      <c r="A380" s="7" t="inlineStr">
        <is>
          <t>PRJ032</t>
        </is>
      </c>
      <c r="B380" s="7" t="inlineStr">
        <is>
          <t>Jul</t>
        </is>
      </c>
      <c r="C380" s="7">
        <f>IFERROR(VLOOKUP(A380,Projects!$A:$AK,21,FALSE())/12,0)</f>
        <v/>
      </c>
      <c r="D380" s="7">
        <f>IFERROR(VLOOKUP(A380,Projects!$A:$AK,22,FALSE())/12,0)</f>
        <v/>
      </c>
      <c r="E380" s="7" t="n">
        <v>212874</v>
      </c>
      <c r="F380" s="7" t="n">
        <v>210317</v>
      </c>
      <c r="G380" s="7">
        <f>F380-E380</f>
        <v/>
      </c>
      <c r="H380" s="7" t="n">
        <v>184047</v>
      </c>
      <c r="I380" s="7" t="n">
        <v>174928</v>
      </c>
    </row>
    <row r="381" ht="15" customHeight="1" s="5">
      <c r="A381" s="7" t="inlineStr">
        <is>
          <t>PRJ032</t>
        </is>
      </c>
      <c r="B381" s="7" t="inlineStr">
        <is>
          <t>Aug</t>
        </is>
      </c>
      <c r="C381" s="7">
        <f>IFERROR(VLOOKUP(A381,Projects!$A:$AK,21,FALSE())/12,0)</f>
        <v/>
      </c>
      <c r="D381" s="7">
        <f>IFERROR(VLOOKUP(A381,Projects!$A:$AK,22,FALSE())/12,0)</f>
        <v/>
      </c>
      <c r="E381" s="7" t="n">
        <v>223430</v>
      </c>
      <c r="F381" s="7" t="n">
        <v>276439</v>
      </c>
      <c r="G381" s="7">
        <f>F381-E381</f>
        <v/>
      </c>
      <c r="H381" s="7" t="n">
        <v>234272</v>
      </c>
      <c r="I381" s="7" t="n">
        <v>211004</v>
      </c>
    </row>
    <row r="382" ht="15" customHeight="1" s="5">
      <c r="A382" s="7" t="inlineStr">
        <is>
          <t>PRJ032</t>
        </is>
      </c>
      <c r="B382" s="7" t="inlineStr">
        <is>
          <t>Sep</t>
        </is>
      </c>
      <c r="C382" s="7">
        <f>IFERROR(VLOOKUP(A382,Projects!$A:$AK,21,FALSE())/12,0)</f>
        <v/>
      </c>
      <c r="D382" s="7">
        <f>IFERROR(VLOOKUP(A382,Projects!$A:$AK,22,FALSE())/12,0)</f>
        <v/>
      </c>
      <c r="E382" s="7" t="n">
        <v>285783</v>
      </c>
      <c r="F382" s="7" t="n">
        <v>319030</v>
      </c>
      <c r="G382" s="7">
        <f>F382-E382</f>
        <v/>
      </c>
      <c r="H382" s="7" t="n">
        <v>270917</v>
      </c>
      <c r="I382" s="7" t="n">
        <v>295651</v>
      </c>
    </row>
    <row r="383" ht="15" customHeight="1" s="5">
      <c r="A383" s="7" t="inlineStr">
        <is>
          <t>PRJ032</t>
        </is>
      </c>
      <c r="B383" s="7" t="inlineStr">
        <is>
          <t>Oct</t>
        </is>
      </c>
      <c r="C383" s="7">
        <f>IFERROR(VLOOKUP(A383,Projects!$A:$AK,21,FALSE())/12,0)</f>
        <v/>
      </c>
      <c r="D383" s="7">
        <f>IFERROR(VLOOKUP(A383,Projects!$A:$AK,22,FALSE())/12,0)</f>
        <v/>
      </c>
      <c r="E383" s="7" t="n">
        <v>241523</v>
      </c>
      <c r="F383" s="7" t="n">
        <v>400139</v>
      </c>
      <c r="G383" s="7">
        <f>F383-E383</f>
        <v/>
      </c>
      <c r="H383" s="7" t="n">
        <v>356877</v>
      </c>
      <c r="I383" s="7" t="n">
        <v>285560</v>
      </c>
    </row>
    <row r="384" ht="15" customHeight="1" s="5">
      <c r="A384" s="7" t="inlineStr">
        <is>
          <t>PRJ032</t>
        </is>
      </c>
      <c r="B384" s="7" t="inlineStr">
        <is>
          <t>Nov</t>
        </is>
      </c>
      <c r="C384" s="7">
        <f>IFERROR(VLOOKUP(A384,Projects!$A:$AK,21,FALSE())/12,0)</f>
        <v/>
      </c>
      <c r="D384" s="7">
        <f>IFERROR(VLOOKUP(A384,Projects!$A:$AK,22,FALSE())/12,0)</f>
        <v/>
      </c>
      <c r="E384" s="7" t="n">
        <v>303377</v>
      </c>
      <c r="F384" s="7" t="n">
        <v>322829</v>
      </c>
      <c r="G384" s="7">
        <f>F384-E384</f>
        <v/>
      </c>
      <c r="H384" s="7" t="n">
        <v>268828</v>
      </c>
      <c r="I384" s="7" t="n">
        <v>219016</v>
      </c>
    </row>
    <row r="385" ht="15" customHeight="1" s="5">
      <c r="A385" s="7" t="inlineStr">
        <is>
          <t>PRJ032</t>
        </is>
      </c>
      <c r="B385" s="7" t="inlineStr">
        <is>
          <t>Dec</t>
        </is>
      </c>
      <c r="C385" s="7">
        <f>IFERROR(VLOOKUP(A385,Projects!$A:$AK,21,FALSE())/12,0)</f>
        <v/>
      </c>
      <c r="D385" s="7">
        <f>IFERROR(VLOOKUP(A385,Projects!$A:$AK,22,FALSE())/12,0)</f>
        <v/>
      </c>
      <c r="E385" s="7" t="n">
        <v>422187</v>
      </c>
      <c r="F385" s="7" t="n">
        <v>398843</v>
      </c>
      <c r="G385" s="7">
        <f>F385-E385</f>
        <v/>
      </c>
      <c r="H385" s="7" t="n">
        <v>375626</v>
      </c>
      <c r="I385" s="7" t="n">
        <v>346113</v>
      </c>
    </row>
    <row r="386" ht="15" customHeight="1" s="5">
      <c r="A386" s="7" t="inlineStr">
        <is>
          <t>PRJ033</t>
        </is>
      </c>
      <c r="B386" s="7" t="inlineStr">
        <is>
          <t>Jan</t>
        </is>
      </c>
      <c r="C386" s="7">
        <f>IFERROR(VLOOKUP(A386,Projects!$A:$AK,21,FALSE())/12,0)</f>
        <v/>
      </c>
      <c r="D386" s="7">
        <f>IFERROR(VLOOKUP(A386,Projects!$A:$AK,22,FALSE())/12,0)</f>
        <v/>
      </c>
      <c r="E386" s="7" t="n">
        <v>140403</v>
      </c>
      <c r="F386" s="7" t="n">
        <v>154148</v>
      </c>
      <c r="G386" s="7">
        <f>F386-E386</f>
        <v/>
      </c>
      <c r="H386" s="7" t="n">
        <v>152025</v>
      </c>
      <c r="I386" s="7" t="n">
        <v>125785</v>
      </c>
    </row>
    <row r="387" ht="15" customHeight="1" s="5">
      <c r="A387" s="7" t="inlineStr">
        <is>
          <t>PRJ033</t>
        </is>
      </c>
      <c r="B387" s="7" t="inlineStr">
        <is>
          <t>Feb</t>
        </is>
      </c>
      <c r="C387" s="7">
        <f>IFERROR(VLOOKUP(A387,Projects!$A:$AK,21,FALSE())/12,0)</f>
        <v/>
      </c>
      <c r="D387" s="7">
        <f>IFERROR(VLOOKUP(A387,Projects!$A:$AK,22,FALSE())/12,0)</f>
        <v/>
      </c>
      <c r="E387" s="7" t="n">
        <v>109911</v>
      </c>
      <c r="F387" s="7" t="n">
        <v>117410</v>
      </c>
      <c r="G387" s="7">
        <f>F387-E387</f>
        <v/>
      </c>
      <c r="H387" s="7" t="n">
        <v>92207</v>
      </c>
      <c r="I387" s="7" t="n">
        <v>71620</v>
      </c>
    </row>
    <row r="388" ht="15" customHeight="1" s="5">
      <c r="A388" s="7" t="inlineStr">
        <is>
          <t>PRJ033</t>
        </is>
      </c>
      <c r="B388" s="7" t="inlineStr">
        <is>
          <t>Mar</t>
        </is>
      </c>
      <c r="C388" s="7">
        <f>IFERROR(VLOOKUP(A388,Projects!$A:$AK,21,FALSE())/12,0)</f>
        <v/>
      </c>
      <c r="D388" s="7">
        <f>IFERROR(VLOOKUP(A388,Projects!$A:$AK,22,FALSE())/12,0)</f>
        <v/>
      </c>
      <c r="E388" s="7" t="n">
        <v>128780</v>
      </c>
      <c r="F388" s="7" t="n">
        <v>179322</v>
      </c>
      <c r="G388" s="7">
        <f>F388-E388</f>
        <v/>
      </c>
      <c r="H388" s="7" t="n">
        <v>161788</v>
      </c>
      <c r="I388" s="7" t="n">
        <v>137247</v>
      </c>
    </row>
    <row r="389" ht="15" customHeight="1" s="5">
      <c r="A389" s="7" t="inlineStr">
        <is>
          <t>PRJ033</t>
        </is>
      </c>
      <c r="B389" s="7" t="inlineStr">
        <is>
          <t>Apr</t>
        </is>
      </c>
      <c r="C389" s="7">
        <f>IFERROR(VLOOKUP(A389,Projects!$A:$AK,21,FALSE())/12,0)</f>
        <v/>
      </c>
      <c r="D389" s="7">
        <f>IFERROR(VLOOKUP(A389,Projects!$A:$AK,22,FALSE())/12,0)</f>
        <v/>
      </c>
      <c r="E389" s="7" t="n">
        <v>106086</v>
      </c>
      <c r="F389" s="7" t="n">
        <v>120832</v>
      </c>
      <c r="G389" s="7">
        <f>F389-E389</f>
        <v/>
      </c>
      <c r="H389" s="7" t="n">
        <v>115914</v>
      </c>
      <c r="I389" s="7" t="n">
        <v>87802</v>
      </c>
    </row>
    <row r="390" ht="15" customHeight="1" s="5">
      <c r="A390" s="7" t="inlineStr">
        <is>
          <t>PRJ033</t>
        </is>
      </c>
      <c r="B390" s="7" t="inlineStr">
        <is>
          <t>May</t>
        </is>
      </c>
      <c r="C390" s="7">
        <f>IFERROR(VLOOKUP(A390,Projects!$A:$AK,21,FALSE())/12,0)</f>
        <v/>
      </c>
      <c r="D390" s="7">
        <f>IFERROR(VLOOKUP(A390,Projects!$A:$AK,22,FALSE())/12,0)</f>
        <v/>
      </c>
      <c r="E390" s="7" t="n">
        <v>114563</v>
      </c>
      <c r="F390" s="7" t="n">
        <v>140226</v>
      </c>
      <c r="G390" s="7">
        <f>F390-E390</f>
        <v/>
      </c>
      <c r="H390" s="7" t="n">
        <v>113487</v>
      </c>
      <c r="I390" s="7" t="n">
        <v>117051</v>
      </c>
    </row>
    <row r="391" ht="15" customHeight="1" s="5">
      <c r="A391" s="7" t="inlineStr">
        <is>
          <t>PRJ033</t>
        </is>
      </c>
      <c r="B391" s="7" t="inlineStr">
        <is>
          <t>Jun</t>
        </is>
      </c>
      <c r="C391" s="7">
        <f>IFERROR(VLOOKUP(A391,Projects!$A:$AK,21,FALSE())/12,0)</f>
        <v/>
      </c>
      <c r="D391" s="7">
        <f>IFERROR(VLOOKUP(A391,Projects!$A:$AK,22,FALSE())/12,0)</f>
        <v/>
      </c>
      <c r="E391" s="7" t="n">
        <v>113321</v>
      </c>
      <c r="F391" s="7" t="n">
        <v>111882</v>
      </c>
      <c r="G391" s="7">
        <f>F391-E391</f>
        <v/>
      </c>
      <c r="H391" s="7" t="n">
        <v>119997</v>
      </c>
      <c r="I391" s="7" t="n">
        <v>100955</v>
      </c>
    </row>
    <row r="392" ht="15" customHeight="1" s="5">
      <c r="A392" s="7" t="inlineStr">
        <is>
          <t>PRJ033</t>
        </is>
      </c>
      <c r="B392" s="7" t="inlineStr">
        <is>
          <t>Jul</t>
        </is>
      </c>
      <c r="C392" s="7">
        <f>IFERROR(VLOOKUP(A392,Projects!$A:$AK,21,FALSE())/12,0)</f>
        <v/>
      </c>
      <c r="D392" s="7">
        <f>IFERROR(VLOOKUP(A392,Projects!$A:$AK,22,FALSE())/12,0)</f>
        <v/>
      </c>
      <c r="E392" s="7" t="n">
        <v>109283</v>
      </c>
      <c r="F392" s="7" t="n">
        <v>136532</v>
      </c>
      <c r="G392" s="7">
        <f>F392-E392</f>
        <v/>
      </c>
      <c r="H392" s="7" t="n">
        <v>126757</v>
      </c>
      <c r="I392" s="7" t="n">
        <v>88124</v>
      </c>
    </row>
    <row r="393" ht="15" customHeight="1" s="5">
      <c r="A393" s="7" t="inlineStr">
        <is>
          <t>PRJ033</t>
        </is>
      </c>
      <c r="B393" s="7" t="inlineStr">
        <is>
          <t>Aug</t>
        </is>
      </c>
      <c r="C393" s="7">
        <f>IFERROR(VLOOKUP(A393,Projects!$A:$AK,21,FALSE())/12,0)</f>
        <v/>
      </c>
      <c r="D393" s="7">
        <f>IFERROR(VLOOKUP(A393,Projects!$A:$AK,22,FALSE())/12,0)</f>
        <v/>
      </c>
      <c r="E393" s="7" t="n">
        <v>98562</v>
      </c>
      <c r="F393" s="7" t="n">
        <v>166212</v>
      </c>
      <c r="G393" s="7">
        <f>F393-E393</f>
        <v/>
      </c>
      <c r="H393" s="7" t="n">
        <v>143732</v>
      </c>
      <c r="I393" s="7" t="n">
        <v>113201</v>
      </c>
    </row>
    <row r="394" ht="15" customHeight="1" s="5">
      <c r="A394" s="7" t="inlineStr">
        <is>
          <t>PRJ033</t>
        </is>
      </c>
      <c r="B394" s="7" t="inlineStr">
        <is>
          <t>Sep</t>
        </is>
      </c>
      <c r="C394" s="7">
        <f>IFERROR(VLOOKUP(A394,Projects!$A:$AK,21,FALSE())/12,0)</f>
        <v/>
      </c>
      <c r="D394" s="7">
        <f>IFERROR(VLOOKUP(A394,Projects!$A:$AK,22,FALSE())/12,0)</f>
        <v/>
      </c>
      <c r="E394" s="7" t="n">
        <v>87066</v>
      </c>
      <c r="F394" s="7" t="n">
        <v>148999</v>
      </c>
      <c r="G394" s="7">
        <f>F394-E394</f>
        <v/>
      </c>
      <c r="H394" s="7" t="n">
        <v>131889</v>
      </c>
      <c r="I394" s="7" t="n">
        <v>129709</v>
      </c>
    </row>
    <row r="395" ht="15" customHeight="1" s="5">
      <c r="A395" s="7" t="inlineStr">
        <is>
          <t>PRJ033</t>
        </is>
      </c>
      <c r="B395" s="7" t="inlineStr">
        <is>
          <t>Oct</t>
        </is>
      </c>
      <c r="C395" s="7">
        <f>IFERROR(VLOOKUP(A395,Projects!$A:$AK,21,FALSE())/12,0)</f>
        <v/>
      </c>
      <c r="D395" s="7">
        <f>IFERROR(VLOOKUP(A395,Projects!$A:$AK,22,FALSE())/12,0)</f>
        <v/>
      </c>
      <c r="E395" s="7" t="n">
        <v>80706</v>
      </c>
      <c r="F395" s="7" t="n">
        <v>112341</v>
      </c>
      <c r="G395" s="7">
        <f>F395-E395</f>
        <v/>
      </c>
      <c r="H395" s="7" t="n">
        <v>108619</v>
      </c>
      <c r="I395" s="7" t="n">
        <v>90610</v>
      </c>
    </row>
    <row r="396" ht="15" customHeight="1" s="5">
      <c r="A396" s="7" t="inlineStr">
        <is>
          <t>PRJ033</t>
        </is>
      </c>
      <c r="B396" s="7" t="inlineStr">
        <is>
          <t>Nov</t>
        </is>
      </c>
      <c r="C396" s="7">
        <f>IFERROR(VLOOKUP(A396,Projects!$A:$AK,21,FALSE())/12,0)</f>
        <v/>
      </c>
      <c r="D396" s="7">
        <f>IFERROR(VLOOKUP(A396,Projects!$A:$AK,22,FALSE())/12,0)</f>
        <v/>
      </c>
      <c r="E396" s="7" t="n">
        <v>115628</v>
      </c>
      <c r="F396" s="7" t="n">
        <v>120346</v>
      </c>
      <c r="G396" s="7">
        <f>F396-E396</f>
        <v/>
      </c>
      <c r="H396" s="7" t="n">
        <v>112346</v>
      </c>
      <c r="I396" s="7" t="n">
        <v>118642</v>
      </c>
    </row>
    <row r="397" ht="15" customHeight="1" s="5">
      <c r="A397" s="7" t="inlineStr">
        <is>
          <t>PRJ033</t>
        </is>
      </c>
      <c r="B397" s="7" t="inlineStr">
        <is>
          <t>Dec</t>
        </is>
      </c>
      <c r="C397" s="7">
        <f>IFERROR(VLOOKUP(A397,Projects!$A:$AK,21,FALSE())/12,0)</f>
        <v/>
      </c>
      <c r="D397" s="7">
        <f>IFERROR(VLOOKUP(A397,Projects!$A:$AK,22,FALSE())/12,0)</f>
        <v/>
      </c>
      <c r="E397" s="7" t="n">
        <v>106390</v>
      </c>
      <c r="F397" s="7" t="n">
        <v>149121</v>
      </c>
      <c r="G397" s="7">
        <f>F397-E397</f>
        <v/>
      </c>
      <c r="H397" s="7" t="n">
        <v>113093</v>
      </c>
      <c r="I397" s="7" t="n">
        <v>82747</v>
      </c>
    </row>
    <row r="398" ht="15" customHeight="1" s="5">
      <c r="A398" s="7" t="inlineStr">
        <is>
          <t>PRJ034</t>
        </is>
      </c>
      <c r="B398" s="7" t="inlineStr">
        <is>
          <t>Jan</t>
        </is>
      </c>
      <c r="C398" s="7">
        <f>IFERROR(VLOOKUP(A398,Projects!$A:$AK,21,FALSE())/12,0)</f>
        <v/>
      </c>
      <c r="D398" s="7">
        <f>IFERROR(VLOOKUP(A398,Projects!$A:$AK,22,FALSE())/12,0)</f>
        <v/>
      </c>
      <c r="E398" s="7" t="n">
        <v>82831</v>
      </c>
      <c r="F398" s="7" t="n">
        <v>96234</v>
      </c>
      <c r="G398" s="7">
        <f>F398-E398</f>
        <v/>
      </c>
      <c r="H398" s="7" t="n">
        <v>88690</v>
      </c>
      <c r="I398" s="7" t="n">
        <v>77212</v>
      </c>
    </row>
    <row r="399" ht="15" customHeight="1" s="5">
      <c r="A399" s="7" t="inlineStr">
        <is>
          <t>PRJ034</t>
        </is>
      </c>
      <c r="B399" s="7" t="inlineStr">
        <is>
          <t>Feb</t>
        </is>
      </c>
      <c r="C399" s="7">
        <f>IFERROR(VLOOKUP(A399,Projects!$A:$AK,21,FALSE())/12,0)</f>
        <v/>
      </c>
      <c r="D399" s="7">
        <f>IFERROR(VLOOKUP(A399,Projects!$A:$AK,22,FALSE())/12,0)</f>
        <v/>
      </c>
      <c r="E399" s="7" t="n">
        <v>90787</v>
      </c>
      <c r="F399" s="7" t="n">
        <v>105432</v>
      </c>
      <c r="G399" s="7">
        <f>F399-E399</f>
        <v/>
      </c>
      <c r="H399" s="7" t="n">
        <v>83172</v>
      </c>
      <c r="I399" s="7" t="n">
        <v>90102</v>
      </c>
    </row>
    <row r="400" ht="15" customHeight="1" s="5">
      <c r="A400" s="7" t="inlineStr">
        <is>
          <t>PRJ034</t>
        </is>
      </c>
      <c r="B400" s="7" t="inlineStr">
        <is>
          <t>Mar</t>
        </is>
      </c>
      <c r="C400" s="7">
        <f>IFERROR(VLOOKUP(A400,Projects!$A:$AK,21,FALSE())/12,0)</f>
        <v/>
      </c>
      <c r="D400" s="7">
        <f>IFERROR(VLOOKUP(A400,Projects!$A:$AK,22,FALSE())/12,0)</f>
        <v/>
      </c>
      <c r="E400" s="7" t="n">
        <v>118807</v>
      </c>
      <c r="F400" s="7" t="n">
        <v>124735</v>
      </c>
      <c r="G400" s="7">
        <f>F400-E400</f>
        <v/>
      </c>
      <c r="H400" s="7" t="n">
        <v>107879</v>
      </c>
      <c r="I400" s="7" t="n">
        <v>94075</v>
      </c>
    </row>
    <row r="401" ht="15" customHeight="1" s="5">
      <c r="A401" s="7" t="inlineStr">
        <is>
          <t>PRJ034</t>
        </is>
      </c>
      <c r="B401" s="7" t="inlineStr">
        <is>
          <t>Apr</t>
        </is>
      </c>
      <c r="C401" s="7">
        <f>IFERROR(VLOOKUP(A401,Projects!$A:$AK,21,FALSE())/12,0)</f>
        <v/>
      </c>
      <c r="D401" s="7">
        <f>IFERROR(VLOOKUP(A401,Projects!$A:$AK,22,FALSE())/12,0)</f>
        <v/>
      </c>
      <c r="E401" s="7" t="n">
        <v>99966</v>
      </c>
      <c r="F401" s="7" t="n">
        <v>109356</v>
      </c>
      <c r="G401" s="7">
        <f>F401-E401</f>
        <v/>
      </c>
      <c r="H401" s="7" t="n">
        <v>89919</v>
      </c>
      <c r="I401" s="7" t="n">
        <v>80922</v>
      </c>
    </row>
    <row r="402" ht="15" customHeight="1" s="5">
      <c r="A402" s="7" t="inlineStr">
        <is>
          <t>PRJ034</t>
        </is>
      </c>
      <c r="B402" s="7" t="inlineStr">
        <is>
          <t>May</t>
        </is>
      </c>
      <c r="C402" s="7">
        <f>IFERROR(VLOOKUP(A402,Projects!$A:$AK,21,FALSE())/12,0)</f>
        <v/>
      </c>
      <c r="D402" s="7">
        <f>IFERROR(VLOOKUP(A402,Projects!$A:$AK,22,FALSE())/12,0)</f>
        <v/>
      </c>
      <c r="E402" s="7" t="n">
        <v>106395</v>
      </c>
      <c r="F402" s="7" t="n">
        <v>180595</v>
      </c>
      <c r="G402" s="7">
        <f>F402-E402</f>
        <v/>
      </c>
      <c r="H402" s="7" t="n">
        <v>146758</v>
      </c>
      <c r="I402" s="7" t="n">
        <v>102715</v>
      </c>
    </row>
    <row r="403" ht="15" customHeight="1" s="5">
      <c r="A403" s="7" t="inlineStr">
        <is>
          <t>PRJ034</t>
        </is>
      </c>
      <c r="B403" s="7" t="inlineStr">
        <is>
          <t>Jun</t>
        </is>
      </c>
      <c r="C403" s="7">
        <f>IFERROR(VLOOKUP(A403,Projects!$A:$AK,21,FALSE())/12,0)</f>
        <v/>
      </c>
      <c r="D403" s="7">
        <f>IFERROR(VLOOKUP(A403,Projects!$A:$AK,22,FALSE())/12,0)</f>
        <v/>
      </c>
      <c r="E403" s="7" t="n">
        <v>59591</v>
      </c>
      <c r="F403" s="7" t="n">
        <v>63376</v>
      </c>
      <c r="G403" s="7">
        <f>F403-E403</f>
        <v/>
      </c>
      <c r="H403" s="7" t="n">
        <v>55043</v>
      </c>
      <c r="I403" s="7" t="n">
        <v>61788</v>
      </c>
    </row>
    <row r="404" ht="15" customHeight="1" s="5">
      <c r="A404" s="7" t="inlineStr">
        <is>
          <t>PRJ034</t>
        </is>
      </c>
      <c r="B404" s="7" t="inlineStr">
        <is>
          <t>Jul</t>
        </is>
      </c>
      <c r="C404" s="7">
        <f>IFERROR(VLOOKUP(A404,Projects!$A:$AK,21,FALSE())/12,0)</f>
        <v/>
      </c>
      <c r="D404" s="7">
        <f>IFERROR(VLOOKUP(A404,Projects!$A:$AK,22,FALSE())/12,0)</f>
        <v/>
      </c>
      <c r="E404" s="7" t="n">
        <v>74510</v>
      </c>
      <c r="F404" s="7" t="n">
        <v>93515</v>
      </c>
      <c r="G404" s="7">
        <f>F404-E404</f>
        <v/>
      </c>
      <c r="H404" s="7" t="n">
        <v>88330</v>
      </c>
      <c r="I404" s="7" t="n">
        <v>77631</v>
      </c>
    </row>
    <row r="405" ht="15" customHeight="1" s="5">
      <c r="A405" s="7" t="inlineStr">
        <is>
          <t>PRJ034</t>
        </is>
      </c>
      <c r="B405" s="7" t="inlineStr">
        <is>
          <t>Aug</t>
        </is>
      </c>
      <c r="C405" s="7">
        <f>IFERROR(VLOOKUP(A405,Projects!$A:$AK,21,FALSE())/12,0)</f>
        <v/>
      </c>
      <c r="D405" s="7">
        <f>IFERROR(VLOOKUP(A405,Projects!$A:$AK,22,FALSE())/12,0)</f>
        <v/>
      </c>
      <c r="E405" s="7" t="n">
        <v>79630</v>
      </c>
      <c r="F405" s="7" t="n">
        <v>96707</v>
      </c>
      <c r="G405" s="7">
        <f>F405-E405</f>
        <v/>
      </c>
      <c r="H405" s="7" t="n">
        <v>82919</v>
      </c>
      <c r="I405" s="7" t="n">
        <v>69141</v>
      </c>
    </row>
    <row r="406" ht="15" customHeight="1" s="5">
      <c r="A406" s="7" t="inlineStr">
        <is>
          <t>PRJ034</t>
        </is>
      </c>
      <c r="B406" s="7" t="inlineStr">
        <is>
          <t>Sep</t>
        </is>
      </c>
      <c r="C406" s="7">
        <f>IFERROR(VLOOKUP(A406,Projects!$A:$AK,21,FALSE())/12,0)</f>
        <v/>
      </c>
      <c r="D406" s="7">
        <f>IFERROR(VLOOKUP(A406,Projects!$A:$AK,22,FALSE())/12,0)</f>
        <v/>
      </c>
      <c r="E406" s="7" t="n">
        <v>86372</v>
      </c>
      <c r="F406" s="7" t="n">
        <v>108013</v>
      </c>
      <c r="G406" s="7">
        <f>F406-E406</f>
        <v/>
      </c>
      <c r="H406" s="7" t="n">
        <v>82329</v>
      </c>
      <c r="I406" s="7" t="n">
        <v>77795</v>
      </c>
    </row>
    <row r="407" ht="15" customHeight="1" s="5">
      <c r="A407" s="7" t="inlineStr">
        <is>
          <t>PRJ034</t>
        </is>
      </c>
      <c r="B407" s="7" t="inlineStr">
        <is>
          <t>Oct</t>
        </is>
      </c>
      <c r="C407" s="7">
        <f>IFERROR(VLOOKUP(A407,Projects!$A:$AK,21,FALSE())/12,0)</f>
        <v/>
      </c>
      <c r="D407" s="7">
        <f>IFERROR(VLOOKUP(A407,Projects!$A:$AK,22,FALSE())/12,0)</f>
        <v/>
      </c>
      <c r="E407" s="7" t="n">
        <v>85663</v>
      </c>
      <c r="F407" s="7" t="n">
        <v>125141</v>
      </c>
      <c r="G407" s="7">
        <f>F407-E407</f>
        <v/>
      </c>
      <c r="H407" s="7" t="n">
        <v>99893</v>
      </c>
      <c r="I407" s="7" t="n">
        <v>96429</v>
      </c>
    </row>
    <row r="408" ht="15" customHeight="1" s="5">
      <c r="A408" s="7" t="inlineStr">
        <is>
          <t>PRJ034</t>
        </is>
      </c>
      <c r="B408" s="7" t="inlineStr">
        <is>
          <t>Nov</t>
        </is>
      </c>
      <c r="C408" s="7">
        <f>IFERROR(VLOOKUP(A408,Projects!$A:$AK,21,FALSE())/12,0)</f>
        <v/>
      </c>
      <c r="D408" s="7">
        <f>IFERROR(VLOOKUP(A408,Projects!$A:$AK,22,FALSE())/12,0)</f>
        <v/>
      </c>
      <c r="E408" s="7" t="n">
        <v>81846</v>
      </c>
      <c r="F408" s="7" t="n">
        <v>81004</v>
      </c>
      <c r="G408" s="7">
        <f>F408-E408</f>
        <v/>
      </c>
      <c r="H408" s="7" t="n">
        <v>81934</v>
      </c>
      <c r="I408" s="7" t="n">
        <v>86018</v>
      </c>
    </row>
    <row r="409" ht="15" customHeight="1" s="5">
      <c r="A409" s="7" t="inlineStr">
        <is>
          <t>PRJ034</t>
        </is>
      </c>
      <c r="B409" s="7" t="inlineStr">
        <is>
          <t>Dec</t>
        </is>
      </c>
      <c r="C409" s="7">
        <f>IFERROR(VLOOKUP(A409,Projects!$A:$AK,21,FALSE())/12,0)</f>
        <v/>
      </c>
      <c r="D409" s="7">
        <f>IFERROR(VLOOKUP(A409,Projects!$A:$AK,22,FALSE())/12,0)</f>
        <v/>
      </c>
      <c r="E409" s="7" t="n">
        <v>131686</v>
      </c>
      <c r="F409" s="7" t="n">
        <v>145462</v>
      </c>
      <c r="G409" s="7">
        <f>F409-E409</f>
        <v/>
      </c>
      <c r="H409" s="7" t="n">
        <v>154704</v>
      </c>
      <c r="I409" s="7" t="n">
        <v>100509</v>
      </c>
    </row>
    <row r="410" ht="15" customHeight="1" s="5">
      <c r="A410" s="7" t="inlineStr">
        <is>
          <t>PRJ035</t>
        </is>
      </c>
      <c r="B410" s="7" t="inlineStr">
        <is>
          <t>Jan</t>
        </is>
      </c>
      <c r="C410" s="7">
        <f>IFERROR(VLOOKUP(A410,Projects!$A:$AK,21,FALSE())/12,0)</f>
        <v/>
      </c>
      <c r="D410" s="7">
        <f>IFERROR(VLOOKUP(A410,Projects!$A:$AK,22,FALSE())/12,0)</f>
        <v/>
      </c>
      <c r="E410" s="7" t="n">
        <v>335369</v>
      </c>
      <c r="F410" s="7" t="n">
        <v>285482</v>
      </c>
      <c r="G410" s="7">
        <f>F410-E410</f>
        <v/>
      </c>
      <c r="H410" s="7" t="n">
        <v>287722</v>
      </c>
      <c r="I410" s="7" t="n">
        <v>285394</v>
      </c>
    </row>
    <row r="411" ht="15" customHeight="1" s="5">
      <c r="A411" s="7" t="inlineStr">
        <is>
          <t>PRJ035</t>
        </is>
      </c>
      <c r="B411" s="7" t="inlineStr">
        <is>
          <t>Feb</t>
        </is>
      </c>
      <c r="C411" s="7">
        <f>IFERROR(VLOOKUP(A411,Projects!$A:$AK,21,FALSE())/12,0)</f>
        <v/>
      </c>
      <c r="D411" s="7">
        <f>IFERROR(VLOOKUP(A411,Projects!$A:$AK,22,FALSE())/12,0)</f>
        <v/>
      </c>
      <c r="E411" s="7" t="n">
        <v>166563</v>
      </c>
      <c r="F411" s="7" t="n">
        <v>236242</v>
      </c>
      <c r="G411" s="7">
        <f>F411-E411</f>
        <v/>
      </c>
      <c r="H411" s="7" t="n">
        <v>192893</v>
      </c>
      <c r="I411" s="7" t="n">
        <v>173748</v>
      </c>
    </row>
    <row r="412" ht="15" customHeight="1" s="5">
      <c r="A412" s="7" t="inlineStr">
        <is>
          <t>PRJ035</t>
        </is>
      </c>
      <c r="B412" s="7" t="inlineStr">
        <is>
          <t>Mar</t>
        </is>
      </c>
      <c r="C412" s="7">
        <f>IFERROR(VLOOKUP(A412,Projects!$A:$AK,21,FALSE())/12,0)</f>
        <v/>
      </c>
      <c r="D412" s="7">
        <f>IFERROR(VLOOKUP(A412,Projects!$A:$AK,22,FALSE())/12,0)</f>
        <v/>
      </c>
      <c r="E412" s="7" t="n">
        <v>250530</v>
      </c>
      <c r="F412" s="7" t="n">
        <v>352422</v>
      </c>
      <c r="G412" s="7">
        <f>F412-E412</f>
        <v/>
      </c>
      <c r="H412" s="7" t="n">
        <v>296629</v>
      </c>
      <c r="I412" s="7" t="n">
        <v>221220</v>
      </c>
    </row>
    <row r="413" ht="15" customHeight="1" s="5">
      <c r="A413" s="7" t="inlineStr">
        <is>
          <t>PRJ035</t>
        </is>
      </c>
      <c r="B413" s="7" t="inlineStr">
        <is>
          <t>Apr</t>
        </is>
      </c>
      <c r="C413" s="7">
        <f>IFERROR(VLOOKUP(A413,Projects!$A:$AK,21,FALSE())/12,0)</f>
        <v/>
      </c>
      <c r="D413" s="7">
        <f>IFERROR(VLOOKUP(A413,Projects!$A:$AK,22,FALSE())/12,0)</f>
        <v/>
      </c>
      <c r="E413" s="7" t="n">
        <v>231389</v>
      </c>
      <c r="F413" s="7" t="n">
        <v>256797</v>
      </c>
      <c r="G413" s="7">
        <f>F413-E413</f>
        <v/>
      </c>
      <c r="H413" s="7" t="n">
        <v>216677</v>
      </c>
      <c r="I413" s="7" t="n">
        <v>148267</v>
      </c>
    </row>
    <row r="414" ht="15" customHeight="1" s="5">
      <c r="A414" s="7" t="inlineStr">
        <is>
          <t>PRJ035</t>
        </is>
      </c>
      <c r="B414" s="7" t="inlineStr">
        <is>
          <t>May</t>
        </is>
      </c>
      <c r="C414" s="7">
        <f>IFERROR(VLOOKUP(A414,Projects!$A:$AK,21,FALSE())/12,0)</f>
        <v/>
      </c>
      <c r="D414" s="7">
        <f>IFERROR(VLOOKUP(A414,Projects!$A:$AK,22,FALSE())/12,0)</f>
        <v/>
      </c>
      <c r="E414" s="7" t="n">
        <v>162162</v>
      </c>
      <c r="F414" s="7" t="n">
        <v>297368</v>
      </c>
      <c r="G414" s="7">
        <f>F414-E414</f>
        <v/>
      </c>
      <c r="H414" s="7" t="n">
        <v>249220</v>
      </c>
      <c r="I414" s="7" t="n">
        <v>220185</v>
      </c>
    </row>
    <row r="415" ht="15" customHeight="1" s="5">
      <c r="A415" s="7" t="inlineStr">
        <is>
          <t>PRJ035</t>
        </is>
      </c>
      <c r="B415" s="7" t="inlineStr">
        <is>
          <t>Jun</t>
        </is>
      </c>
      <c r="C415" s="7">
        <f>IFERROR(VLOOKUP(A415,Projects!$A:$AK,21,FALSE())/12,0)</f>
        <v/>
      </c>
      <c r="D415" s="7">
        <f>IFERROR(VLOOKUP(A415,Projects!$A:$AK,22,FALSE())/12,0)</f>
        <v/>
      </c>
      <c r="E415" s="7" t="n">
        <v>181852</v>
      </c>
      <c r="F415" s="7" t="n">
        <v>237309</v>
      </c>
      <c r="G415" s="7">
        <f>F415-E415</f>
        <v/>
      </c>
      <c r="H415" s="7" t="n">
        <v>182443</v>
      </c>
      <c r="I415" s="7" t="n">
        <v>139250</v>
      </c>
    </row>
    <row r="416" ht="15" customHeight="1" s="5">
      <c r="A416" s="7" t="inlineStr">
        <is>
          <t>PRJ035</t>
        </is>
      </c>
      <c r="B416" s="7" t="inlineStr">
        <is>
          <t>Jul</t>
        </is>
      </c>
      <c r="C416" s="7">
        <f>IFERROR(VLOOKUP(A416,Projects!$A:$AK,21,FALSE())/12,0)</f>
        <v/>
      </c>
      <c r="D416" s="7">
        <f>IFERROR(VLOOKUP(A416,Projects!$A:$AK,22,FALSE())/12,0)</f>
        <v/>
      </c>
      <c r="E416" s="7" t="n">
        <v>171062</v>
      </c>
      <c r="F416" s="7" t="n">
        <v>261449</v>
      </c>
      <c r="G416" s="7">
        <f>F416-E416</f>
        <v/>
      </c>
      <c r="H416" s="7" t="n">
        <v>235255</v>
      </c>
      <c r="I416" s="7" t="n">
        <v>235758</v>
      </c>
    </row>
    <row r="417" ht="15" customHeight="1" s="5">
      <c r="A417" s="7" t="inlineStr">
        <is>
          <t>PRJ035</t>
        </is>
      </c>
      <c r="B417" s="7" t="inlineStr">
        <is>
          <t>Aug</t>
        </is>
      </c>
      <c r="C417" s="7">
        <f>IFERROR(VLOOKUP(A417,Projects!$A:$AK,21,FALSE())/12,0)</f>
        <v/>
      </c>
      <c r="D417" s="7">
        <f>IFERROR(VLOOKUP(A417,Projects!$A:$AK,22,FALSE())/12,0)</f>
        <v/>
      </c>
      <c r="E417" s="7" t="n">
        <v>219104</v>
      </c>
      <c r="F417" s="7" t="n">
        <v>210678</v>
      </c>
      <c r="G417" s="7">
        <f>F417-E417</f>
        <v/>
      </c>
      <c r="H417" s="7" t="n">
        <v>205187</v>
      </c>
      <c r="I417" s="7" t="n">
        <v>173282</v>
      </c>
    </row>
    <row r="418" ht="15" customHeight="1" s="5">
      <c r="A418" s="7" t="inlineStr">
        <is>
          <t>PRJ035</t>
        </is>
      </c>
      <c r="B418" s="7" t="inlineStr">
        <is>
          <t>Sep</t>
        </is>
      </c>
      <c r="C418" s="7">
        <f>IFERROR(VLOOKUP(A418,Projects!$A:$AK,21,FALSE())/12,0)</f>
        <v/>
      </c>
      <c r="D418" s="7">
        <f>IFERROR(VLOOKUP(A418,Projects!$A:$AK,22,FALSE())/12,0)</f>
        <v/>
      </c>
      <c r="E418" s="7" t="n">
        <v>299410</v>
      </c>
      <c r="F418" s="7" t="n">
        <v>357503</v>
      </c>
      <c r="G418" s="7">
        <f>F418-E418</f>
        <v/>
      </c>
      <c r="H418" s="7" t="n">
        <v>321762</v>
      </c>
      <c r="I418" s="7" t="n">
        <v>377870</v>
      </c>
    </row>
    <row r="419" ht="15" customHeight="1" s="5">
      <c r="A419" s="7" t="inlineStr">
        <is>
          <t>PRJ035</t>
        </is>
      </c>
      <c r="B419" s="7" t="inlineStr">
        <is>
          <t>Oct</t>
        </is>
      </c>
      <c r="C419" s="7">
        <f>IFERROR(VLOOKUP(A419,Projects!$A:$AK,21,FALSE())/12,0)</f>
        <v/>
      </c>
      <c r="D419" s="7">
        <f>IFERROR(VLOOKUP(A419,Projects!$A:$AK,22,FALSE())/12,0)</f>
        <v/>
      </c>
      <c r="E419" s="7" t="n">
        <v>244909</v>
      </c>
      <c r="F419" s="7" t="n">
        <v>243971</v>
      </c>
      <c r="G419" s="7">
        <f>F419-E419</f>
        <v/>
      </c>
      <c r="H419" s="7" t="n">
        <v>189263</v>
      </c>
      <c r="I419" s="7" t="n">
        <v>173294</v>
      </c>
    </row>
    <row r="420" ht="15" customHeight="1" s="5">
      <c r="A420" s="7" t="inlineStr">
        <is>
          <t>PRJ035</t>
        </is>
      </c>
      <c r="B420" s="7" t="inlineStr">
        <is>
          <t>Nov</t>
        </is>
      </c>
      <c r="C420" s="7">
        <f>IFERROR(VLOOKUP(A420,Projects!$A:$AK,21,FALSE())/12,0)</f>
        <v/>
      </c>
      <c r="D420" s="7">
        <f>IFERROR(VLOOKUP(A420,Projects!$A:$AK,22,FALSE())/12,0)</f>
        <v/>
      </c>
      <c r="E420" s="7" t="n">
        <v>286763</v>
      </c>
      <c r="F420" s="7" t="n">
        <v>292423</v>
      </c>
      <c r="G420" s="7">
        <f>F420-E420</f>
        <v/>
      </c>
      <c r="H420" s="7" t="n">
        <v>275281</v>
      </c>
      <c r="I420" s="7" t="n">
        <v>267495</v>
      </c>
    </row>
    <row r="421" ht="15" customHeight="1" s="5">
      <c r="A421" s="7" t="inlineStr">
        <is>
          <t>PRJ035</t>
        </is>
      </c>
      <c r="B421" s="7" t="inlineStr">
        <is>
          <t>Dec</t>
        </is>
      </c>
      <c r="C421" s="7">
        <f>IFERROR(VLOOKUP(A421,Projects!$A:$AK,21,FALSE())/12,0)</f>
        <v/>
      </c>
      <c r="D421" s="7">
        <f>IFERROR(VLOOKUP(A421,Projects!$A:$AK,22,FALSE())/12,0)</f>
        <v/>
      </c>
      <c r="E421" s="7" t="n">
        <v>148659</v>
      </c>
      <c r="F421" s="7" t="n">
        <v>181384</v>
      </c>
      <c r="G421" s="7">
        <f>F421-E421</f>
        <v/>
      </c>
      <c r="H421" s="7" t="n">
        <v>176528</v>
      </c>
      <c r="I421" s="7" t="n">
        <v>167554</v>
      </c>
    </row>
    <row r="422" ht="15" customHeight="1" s="5">
      <c r="A422" s="7" t="inlineStr">
        <is>
          <t>PRJ036</t>
        </is>
      </c>
      <c r="B422" s="7" t="inlineStr">
        <is>
          <t>Jan</t>
        </is>
      </c>
      <c r="C422" s="7">
        <f>IFERROR(VLOOKUP(A422,Projects!$A:$AK,21,FALSE())/12,0)</f>
        <v/>
      </c>
      <c r="D422" s="7">
        <f>IFERROR(VLOOKUP(A422,Projects!$A:$AK,22,FALSE())/12,0)</f>
        <v/>
      </c>
      <c r="E422" s="7" t="n">
        <v>174763</v>
      </c>
      <c r="F422" s="7" t="n">
        <v>186840</v>
      </c>
      <c r="G422" s="7">
        <f>F422-E422</f>
        <v/>
      </c>
      <c r="H422" s="7" t="n">
        <v>152061</v>
      </c>
      <c r="I422" s="7" t="n">
        <v>173903</v>
      </c>
    </row>
    <row r="423" ht="15" customHeight="1" s="5">
      <c r="A423" s="7" t="inlineStr">
        <is>
          <t>PRJ036</t>
        </is>
      </c>
      <c r="B423" s="7" t="inlineStr">
        <is>
          <t>Feb</t>
        </is>
      </c>
      <c r="C423" s="7">
        <f>IFERROR(VLOOKUP(A423,Projects!$A:$AK,21,FALSE())/12,0)</f>
        <v/>
      </c>
      <c r="D423" s="7">
        <f>IFERROR(VLOOKUP(A423,Projects!$A:$AK,22,FALSE())/12,0)</f>
        <v/>
      </c>
      <c r="E423" s="7" t="n">
        <v>133349</v>
      </c>
      <c r="F423" s="7" t="n">
        <v>173013</v>
      </c>
      <c r="G423" s="7">
        <f>F423-E423</f>
        <v/>
      </c>
      <c r="H423" s="7" t="n">
        <v>160514</v>
      </c>
      <c r="I423" s="7" t="n">
        <v>141233</v>
      </c>
    </row>
    <row r="424" ht="15" customHeight="1" s="5">
      <c r="A424" s="7" t="inlineStr">
        <is>
          <t>PRJ036</t>
        </is>
      </c>
      <c r="B424" s="7" t="inlineStr">
        <is>
          <t>Mar</t>
        </is>
      </c>
      <c r="C424" s="7">
        <f>IFERROR(VLOOKUP(A424,Projects!$A:$AK,21,FALSE())/12,0)</f>
        <v/>
      </c>
      <c r="D424" s="7">
        <f>IFERROR(VLOOKUP(A424,Projects!$A:$AK,22,FALSE())/12,0)</f>
        <v/>
      </c>
      <c r="E424" s="7" t="n">
        <v>151105</v>
      </c>
      <c r="F424" s="7" t="n">
        <v>187345</v>
      </c>
      <c r="G424" s="7">
        <f>F424-E424</f>
        <v/>
      </c>
      <c r="H424" s="7" t="n">
        <v>145784</v>
      </c>
      <c r="I424" s="7" t="n">
        <v>159083</v>
      </c>
    </row>
    <row r="425" ht="15" customHeight="1" s="5">
      <c r="A425" s="7" t="inlineStr">
        <is>
          <t>PRJ036</t>
        </is>
      </c>
      <c r="B425" s="7" t="inlineStr">
        <is>
          <t>Apr</t>
        </is>
      </c>
      <c r="C425" s="7">
        <f>IFERROR(VLOOKUP(A425,Projects!$A:$AK,21,FALSE())/12,0)</f>
        <v/>
      </c>
      <c r="D425" s="7">
        <f>IFERROR(VLOOKUP(A425,Projects!$A:$AK,22,FALSE())/12,0)</f>
        <v/>
      </c>
      <c r="E425" s="7" t="n">
        <v>160101</v>
      </c>
      <c r="F425" s="7" t="n">
        <v>201794</v>
      </c>
      <c r="G425" s="7">
        <f>F425-E425</f>
        <v/>
      </c>
      <c r="H425" s="7" t="n">
        <v>203169</v>
      </c>
      <c r="I425" s="7" t="n">
        <v>165103</v>
      </c>
    </row>
    <row r="426" ht="15" customHeight="1" s="5">
      <c r="A426" s="7" t="inlineStr">
        <is>
          <t>PRJ036</t>
        </is>
      </c>
      <c r="B426" s="7" t="inlineStr">
        <is>
          <t>May</t>
        </is>
      </c>
      <c r="C426" s="7">
        <f>IFERROR(VLOOKUP(A426,Projects!$A:$AK,21,FALSE())/12,0)</f>
        <v/>
      </c>
      <c r="D426" s="7">
        <f>IFERROR(VLOOKUP(A426,Projects!$A:$AK,22,FALSE())/12,0)</f>
        <v/>
      </c>
      <c r="E426" s="7" t="n">
        <v>230089</v>
      </c>
      <c r="F426" s="7" t="n">
        <v>249128</v>
      </c>
      <c r="G426" s="7">
        <f>F426-E426</f>
        <v/>
      </c>
      <c r="H426" s="7" t="n">
        <v>199597</v>
      </c>
      <c r="I426" s="7" t="n">
        <v>174850</v>
      </c>
    </row>
    <row r="427" ht="15" customHeight="1" s="5">
      <c r="A427" s="7" t="inlineStr">
        <is>
          <t>PRJ036</t>
        </is>
      </c>
      <c r="B427" s="7" t="inlineStr">
        <is>
          <t>Jun</t>
        </is>
      </c>
      <c r="C427" s="7">
        <f>IFERROR(VLOOKUP(A427,Projects!$A:$AK,21,FALSE())/12,0)</f>
        <v/>
      </c>
      <c r="D427" s="7">
        <f>IFERROR(VLOOKUP(A427,Projects!$A:$AK,22,FALSE())/12,0)</f>
        <v/>
      </c>
      <c r="E427" s="7" t="n">
        <v>163886</v>
      </c>
      <c r="F427" s="7" t="n">
        <v>200345</v>
      </c>
      <c r="G427" s="7">
        <f>F427-E427</f>
        <v/>
      </c>
      <c r="H427" s="7" t="n">
        <v>181241</v>
      </c>
      <c r="I427" s="7" t="n">
        <v>113430</v>
      </c>
    </row>
    <row r="428" ht="15" customHeight="1" s="5">
      <c r="A428" s="7" t="inlineStr">
        <is>
          <t>PRJ036</t>
        </is>
      </c>
      <c r="B428" s="7" t="inlineStr">
        <is>
          <t>Jul</t>
        </is>
      </c>
      <c r="C428" s="7">
        <f>IFERROR(VLOOKUP(A428,Projects!$A:$AK,21,FALSE())/12,0)</f>
        <v/>
      </c>
      <c r="D428" s="7">
        <f>IFERROR(VLOOKUP(A428,Projects!$A:$AK,22,FALSE())/12,0)</f>
        <v/>
      </c>
      <c r="E428" s="7" t="n">
        <v>92945</v>
      </c>
      <c r="F428" s="7" t="n">
        <v>107839</v>
      </c>
      <c r="G428" s="7">
        <f>F428-E428</f>
        <v/>
      </c>
      <c r="H428" s="7" t="n">
        <v>96749</v>
      </c>
      <c r="I428" s="7" t="n">
        <v>76485</v>
      </c>
    </row>
    <row r="429" ht="15" customHeight="1" s="5">
      <c r="A429" s="7" t="inlineStr">
        <is>
          <t>PRJ036</t>
        </is>
      </c>
      <c r="B429" s="7" t="inlineStr">
        <is>
          <t>Aug</t>
        </is>
      </c>
      <c r="C429" s="7">
        <f>IFERROR(VLOOKUP(A429,Projects!$A:$AK,21,FALSE())/12,0)</f>
        <v/>
      </c>
      <c r="D429" s="7">
        <f>IFERROR(VLOOKUP(A429,Projects!$A:$AK,22,FALSE())/12,0)</f>
        <v/>
      </c>
      <c r="E429" s="7" t="n">
        <v>110607</v>
      </c>
      <c r="F429" s="7" t="n">
        <v>110079</v>
      </c>
      <c r="G429" s="7">
        <f>F429-E429</f>
        <v/>
      </c>
      <c r="H429" s="7" t="n">
        <v>100039</v>
      </c>
      <c r="I429" s="7" t="n">
        <v>101394</v>
      </c>
    </row>
    <row r="430" ht="15" customHeight="1" s="5">
      <c r="A430" s="7" t="inlineStr">
        <is>
          <t>PRJ036</t>
        </is>
      </c>
      <c r="B430" s="7" t="inlineStr">
        <is>
          <t>Sep</t>
        </is>
      </c>
      <c r="C430" s="7">
        <f>IFERROR(VLOOKUP(A430,Projects!$A:$AK,21,FALSE())/12,0)</f>
        <v/>
      </c>
      <c r="D430" s="7">
        <f>IFERROR(VLOOKUP(A430,Projects!$A:$AK,22,FALSE())/12,0)</f>
        <v/>
      </c>
      <c r="E430" s="7" t="n">
        <v>144671</v>
      </c>
      <c r="F430" s="7" t="n">
        <v>244216</v>
      </c>
      <c r="G430" s="7">
        <f>F430-E430</f>
        <v/>
      </c>
      <c r="H430" s="7" t="n">
        <v>181058</v>
      </c>
      <c r="I430" s="7" t="n">
        <v>189075</v>
      </c>
    </row>
    <row r="431" ht="15" customHeight="1" s="5">
      <c r="A431" s="7" t="inlineStr">
        <is>
          <t>PRJ036</t>
        </is>
      </c>
      <c r="B431" s="7" t="inlineStr">
        <is>
          <t>Oct</t>
        </is>
      </c>
      <c r="C431" s="7">
        <f>IFERROR(VLOOKUP(A431,Projects!$A:$AK,21,FALSE())/12,0)</f>
        <v/>
      </c>
      <c r="D431" s="7">
        <f>IFERROR(VLOOKUP(A431,Projects!$A:$AK,22,FALSE())/12,0)</f>
        <v/>
      </c>
      <c r="E431" s="7" t="n">
        <v>259650</v>
      </c>
      <c r="F431" s="7" t="n">
        <v>269335</v>
      </c>
      <c r="G431" s="7">
        <f>F431-E431</f>
        <v/>
      </c>
      <c r="H431" s="7" t="n">
        <v>225036</v>
      </c>
      <c r="I431" s="7" t="n">
        <v>168055</v>
      </c>
    </row>
    <row r="432" ht="15" customHeight="1" s="5">
      <c r="A432" s="7" t="inlineStr">
        <is>
          <t>PRJ036</t>
        </is>
      </c>
      <c r="B432" s="7" t="inlineStr">
        <is>
          <t>Nov</t>
        </is>
      </c>
      <c r="C432" s="7">
        <f>IFERROR(VLOOKUP(A432,Projects!$A:$AK,21,FALSE())/12,0)</f>
        <v/>
      </c>
      <c r="D432" s="7">
        <f>IFERROR(VLOOKUP(A432,Projects!$A:$AK,22,FALSE())/12,0)</f>
        <v/>
      </c>
      <c r="E432" s="7" t="n">
        <v>198151</v>
      </c>
      <c r="F432" s="7" t="n">
        <v>243687</v>
      </c>
      <c r="G432" s="7">
        <f>F432-E432</f>
        <v/>
      </c>
      <c r="H432" s="7" t="n">
        <v>184333</v>
      </c>
      <c r="I432" s="7" t="n">
        <v>166124</v>
      </c>
    </row>
    <row r="433" ht="15" customHeight="1" s="5">
      <c r="A433" s="7" t="inlineStr">
        <is>
          <t>PRJ036</t>
        </is>
      </c>
      <c r="B433" s="7" t="inlineStr">
        <is>
          <t>Dec</t>
        </is>
      </c>
      <c r="C433" s="7">
        <f>IFERROR(VLOOKUP(A433,Projects!$A:$AK,21,FALSE())/12,0)</f>
        <v/>
      </c>
      <c r="D433" s="7">
        <f>IFERROR(VLOOKUP(A433,Projects!$A:$AK,22,FALSE())/12,0)</f>
        <v/>
      </c>
      <c r="E433" s="7" t="n">
        <v>193925</v>
      </c>
      <c r="F433" s="7" t="n">
        <v>239443</v>
      </c>
      <c r="G433" s="7">
        <f>F433-E433</f>
        <v/>
      </c>
      <c r="H433" s="7" t="n">
        <v>207443</v>
      </c>
      <c r="I433" s="7" t="n">
        <v>231895</v>
      </c>
    </row>
    <row r="434" ht="15" customHeight="1" s="5">
      <c r="A434" s="7" t="inlineStr">
        <is>
          <t>PRJ037</t>
        </is>
      </c>
      <c r="B434" s="7" t="inlineStr">
        <is>
          <t>Jan</t>
        </is>
      </c>
      <c r="C434" s="7">
        <f>IFERROR(VLOOKUP(A434,Projects!$A:$AK,21,FALSE())/12,0)</f>
        <v/>
      </c>
      <c r="D434" s="7">
        <f>IFERROR(VLOOKUP(A434,Projects!$A:$AK,22,FALSE())/12,0)</f>
        <v/>
      </c>
      <c r="E434" s="7" t="n">
        <v>54317</v>
      </c>
      <c r="F434" s="7" t="n">
        <v>98188</v>
      </c>
      <c r="G434" s="7">
        <f>F434-E434</f>
        <v/>
      </c>
      <c r="H434" s="7" t="n">
        <v>73534</v>
      </c>
      <c r="I434" s="7" t="n">
        <v>66921</v>
      </c>
    </row>
    <row r="435" ht="15" customHeight="1" s="5">
      <c r="A435" s="7" t="inlineStr">
        <is>
          <t>PRJ037</t>
        </is>
      </c>
      <c r="B435" s="7" t="inlineStr">
        <is>
          <t>Feb</t>
        </is>
      </c>
      <c r="C435" s="7">
        <f>IFERROR(VLOOKUP(A435,Projects!$A:$AK,21,FALSE())/12,0)</f>
        <v/>
      </c>
      <c r="D435" s="7">
        <f>IFERROR(VLOOKUP(A435,Projects!$A:$AK,22,FALSE())/12,0)</f>
        <v/>
      </c>
      <c r="E435" s="7" t="n">
        <v>108479</v>
      </c>
      <c r="F435" s="7" t="n">
        <v>113208</v>
      </c>
      <c r="G435" s="7">
        <f>F435-E435</f>
        <v/>
      </c>
      <c r="H435" s="7" t="n">
        <v>107671</v>
      </c>
      <c r="I435" s="7" t="n">
        <v>78805</v>
      </c>
    </row>
    <row r="436" ht="15" customHeight="1" s="5">
      <c r="A436" s="7" t="inlineStr">
        <is>
          <t>PRJ037</t>
        </is>
      </c>
      <c r="B436" s="7" t="inlineStr">
        <is>
          <t>Mar</t>
        </is>
      </c>
      <c r="C436" s="7">
        <f>IFERROR(VLOOKUP(A436,Projects!$A:$AK,21,FALSE())/12,0)</f>
        <v/>
      </c>
      <c r="D436" s="7">
        <f>IFERROR(VLOOKUP(A436,Projects!$A:$AK,22,FALSE())/12,0)</f>
        <v/>
      </c>
      <c r="E436" s="7" t="n">
        <v>93644</v>
      </c>
      <c r="F436" s="7" t="n">
        <v>114624</v>
      </c>
      <c r="G436" s="7">
        <f>F436-E436</f>
        <v/>
      </c>
      <c r="H436" s="7" t="n">
        <v>95820</v>
      </c>
      <c r="I436" s="7" t="n">
        <v>65160</v>
      </c>
    </row>
    <row r="437" ht="15" customHeight="1" s="5">
      <c r="A437" s="7" t="inlineStr">
        <is>
          <t>PRJ037</t>
        </is>
      </c>
      <c r="B437" s="7" t="inlineStr">
        <is>
          <t>Apr</t>
        </is>
      </c>
      <c r="C437" s="7">
        <f>IFERROR(VLOOKUP(A437,Projects!$A:$AK,21,FALSE())/12,0)</f>
        <v/>
      </c>
      <c r="D437" s="7">
        <f>IFERROR(VLOOKUP(A437,Projects!$A:$AK,22,FALSE())/12,0)</f>
        <v/>
      </c>
      <c r="E437" s="7" t="n">
        <v>58537</v>
      </c>
      <c r="F437" s="7" t="n">
        <v>81633</v>
      </c>
      <c r="G437" s="7">
        <f>F437-E437</f>
        <v/>
      </c>
      <c r="H437" s="7" t="n">
        <v>79037</v>
      </c>
      <c r="I437" s="7" t="n">
        <v>53230</v>
      </c>
    </row>
    <row r="438" ht="15" customHeight="1" s="5">
      <c r="A438" s="7" t="inlineStr">
        <is>
          <t>PRJ037</t>
        </is>
      </c>
      <c r="B438" s="7" t="inlineStr">
        <is>
          <t>May</t>
        </is>
      </c>
      <c r="C438" s="7">
        <f>IFERROR(VLOOKUP(A438,Projects!$A:$AK,21,FALSE())/12,0)</f>
        <v/>
      </c>
      <c r="D438" s="7">
        <f>IFERROR(VLOOKUP(A438,Projects!$A:$AK,22,FALSE())/12,0)</f>
        <v/>
      </c>
      <c r="E438" s="7" t="n">
        <v>119358</v>
      </c>
      <c r="F438" s="7" t="n">
        <v>123750</v>
      </c>
      <c r="G438" s="7">
        <f>F438-E438</f>
        <v/>
      </c>
      <c r="H438" s="7" t="n">
        <v>120345</v>
      </c>
      <c r="I438" s="7" t="n">
        <v>123140</v>
      </c>
    </row>
    <row r="439" ht="15" customHeight="1" s="5">
      <c r="A439" s="7" t="inlineStr">
        <is>
          <t>PRJ037</t>
        </is>
      </c>
      <c r="B439" s="7" t="inlineStr">
        <is>
          <t>Jun</t>
        </is>
      </c>
      <c r="C439" s="7">
        <f>IFERROR(VLOOKUP(A439,Projects!$A:$AK,21,FALSE())/12,0)</f>
        <v/>
      </c>
      <c r="D439" s="7">
        <f>IFERROR(VLOOKUP(A439,Projects!$A:$AK,22,FALSE())/12,0)</f>
        <v/>
      </c>
      <c r="E439" s="7" t="n">
        <v>112380</v>
      </c>
      <c r="F439" s="7" t="n">
        <v>107413</v>
      </c>
      <c r="G439" s="7">
        <f>F439-E439</f>
        <v/>
      </c>
      <c r="H439" s="7" t="n">
        <v>93186</v>
      </c>
      <c r="I439" s="7" t="n">
        <v>98480</v>
      </c>
    </row>
    <row r="440" ht="15" customHeight="1" s="5">
      <c r="A440" s="7" t="inlineStr">
        <is>
          <t>PRJ037</t>
        </is>
      </c>
      <c r="B440" s="7" t="inlineStr">
        <is>
          <t>Jul</t>
        </is>
      </c>
      <c r="C440" s="7">
        <f>IFERROR(VLOOKUP(A440,Projects!$A:$AK,21,FALSE())/12,0)</f>
        <v/>
      </c>
      <c r="D440" s="7">
        <f>IFERROR(VLOOKUP(A440,Projects!$A:$AK,22,FALSE())/12,0)</f>
        <v/>
      </c>
      <c r="E440" s="7" t="n">
        <v>111974</v>
      </c>
      <c r="F440" s="7" t="n">
        <v>115933</v>
      </c>
      <c r="G440" s="7">
        <f>F440-E440</f>
        <v/>
      </c>
      <c r="H440" s="7" t="n">
        <v>127516</v>
      </c>
      <c r="I440" s="7" t="n">
        <v>119326</v>
      </c>
    </row>
    <row r="441" ht="15" customHeight="1" s="5">
      <c r="A441" s="7" t="inlineStr">
        <is>
          <t>PRJ037</t>
        </is>
      </c>
      <c r="B441" s="7" t="inlineStr">
        <is>
          <t>Aug</t>
        </is>
      </c>
      <c r="C441" s="7">
        <f>IFERROR(VLOOKUP(A441,Projects!$A:$AK,21,FALSE())/12,0)</f>
        <v/>
      </c>
      <c r="D441" s="7">
        <f>IFERROR(VLOOKUP(A441,Projects!$A:$AK,22,FALSE())/12,0)</f>
        <v/>
      </c>
      <c r="E441" s="7" t="n">
        <v>109400</v>
      </c>
      <c r="F441" s="7" t="n">
        <v>101427</v>
      </c>
      <c r="G441" s="7">
        <f>F441-E441</f>
        <v/>
      </c>
      <c r="H441" s="7" t="n">
        <v>95959</v>
      </c>
      <c r="I441" s="7" t="n">
        <v>77910</v>
      </c>
    </row>
    <row r="442" ht="15" customHeight="1" s="5">
      <c r="A442" s="7" t="inlineStr">
        <is>
          <t>PRJ037</t>
        </is>
      </c>
      <c r="B442" s="7" t="inlineStr">
        <is>
          <t>Sep</t>
        </is>
      </c>
      <c r="C442" s="7">
        <f>IFERROR(VLOOKUP(A442,Projects!$A:$AK,21,FALSE())/12,0)</f>
        <v/>
      </c>
      <c r="D442" s="7">
        <f>IFERROR(VLOOKUP(A442,Projects!$A:$AK,22,FALSE())/12,0)</f>
        <v/>
      </c>
      <c r="E442" s="7" t="n">
        <v>83120</v>
      </c>
      <c r="F442" s="7" t="n">
        <v>133136</v>
      </c>
      <c r="G442" s="7">
        <f>F442-E442</f>
        <v/>
      </c>
      <c r="H442" s="7" t="n">
        <v>127794</v>
      </c>
      <c r="I442" s="7" t="n">
        <v>81426</v>
      </c>
    </row>
    <row r="443" ht="15" customHeight="1" s="5">
      <c r="A443" s="7" t="inlineStr">
        <is>
          <t>PRJ037</t>
        </is>
      </c>
      <c r="B443" s="7" t="inlineStr">
        <is>
          <t>Oct</t>
        </is>
      </c>
      <c r="C443" s="7">
        <f>IFERROR(VLOOKUP(A443,Projects!$A:$AK,21,FALSE())/12,0)</f>
        <v/>
      </c>
      <c r="D443" s="7">
        <f>IFERROR(VLOOKUP(A443,Projects!$A:$AK,22,FALSE())/12,0)</f>
        <v/>
      </c>
      <c r="E443" s="7" t="n">
        <v>102152</v>
      </c>
      <c r="F443" s="7" t="n">
        <v>104392</v>
      </c>
      <c r="G443" s="7">
        <f>F443-E443</f>
        <v/>
      </c>
      <c r="H443" s="7" t="n">
        <v>89323</v>
      </c>
      <c r="I443" s="7" t="n">
        <v>83331</v>
      </c>
    </row>
    <row r="444" ht="15" customHeight="1" s="5">
      <c r="A444" s="7" t="inlineStr">
        <is>
          <t>PRJ037</t>
        </is>
      </c>
      <c r="B444" s="7" t="inlineStr">
        <is>
          <t>Nov</t>
        </is>
      </c>
      <c r="C444" s="7">
        <f>IFERROR(VLOOKUP(A444,Projects!$A:$AK,21,FALSE())/12,0)</f>
        <v/>
      </c>
      <c r="D444" s="7">
        <f>IFERROR(VLOOKUP(A444,Projects!$A:$AK,22,FALSE())/12,0)</f>
        <v/>
      </c>
      <c r="E444" s="7" t="n">
        <v>97331</v>
      </c>
      <c r="F444" s="7" t="n">
        <v>98206</v>
      </c>
      <c r="G444" s="7">
        <f>F444-E444</f>
        <v/>
      </c>
      <c r="H444" s="7" t="n">
        <v>80954</v>
      </c>
      <c r="I444" s="7" t="n">
        <v>58864</v>
      </c>
    </row>
    <row r="445" ht="15" customHeight="1" s="5">
      <c r="A445" s="7" t="inlineStr">
        <is>
          <t>PRJ037</t>
        </is>
      </c>
      <c r="B445" s="7" t="inlineStr">
        <is>
          <t>Dec</t>
        </is>
      </c>
      <c r="C445" s="7">
        <f>IFERROR(VLOOKUP(A445,Projects!$A:$AK,21,FALSE())/12,0)</f>
        <v/>
      </c>
      <c r="D445" s="7">
        <f>IFERROR(VLOOKUP(A445,Projects!$A:$AK,22,FALSE())/12,0)</f>
        <v/>
      </c>
      <c r="E445" s="7" t="n">
        <v>79331</v>
      </c>
      <c r="F445" s="7" t="n">
        <v>112284</v>
      </c>
      <c r="G445" s="7">
        <f>F445-E445</f>
        <v/>
      </c>
      <c r="H445" s="7" t="n">
        <v>111772</v>
      </c>
      <c r="I445" s="7" t="n">
        <v>99129</v>
      </c>
    </row>
    <row r="446" ht="15" customHeight="1" s="5">
      <c r="A446" s="7" t="inlineStr">
        <is>
          <t>PRJ038</t>
        </is>
      </c>
      <c r="B446" s="7" t="inlineStr">
        <is>
          <t>Jan</t>
        </is>
      </c>
      <c r="C446" s="7">
        <f>IFERROR(VLOOKUP(A446,Projects!$A:$AK,21,FALSE())/12,0)</f>
        <v/>
      </c>
      <c r="D446" s="7">
        <f>IFERROR(VLOOKUP(A446,Projects!$A:$AK,22,FALSE())/12,0)</f>
        <v/>
      </c>
      <c r="E446" s="7" t="n">
        <v>105944</v>
      </c>
      <c r="F446" s="7" t="n">
        <v>118928</v>
      </c>
      <c r="G446" s="7">
        <f>F446-E446</f>
        <v/>
      </c>
      <c r="H446" s="7" t="n">
        <v>110389</v>
      </c>
      <c r="I446" s="7" t="n">
        <v>113665</v>
      </c>
    </row>
    <row r="447" ht="15" customHeight="1" s="5">
      <c r="A447" s="7" t="inlineStr">
        <is>
          <t>PRJ038</t>
        </is>
      </c>
      <c r="B447" s="7" t="inlineStr">
        <is>
          <t>Feb</t>
        </is>
      </c>
      <c r="C447" s="7">
        <f>IFERROR(VLOOKUP(A447,Projects!$A:$AK,21,FALSE())/12,0)</f>
        <v/>
      </c>
      <c r="D447" s="7">
        <f>IFERROR(VLOOKUP(A447,Projects!$A:$AK,22,FALSE())/12,0)</f>
        <v/>
      </c>
      <c r="E447" s="7" t="n">
        <v>111247</v>
      </c>
      <c r="F447" s="7" t="n">
        <v>164394</v>
      </c>
      <c r="G447" s="7">
        <f>F447-E447</f>
        <v/>
      </c>
      <c r="H447" s="7" t="n">
        <v>172226</v>
      </c>
      <c r="I447" s="7" t="n">
        <v>110996</v>
      </c>
    </row>
    <row r="448" ht="15" customHeight="1" s="5">
      <c r="A448" s="7" t="inlineStr">
        <is>
          <t>PRJ038</t>
        </is>
      </c>
      <c r="B448" s="7" t="inlineStr">
        <is>
          <t>Mar</t>
        </is>
      </c>
      <c r="C448" s="7">
        <f>IFERROR(VLOOKUP(A448,Projects!$A:$AK,21,FALSE())/12,0)</f>
        <v/>
      </c>
      <c r="D448" s="7">
        <f>IFERROR(VLOOKUP(A448,Projects!$A:$AK,22,FALSE())/12,0)</f>
        <v/>
      </c>
      <c r="E448" s="7" t="n">
        <v>129865</v>
      </c>
      <c r="F448" s="7" t="n">
        <v>141123</v>
      </c>
      <c r="G448" s="7">
        <f>F448-E448</f>
        <v/>
      </c>
      <c r="H448" s="7" t="n">
        <v>130138</v>
      </c>
      <c r="I448" s="7" t="n">
        <v>132097</v>
      </c>
    </row>
    <row r="449" ht="15" customHeight="1" s="5">
      <c r="A449" s="7" t="inlineStr">
        <is>
          <t>PRJ038</t>
        </is>
      </c>
      <c r="B449" s="7" t="inlineStr">
        <is>
          <t>Apr</t>
        </is>
      </c>
      <c r="C449" s="7">
        <f>IFERROR(VLOOKUP(A449,Projects!$A:$AK,21,FALSE())/12,0)</f>
        <v/>
      </c>
      <c r="D449" s="7">
        <f>IFERROR(VLOOKUP(A449,Projects!$A:$AK,22,FALSE())/12,0)</f>
        <v/>
      </c>
      <c r="E449" s="7" t="n">
        <v>134606</v>
      </c>
      <c r="F449" s="7" t="n">
        <v>115197</v>
      </c>
      <c r="G449" s="7">
        <f>F449-E449</f>
        <v/>
      </c>
      <c r="H449" s="7" t="n">
        <v>104947</v>
      </c>
      <c r="I449" s="7" t="n">
        <v>109155</v>
      </c>
    </row>
    <row r="450" ht="15" customHeight="1" s="5">
      <c r="A450" s="7" t="inlineStr">
        <is>
          <t>PRJ038</t>
        </is>
      </c>
      <c r="B450" s="7" t="inlineStr">
        <is>
          <t>May</t>
        </is>
      </c>
      <c r="C450" s="7">
        <f>IFERROR(VLOOKUP(A450,Projects!$A:$AK,21,FALSE())/12,0)</f>
        <v/>
      </c>
      <c r="D450" s="7">
        <f>IFERROR(VLOOKUP(A450,Projects!$A:$AK,22,FALSE())/12,0)</f>
        <v/>
      </c>
      <c r="E450" s="7" t="n">
        <v>110005</v>
      </c>
      <c r="F450" s="7" t="n">
        <v>189903</v>
      </c>
      <c r="G450" s="7">
        <f>F450-E450</f>
        <v/>
      </c>
      <c r="H450" s="7" t="n">
        <v>145891</v>
      </c>
      <c r="I450" s="7" t="n">
        <v>118128</v>
      </c>
    </row>
    <row r="451" ht="15" customHeight="1" s="5">
      <c r="A451" s="7" t="inlineStr">
        <is>
          <t>PRJ038</t>
        </is>
      </c>
      <c r="B451" s="7" t="inlineStr">
        <is>
          <t>Jun</t>
        </is>
      </c>
      <c r="C451" s="7">
        <f>IFERROR(VLOOKUP(A451,Projects!$A:$AK,21,FALSE())/12,0)</f>
        <v/>
      </c>
      <c r="D451" s="7">
        <f>IFERROR(VLOOKUP(A451,Projects!$A:$AK,22,FALSE())/12,0)</f>
        <v/>
      </c>
      <c r="E451" s="7" t="n">
        <v>99973</v>
      </c>
      <c r="F451" s="7" t="n">
        <v>101698</v>
      </c>
      <c r="G451" s="7">
        <f>F451-E451</f>
        <v/>
      </c>
      <c r="H451" s="7" t="n">
        <v>83655</v>
      </c>
      <c r="I451" s="7" t="n">
        <v>83883</v>
      </c>
    </row>
    <row r="452" ht="15" customHeight="1" s="5">
      <c r="A452" s="7" t="inlineStr">
        <is>
          <t>PRJ038</t>
        </is>
      </c>
      <c r="B452" s="7" t="inlineStr">
        <is>
          <t>Jul</t>
        </is>
      </c>
      <c r="C452" s="7">
        <f>IFERROR(VLOOKUP(A452,Projects!$A:$AK,21,FALSE())/12,0)</f>
        <v/>
      </c>
      <c r="D452" s="7">
        <f>IFERROR(VLOOKUP(A452,Projects!$A:$AK,22,FALSE())/12,0)</f>
        <v/>
      </c>
      <c r="E452" s="7" t="n">
        <v>129571</v>
      </c>
      <c r="F452" s="7" t="n">
        <v>167931</v>
      </c>
      <c r="G452" s="7">
        <f>F452-E452</f>
        <v/>
      </c>
      <c r="H452" s="7" t="n">
        <v>128890</v>
      </c>
      <c r="I452" s="7" t="n">
        <v>140750</v>
      </c>
    </row>
    <row r="453" ht="15" customHeight="1" s="5">
      <c r="A453" s="7" t="inlineStr">
        <is>
          <t>PRJ038</t>
        </is>
      </c>
      <c r="B453" s="7" t="inlineStr">
        <is>
          <t>Aug</t>
        </is>
      </c>
      <c r="C453" s="7">
        <f>IFERROR(VLOOKUP(A453,Projects!$A:$AK,21,FALSE())/12,0)</f>
        <v/>
      </c>
      <c r="D453" s="7">
        <f>IFERROR(VLOOKUP(A453,Projects!$A:$AK,22,FALSE())/12,0)</f>
        <v/>
      </c>
      <c r="E453" s="7" t="n">
        <v>180823</v>
      </c>
      <c r="F453" s="7" t="n">
        <v>177260</v>
      </c>
      <c r="G453" s="7">
        <f>F453-E453</f>
        <v/>
      </c>
      <c r="H453" s="7" t="n">
        <v>143328</v>
      </c>
      <c r="I453" s="7" t="n">
        <v>164125</v>
      </c>
    </row>
    <row r="454" ht="15" customHeight="1" s="5">
      <c r="A454" s="7" t="inlineStr">
        <is>
          <t>PRJ038</t>
        </is>
      </c>
      <c r="B454" s="7" t="inlineStr">
        <is>
          <t>Sep</t>
        </is>
      </c>
      <c r="C454" s="7">
        <f>IFERROR(VLOOKUP(A454,Projects!$A:$AK,21,FALSE())/12,0)</f>
        <v/>
      </c>
      <c r="D454" s="7">
        <f>IFERROR(VLOOKUP(A454,Projects!$A:$AK,22,FALSE())/12,0)</f>
        <v/>
      </c>
      <c r="E454" s="7" t="n">
        <v>136499</v>
      </c>
      <c r="F454" s="7" t="n">
        <v>147232</v>
      </c>
      <c r="G454" s="7">
        <f>F454-E454</f>
        <v/>
      </c>
      <c r="H454" s="7" t="n">
        <v>127736</v>
      </c>
      <c r="I454" s="7" t="n">
        <v>112237</v>
      </c>
    </row>
    <row r="455" ht="15" customHeight="1" s="5">
      <c r="A455" s="7" t="inlineStr">
        <is>
          <t>PRJ038</t>
        </is>
      </c>
      <c r="B455" s="7" t="inlineStr">
        <is>
          <t>Oct</t>
        </is>
      </c>
      <c r="C455" s="7">
        <f>IFERROR(VLOOKUP(A455,Projects!$A:$AK,21,FALSE())/12,0)</f>
        <v/>
      </c>
      <c r="D455" s="7">
        <f>IFERROR(VLOOKUP(A455,Projects!$A:$AK,22,FALSE())/12,0)</f>
        <v/>
      </c>
      <c r="E455" s="7" t="n">
        <v>75377</v>
      </c>
      <c r="F455" s="7" t="n">
        <v>112825</v>
      </c>
      <c r="G455" s="7">
        <f>F455-E455</f>
        <v/>
      </c>
      <c r="H455" s="7" t="n">
        <v>105572</v>
      </c>
      <c r="I455" s="7" t="n">
        <v>92320</v>
      </c>
    </row>
    <row r="456" ht="15" customHeight="1" s="5">
      <c r="A456" s="7" t="inlineStr">
        <is>
          <t>PRJ038</t>
        </is>
      </c>
      <c r="B456" s="7" t="inlineStr">
        <is>
          <t>Nov</t>
        </is>
      </c>
      <c r="C456" s="7">
        <f>IFERROR(VLOOKUP(A456,Projects!$A:$AK,21,FALSE())/12,0)</f>
        <v/>
      </c>
      <c r="D456" s="7">
        <f>IFERROR(VLOOKUP(A456,Projects!$A:$AK,22,FALSE())/12,0)</f>
        <v/>
      </c>
      <c r="E456" s="7" t="n">
        <v>108140</v>
      </c>
      <c r="F456" s="7" t="n">
        <v>161246</v>
      </c>
      <c r="G456" s="7">
        <f>F456-E456</f>
        <v/>
      </c>
      <c r="H456" s="7" t="n">
        <v>169000</v>
      </c>
      <c r="I456" s="7" t="n">
        <v>147297</v>
      </c>
    </row>
    <row r="457" ht="15" customHeight="1" s="5">
      <c r="A457" s="7" t="inlineStr">
        <is>
          <t>PRJ038</t>
        </is>
      </c>
      <c r="B457" s="7" t="inlineStr">
        <is>
          <t>Dec</t>
        </is>
      </c>
      <c r="C457" s="7">
        <f>IFERROR(VLOOKUP(A457,Projects!$A:$AK,21,FALSE())/12,0)</f>
        <v/>
      </c>
      <c r="D457" s="7">
        <f>IFERROR(VLOOKUP(A457,Projects!$A:$AK,22,FALSE())/12,0)</f>
        <v/>
      </c>
      <c r="E457" s="7" t="n">
        <v>120853</v>
      </c>
      <c r="F457" s="7" t="n">
        <v>129178</v>
      </c>
      <c r="G457" s="7">
        <f>F457-E457</f>
        <v/>
      </c>
      <c r="H457" s="7" t="n">
        <v>119764</v>
      </c>
      <c r="I457" s="7" t="n">
        <v>91076</v>
      </c>
    </row>
    <row r="458" ht="15" customHeight="1" s="5">
      <c r="A458" s="7" t="inlineStr">
        <is>
          <t>PRJ039</t>
        </is>
      </c>
      <c r="B458" s="7" t="inlineStr">
        <is>
          <t>Jan</t>
        </is>
      </c>
      <c r="C458" s="7">
        <f>IFERROR(VLOOKUP(A458,Projects!$A:$AK,21,FALSE())/12,0)</f>
        <v/>
      </c>
      <c r="D458" s="7">
        <f>IFERROR(VLOOKUP(A458,Projects!$A:$AK,22,FALSE())/12,0)</f>
        <v/>
      </c>
      <c r="E458" s="7" t="n">
        <v>260554</v>
      </c>
      <c r="F458" s="7" t="n">
        <v>355264</v>
      </c>
      <c r="G458" s="7">
        <f>F458-E458</f>
        <v/>
      </c>
      <c r="H458" s="7" t="n">
        <v>307758</v>
      </c>
      <c r="I458" s="7" t="n">
        <v>282748</v>
      </c>
    </row>
    <row r="459" ht="15" customHeight="1" s="5">
      <c r="A459" s="7" t="inlineStr">
        <is>
          <t>PRJ039</t>
        </is>
      </c>
      <c r="B459" s="7" t="inlineStr">
        <is>
          <t>Feb</t>
        </is>
      </c>
      <c r="C459" s="7">
        <f>IFERROR(VLOOKUP(A459,Projects!$A:$AK,21,FALSE())/12,0)</f>
        <v/>
      </c>
      <c r="D459" s="7">
        <f>IFERROR(VLOOKUP(A459,Projects!$A:$AK,22,FALSE())/12,0)</f>
        <v/>
      </c>
      <c r="E459" s="7" t="n">
        <v>194142</v>
      </c>
      <c r="F459" s="7" t="n">
        <v>226020</v>
      </c>
      <c r="G459" s="7">
        <f>F459-E459</f>
        <v/>
      </c>
      <c r="H459" s="7" t="n">
        <v>222552</v>
      </c>
      <c r="I459" s="7" t="n">
        <v>190237</v>
      </c>
    </row>
    <row r="460" ht="15" customHeight="1" s="5">
      <c r="A460" s="7" t="inlineStr">
        <is>
          <t>PRJ039</t>
        </is>
      </c>
      <c r="B460" s="7" t="inlineStr">
        <is>
          <t>Mar</t>
        </is>
      </c>
      <c r="C460" s="7">
        <f>IFERROR(VLOOKUP(A460,Projects!$A:$AK,21,FALSE())/12,0)</f>
        <v/>
      </c>
      <c r="D460" s="7">
        <f>IFERROR(VLOOKUP(A460,Projects!$A:$AK,22,FALSE())/12,0)</f>
        <v/>
      </c>
      <c r="E460" s="7" t="n">
        <v>130567</v>
      </c>
      <c r="F460" s="7" t="n">
        <v>174752</v>
      </c>
      <c r="G460" s="7">
        <f>F460-E460</f>
        <v/>
      </c>
      <c r="H460" s="7" t="n">
        <v>142164</v>
      </c>
      <c r="I460" s="7" t="n">
        <v>140258</v>
      </c>
    </row>
    <row r="461" ht="15" customHeight="1" s="5">
      <c r="A461" s="7" t="inlineStr">
        <is>
          <t>PRJ039</t>
        </is>
      </c>
      <c r="B461" s="7" t="inlineStr">
        <is>
          <t>Apr</t>
        </is>
      </c>
      <c r="C461" s="7">
        <f>IFERROR(VLOOKUP(A461,Projects!$A:$AK,21,FALSE())/12,0)</f>
        <v/>
      </c>
      <c r="D461" s="7">
        <f>IFERROR(VLOOKUP(A461,Projects!$A:$AK,22,FALSE())/12,0)</f>
        <v/>
      </c>
      <c r="E461" s="7" t="n">
        <v>134958</v>
      </c>
      <c r="F461" s="7" t="n">
        <v>174733</v>
      </c>
      <c r="G461" s="7">
        <f>F461-E461</f>
        <v/>
      </c>
      <c r="H461" s="7" t="n">
        <v>170345</v>
      </c>
      <c r="I461" s="7" t="n">
        <v>120002</v>
      </c>
    </row>
    <row r="462" ht="15" customHeight="1" s="5">
      <c r="A462" s="7" t="inlineStr">
        <is>
          <t>PRJ039</t>
        </is>
      </c>
      <c r="B462" s="7" t="inlineStr">
        <is>
          <t>May</t>
        </is>
      </c>
      <c r="C462" s="7">
        <f>IFERROR(VLOOKUP(A462,Projects!$A:$AK,21,FALSE())/12,0)</f>
        <v/>
      </c>
      <c r="D462" s="7">
        <f>IFERROR(VLOOKUP(A462,Projects!$A:$AK,22,FALSE())/12,0)</f>
        <v/>
      </c>
      <c r="E462" s="7" t="n">
        <v>228436</v>
      </c>
      <c r="F462" s="7" t="n">
        <v>250747</v>
      </c>
      <c r="G462" s="7">
        <f>F462-E462</f>
        <v/>
      </c>
      <c r="H462" s="7" t="n">
        <v>250549</v>
      </c>
      <c r="I462" s="7" t="n">
        <v>226826</v>
      </c>
    </row>
    <row r="463" ht="15" customHeight="1" s="5">
      <c r="A463" s="7" t="inlineStr">
        <is>
          <t>PRJ039</t>
        </is>
      </c>
      <c r="B463" s="7" t="inlineStr">
        <is>
          <t>Jun</t>
        </is>
      </c>
      <c r="C463" s="7">
        <f>IFERROR(VLOOKUP(A463,Projects!$A:$AK,21,FALSE())/12,0)</f>
        <v/>
      </c>
      <c r="D463" s="7">
        <f>IFERROR(VLOOKUP(A463,Projects!$A:$AK,22,FALSE())/12,0)</f>
        <v/>
      </c>
      <c r="E463" s="7" t="n">
        <v>193976</v>
      </c>
      <c r="F463" s="7" t="n">
        <v>208161</v>
      </c>
      <c r="G463" s="7">
        <f>F463-E463</f>
        <v/>
      </c>
      <c r="H463" s="7" t="n">
        <v>193084</v>
      </c>
      <c r="I463" s="7" t="n">
        <v>153455</v>
      </c>
    </row>
    <row r="464" ht="15" customHeight="1" s="5">
      <c r="A464" s="7" t="inlineStr">
        <is>
          <t>PRJ039</t>
        </is>
      </c>
      <c r="B464" s="7" t="inlineStr">
        <is>
          <t>Jul</t>
        </is>
      </c>
      <c r="C464" s="7">
        <f>IFERROR(VLOOKUP(A464,Projects!$A:$AK,21,FALSE())/12,0)</f>
        <v/>
      </c>
      <c r="D464" s="7">
        <f>IFERROR(VLOOKUP(A464,Projects!$A:$AK,22,FALSE())/12,0)</f>
        <v/>
      </c>
      <c r="E464" s="7" t="n">
        <v>138806</v>
      </c>
      <c r="F464" s="7" t="n">
        <v>236990</v>
      </c>
      <c r="G464" s="7">
        <f>F464-E464</f>
        <v/>
      </c>
      <c r="H464" s="7" t="n">
        <v>191387</v>
      </c>
      <c r="I464" s="7" t="n">
        <v>172820</v>
      </c>
    </row>
    <row r="465" ht="15" customHeight="1" s="5">
      <c r="A465" s="7" t="inlineStr">
        <is>
          <t>PRJ039</t>
        </is>
      </c>
      <c r="B465" s="7" t="inlineStr">
        <is>
          <t>Aug</t>
        </is>
      </c>
      <c r="C465" s="7">
        <f>IFERROR(VLOOKUP(A465,Projects!$A:$AK,21,FALSE())/12,0)</f>
        <v/>
      </c>
      <c r="D465" s="7">
        <f>IFERROR(VLOOKUP(A465,Projects!$A:$AK,22,FALSE())/12,0)</f>
        <v/>
      </c>
      <c r="E465" s="7" t="n">
        <v>256813</v>
      </c>
      <c r="F465" s="7" t="n">
        <v>238880</v>
      </c>
      <c r="G465" s="7">
        <f>F465-E465</f>
        <v/>
      </c>
      <c r="H465" s="7" t="n">
        <v>248651</v>
      </c>
      <c r="I465" s="7" t="n">
        <v>254384</v>
      </c>
    </row>
    <row r="466" ht="15" customHeight="1" s="5">
      <c r="A466" s="7" t="inlineStr">
        <is>
          <t>PRJ039</t>
        </is>
      </c>
      <c r="B466" s="7" t="inlineStr">
        <is>
          <t>Sep</t>
        </is>
      </c>
      <c r="C466" s="7">
        <f>IFERROR(VLOOKUP(A466,Projects!$A:$AK,21,FALSE())/12,0)</f>
        <v/>
      </c>
      <c r="D466" s="7">
        <f>IFERROR(VLOOKUP(A466,Projects!$A:$AK,22,FALSE())/12,0)</f>
        <v/>
      </c>
      <c r="E466" s="7" t="n">
        <v>197378</v>
      </c>
      <c r="F466" s="7" t="n">
        <v>217639</v>
      </c>
      <c r="G466" s="7">
        <f>F466-E466</f>
        <v/>
      </c>
      <c r="H466" s="7" t="n">
        <v>229352</v>
      </c>
      <c r="I466" s="7" t="n">
        <v>208161</v>
      </c>
    </row>
    <row r="467" ht="15" customHeight="1" s="5">
      <c r="A467" s="7" t="inlineStr">
        <is>
          <t>PRJ039</t>
        </is>
      </c>
      <c r="B467" s="7" t="inlineStr">
        <is>
          <t>Oct</t>
        </is>
      </c>
      <c r="C467" s="7">
        <f>IFERROR(VLOOKUP(A467,Projects!$A:$AK,21,FALSE())/12,0)</f>
        <v/>
      </c>
      <c r="D467" s="7">
        <f>IFERROR(VLOOKUP(A467,Projects!$A:$AK,22,FALSE())/12,0)</f>
        <v/>
      </c>
      <c r="E467" s="7" t="n">
        <v>181203</v>
      </c>
      <c r="F467" s="7" t="n">
        <v>277025</v>
      </c>
      <c r="G467" s="7">
        <f>F467-E467</f>
        <v/>
      </c>
      <c r="H467" s="7" t="n">
        <v>224150</v>
      </c>
      <c r="I467" s="7" t="n">
        <v>236186</v>
      </c>
    </row>
    <row r="468" ht="15" customHeight="1" s="5">
      <c r="A468" s="7" t="inlineStr">
        <is>
          <t>PRJ039</t>
        </is>
      </c>
      <c r="B468" s="7" t="inlineStr">
        <is>
          <t>Nov</t>
        </is>
      </c>
      <c r="C468" s="7">
        <f>IFERROR(VLOOKUP(A468,Projects!$A:$AK,21,FALSE())/12,0)</f>
        <v/>
      </c>
      <c r="D468" s="7">
        <f>IFERROR(VLOOKUP(A468,Projects!$A:$AK,22,FALSE())/12,0)</f>
        <v/>
      </c>
      <c r="E468" s="7" t="n">
        <v>187343</v>
      </c>
      <c r="F468" s="7" t="n">
        <v>216077</v>
      </c>
      <c r="G468" s="7">
        <f>F468-E468</f>
        <v/>
      </c>
      <c r="H468" s="7" t="n">
        <v>169212</v>
      </c>
      <c r="I468" s="7" t="n">
        <v>133084</v>
      </c>
    </row>
    <row r="469" ht="15" customHeight="1" s="5">
      <c r="A469" s="7" t="inlineStr">
        <is>
          <t>PRJ039</t>
        </is>
      </c>
      <c r="B469" s="7" t="inlineStr">
        <is>
          <t>Dec</t>
        </is>
      </c>
      <c r="C469" s="7">
        <f>IFERROR(VLOOKUP(A469,Projects!$A:$AK,21,FALSE())/12,0)</f>
        <v/>
      </c>
      <c r="D469" s="7">
        <f>IFERROR(VLOOKUP(A469,Projects!$A:$AK,22,FALSE())/12,0)</f>
        <v/>
      </c>
      <c r="E469" s="7" t="n">
        <v>265660</v>
      </c>
      <c r="F469" s="7" t="n">
        <v>237955</v>
      </c>
      <c r="G469" s="7">
        <f>F469-E469</f>
        <v/>
      </c>
      <c r="H469" s="7" t="n">
        <v>250495</v>
      </c>
      <c r="I469" s="7" t="n">
        <v>198753</v>
      </c>
    </row>
    <row r="470" ht="15" customHeight="1" s="5">
      <c r="A470" s="7" t="inlineStr">
        <is>
          <t>PRJ040</t>
        </is>
      </c>
      <c r="B470" s="7" t="inlineStr">
        <is>
          <t>Jan</t>
        </is>
      </c>
      <c r="C470" s="7">
        <f>IFERROR(VLOOKUP(A470,Projects!$A:$AK,21,FALSE())/12,0)</f>
        <v/>
      </c>
      <c r="D470" s="7">
        <f>IFERROR(VLOOKUP(A470,Projects!$A:$AK,22,FALSE())/12,0)</f>
        <v/>
      </c>
      <c r="E470" s="7" t="n">
        <v>111391</v>
      </c>
      <c r="F470" s="7" t="n">
        <v>122774</v>
      </c>
      <c r="G470" s="7">
        <f>F470-E470</f>
        <v/>
      </c>
      <c r="H470" s="7" t="n">
        <v>115476</v>
      </c>
      <c r="I470" s="7" t="n">
        <v>79012</v>
      </c>
    </row>
    <row r="471" ht="15" customHeight="1" s="5">
      <c r="A471" s="7" t="inlineStr">
        <is>
          <t>PRJ040</t>
        </is>
      </c>
      <c r="B471" s="7" t="inlineStr">
        <is>
          <t>Feb</t>
        </is>
      </c>
      <c r="C471" s="7">
        <f>IFERROR(VLOOKUP(A471,Projects!$A:$AK,21,FALSE())/12,0)</f>
        <v/>
      </c>
      <c r="D471" s="7">
        <f>IFERROR(VLOOKUP(A471,Projects!$A:$AK,22,FALSE())/12,0)</f>
        <v/>
      </c>
      <c r="E471" s="7" t="n">
        <v>68731</v>
      </c>
      <c r="F471" s="7" t="n">
        <v>101938</v>
      </c>
      <c r="G471" s="7">
        <f>F471-E471</f>
        <v/>
      </c>
      <c r="H471" s="7" t="n">
        <v>105889</v>
      </c>
      <c r="I471" s="7" t="n">
        <v>85494</v>
      </c>
    </row>
    <row r="472" ht="15" customHeight="1" s="5">
      <c r="A472" s="7" t="inlineStr">
        <is>
          <t>PRJ040</t>
        </is>
      </c>
      <c r="B472" s="7" t="inlineStr">
        <is>
          <t>Mar</t>
        </is>
      </c>
      <c r="C472" s="7">
        <f>IFERROR(VLOOKUP(A472,Projects!$A:$AK,21,FALSE())/12,0)</f>
        <v/>
      </c>
      <c r="D472" s="7">
        <f>IFERROR(VLOOKUP(A472,Projects!$A:$AK,22,FALSE())/12,0)</f>
        <v/>
      </c>
      <c r="E472" s="7" t="n">
        <v>105364</v>
      </c>
      <c r="F472" s="7" t="n">
        <v>106142</v>
      </c>
      <c r="G472" s="7">
        <f>F472-E472</f>
        <v/>
      </c>
      <c r="H472" s="7" t="n">
        <v>96749</v>
      </c>
      <c r="I472" s="7" t="n">
        <v>86375</v>
      </c>
    </row>
    <row r="473" ht="15" customHeight="1" s="5">
      <c r="A473" s="7" t="inlineStr">
        <is>
          <t>PRJ040</t>
        </is>
      </c>
      <c r="B473" s="7" t="inlineStr">
        <is>
          <t>Apr</t>
        </is>
      </c>
      <c r="C473" s="7">
        <f>IFERROR(VLOOKUP(A473,Projects!$A:$AK,21,FALSE())/12,0)</f>
        <v/>
      </c>
      <c r="D473" s="7">
        <f>IFERROR(VLOOKUP(A473,Projects!$A:$AK,22,FALSE())/12,0)</f>
        <v/>
      </c>
      <c r="E473" s="7" t="n">
        <v>152689</v>
      </c>
      <c r="F473" s="7" t="n">
        <v>156725</v>
      </c>
      <c r="G473" s="7">
        <f>F473-E473</f>
        <v/>
      </c>
      <c r="H473" s="7" t="n">
        <v>115008</v>
      </c>
      <c r="I473" s="7" t="n">
        <v>132667</v>
      </c>
    </row>
    <row r="474" ht="15" customHeight="1" s="5">
      <c r="A474" s="7" t="inlineStr">
        <is>
          <t>PRJ040</t>
        </is>
      </c>
      <c r="B474" s="7" t="inlineStr">
        <is>
          <t>May</t>
        </is>
      </c>
      <c r="C474" s="7">
        <f>IFERROR(VLOOKUP(A474,Projects!$A:$AK,21,FALSE())/12,0)</f>
        <v/>
      </c>
      <c r="D474" s="7">
        <f>IFERROR(VLOOKUP(A474,Projects!$A:$AK,22,FALSE())/12,0)</f>
        <v/>
      </c>
      <c r="E474" s="7" t="n">
        <v>141596</v>
      </c>
      <c r="F474" s="7" t="n">
        <v>175336</v>
      </c>
      <c r="G474" s="7">
        <f>F474-E474</f>
        <v/>
      </c>
      <c r="H474" s="7" t="n">
        <v>135280</v>
      </c>
      <c r="I474" s="7" t="n">
        <v>140998</v>
      </c>
    </row>
    <row r="475" ht="15" customHeight="1" s="5">
      <c r="A475" s="7" t="inlineStr">
        <is>
          <t>PRJ040</t>
        </is>
      </c>
      <c r="B475" s="7" t="inlineStr">
        <is>
          <t>Jun</t>
        </is>
      </c>
      <c r="C475" s="7">
        <f>IFERROR(VLOOKUP(A475,Projects!$A:$AK,21,FALSE())/12,0)</f>
        <v/>
      </c>
      <c r="D475" s="7">
        <f>IFERROR(VLOOKUP(A475,Projects!$A:$AK,22,FALSE())/12,0)</f>
        <v/>
      </c>
      <c r="E475" s="7" t="n">
        <v>119554</v>
      </c>
      <c r="F475" s="7" t="n">
        <v>163580</v>
      </c>
      <c r="G475" s="7">
        <f>F475-E475</f>
        <v/>
      </c>
      <c r="H475" s="7" t="n">
        <v>153169</v>
      </c>
      <c r="I475" s="7" t="n">
        <v>130992</v>
      </c>
    </row>
    <row r="476" ht="15" customHeight="1" s="5">
      <c r="A476" s="7" t="inlineStr">
        <is>
          <t>PRJ040</t>
        </is>
      </c>
      <c r="B476" s="7" t="inlineStr">
        <is>
          <t>Jul</t>
        </is>
      </c>
      <c r="C476" s="7">
        <f>IFERROR(VLOOKUP(A476,Projects!$A:$AK,21,FALSE())/12,0)</f>
        <v/>
      </c>
      <c r="D476" s="7">
        <f>IFERROR(VLOOKUP(A476,Projects!$A:$AK,22,FALSE())/12,0)</f>
        <v/>
      </c>
      <c r="E476" s="7" t="n">
        <v>64517</v>
      </c>
      <c r="F476" s="7" t="n">
        <v>122606</v>
      </c>
      <c r="G476" s="7">
        <f>F476-E476</f>
        <v/>
      </c>
      <c r="H476" s="7" t="n">
        <v>86518</v>
      </c>
      <c r="I476" s="7" t="n">
        <v>84403</v>
      </c>
    </row>
    <row r="477" ht="15" customHeight="1" s="5">
      <c r="A477" s="7" t="inlineStr">
        <is>
          <t>PRJ040</t>
        </is>
      </c>
      <c r="B477" s="7" t="inlineStr">
        <is>
          <t>Aug</t>
        </is>
      </c>
      <c r="C477" s="7">
        <f>IFERROR(VLOOKUP(A477,Projects!$A:$AK,21,FALSE())/12,0)</f>
        <v/>
      </c>
      <c r="D477" s="7">
        <f>IFERROR(VLOOKUP(A477,Projects!$A:$AK,22,FALSE())/12,0)</f>
        <v/>
      </c>
      <c r="E477" s="7" t="n">
        <v>131713</v>
      </c>
      <c r="F477" s="7" t="n">
        <v>155187</v>
      </c>
      <c r="G477" s="7">
        <f>F477-E477</f>
        <v/>
      </c>
      <c r="H477" s="7" t="n">
        <v>146024</v>
      </c>
      <c r="I477" s="7" t="n">
        <v>141293</v>
      </c>
    </row>
    <row r="478" ht="15" customHeight="1" s="5">
      <c r="A478" s="7" t="inlineStr">
        <is>
          <t>PRJ040</t>
        </is>
      </c>
      <c r="B478" s="7" t="inlineStr">
        <is>
          <t>Sep</t>
        </is>
      </c>
      <c r="C478" s="7">
        <f>IFERROR(VLOOKUP(A478,Projects!$A:$AK,21,FALSE())/12,0)</f>
        <v/>
      </c>
      <c r="D478" s="7">
        <f>IFERROR(VLOOKUP(A478,Projects!$A:$AK,22,FALSE())/12,0)</f>
        <v/>
      </c>
      <c r="E478" s="7" t="n">
        <v>111360</v>
      </c>
      <c r="F478" s="7" t="n">
        <v>114382</v>
      </c>
      <c r="G478" s="7">
        <f>F478-E478</f>
        <v/>
      </c>
      <c r="H478" s="7" t="n">
        <v>119860</v>
      </c>
      <c r="I478" s="7" t="n">
        <v>124118</v>
      </c>
    </row>
    <row r="479" ht="15" customHeight="1" s="5">
      <c r="A479" s="7" t="inlineStr">
        <is>
          <t>PRJ040</t>
        </is>
      </c>
      <c r="B479" s="7" t="inlineStr">
        <is>
          <t>Oct</t>
        </is>
      </c>
      <c r="C479" s="7">
        <f>IFERROR(VLOOKUP(A479,Projects!$A:$AK,21,FALSE())/12,0)</f>
        <v/>
      </c>
      <c r="D479" s="7">
        <f>IFERROR(VLOOKUP(A479,Projects!$A:$AK,22,FALSE())/12,0)</f>
        <v/>
      </c>
      <c r="E479" s="7" t="n">
        <v>87975</v>
      </c>
      <c r="F479" s="7" t="n">
        <v>87867</v>
      </c>
      <c r="G479" s="7">
        <f>F479-E479</f>
        <v/>
      </c>
      <c r="H479" s="7" t="n">
        <v>85322</v>
      </c>
      <c r="I479" s="7" t="n">
        <v>68750</v>
      </c>
    </row>
    <row r="480" ht="15" customHeight="1" s="5">
      <c r="A480" s="7" t="inlineStr">
        <is>
          <t>PRJ040</t>
        </is>
      </c>
      <c r="B480" s="7" t="inlineStr">
        <is>
          <t>Nov</t>
        </is>
      </c>
      <c r="C480" s="7">
        <f>IFERROR(VLOOKUP(A480,Projects!$A:$AK,21,FALSE())/12,0)</f>
        <v/>
      </c>
      <c r="D480" s="7">
        <f>IFERROR(VLOOKUP(A480,Projects!$A:$AK,22,FALSE())/12,0)</f>
        <v/>
      </c>
      <c r="E480" s="7" t="n">
        <v>170809</v>
      </c>
      <c r="F480" s="7" t="n">
        <v>158960</v>
      </c>
      <c r="G480" s="7">
        <f>F480-E480</f>
        <v/>
      </c>
      <c r="H480" s="7" t="n">
        <v>156305</v>
      </c>
      <c r="I480" s="7" t="n">
        <v>159422</v>
      </c>
    </row>
    <row r="481" ht="15" customHeight="1" s="5">
      <c r="A481" s="7" t="inlineStr">
        <is>
          <t>PRJ040</t>
        </is>
      </c>
      <c r="B481" s="7" t="inlineStr">
        <is>
          <t>Dec</t>
        </is>
      </c>
      <c r="C481" s="7">
        <f>IFERROR(VLOOKUP(A481,Projects!$A:$AK,21,FALSE())/12,0)</f>
        <v/>
      </c>
      <c r="D481" s="7">
        <f>IFERROR(VLOOKUP(A481,Projects!$A:$AK,22,FALSE())/12,0)</f>
        <v/>
      </c>
      <c r="E481" s="7" t="n">
        <v>175890</v>
      </c>
      <c r="F481" s="7" t="n">
        <v>175479</v>
      </c>
      <c r="G481" s="7">
        <f>F481-E481</f>
        <v/>
      </c>
      <c r="H481" s="7" t="n">
        <v>157845</v>
      </c>
      <c r="I481" s="7" t="n">
        <v>150862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26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Resource</t>
        </is>
      </c>
      <c r="B1" s="6" t="inlineStr">
        <is>
          <t>Skill</t>
        </is>
      </c>
      <c r="C1" s="6" t="inlineStr">
        <is>
          <t>Role</t>
        </is>
      </c>
      <c r="D1" s="6" t="inlineStr">
        <is>
          <t>Project ID</t>
        </is>
      </c>
      <c r="E1" s="6" t="inlineStr">
        <is>
          <t>Project</t>
        </is>
      </c>
      <c r="F1" s="6" t="inlineStr">
        <is>
          <t>Month</t>
        </is>
      </c>
      <c r="G1" s="6" t="inlineStr">
        <is>
          <t>Allocation %</t>
        </is>
      </c>
      <c r="H1" s="6" t="inlineStr">
        <is>
          <t>Capacity %</t>
        </is>
      </c>
    </row>
    <row r="2" ht="15" customHeight="1" s="5">
      <c r="A2" s="7" t="inlineStr">
        <is>
          <t>Resource 01</t>
        </is>
      </c>
      <c r="B2" s="7" t="inlineStr">
        <is>
          <t>BA</t>
        </is>
      </c>
      <c r="C2" s="7" t="inlineStr">
        <is>
          <t>Analyst</t>
        </is>
      </c>
      <c r="D2" s="7" t="inlineStr">
        <is>
          <t>PRJ022</t>
        </is>
      </c>
      <c r="E2" s="7" t="inlineStr">
        <is>
          <t>DevOps Tools</t>
        </is>
      </c>
      <c r="F2" s="8" t="n">
        <v>45748</v>
      </c>
      <c r="G2" s="7" t="n">
        <v>25</v>
      </c>
      <c r="H2" s="7" t="n">
        <v>100</v>
      </c>
    </row>
    <row r="3" ht="15" customHeight="1" s="5">
      <c r="A3" s="7" t="inlineStr">
        <is>
          <t>Resource 01</t>
        </is>
      </c>
      <c r="B3" s="7" t="inlineStr">
        <is>
          <t>BA</t>
        </is>
      </c>
      <c r="C3" s="7" t="inlineStr">
        <is>
          <t>Analyst</t>
        </is>
      </c>
      <c r="D3" s="7" t="inlineStr">
        <is>
          <t>PRJ022</t>
        </is>
      </c>
      <c r="E3" s="7" t="inlineStr">
        <is>
          <t>DevOps Tools</t>
        </is>
      </c>
      <c r="F3" s="8" t="n">
        <v>45778</v>
      </c>
      <c r="G3" s="7" t="n">
        <v>25</v>
      </c>
      <c r="H3" s="7" t="n">
        <v>100</v>
      </c>
    </row>
    <row r="4" ht="15" customHeight="1" s="5">
      <c r="A4" s="7" t="inlineStr">
        <is>
          <t>Resource 01</t>
        </is>
      </c>
      <c r="B4" s="7" t="inlineStr">
        <is>
          <t>BA</t>
        </is>
      </c>
      <c r="C4" s="7" t="inlineStr">
        <is>
          <t>Analyst</t>
        </is>
      </c>
      <c r="D4" s="7" t="inlineStr">
        <is>
          <t>PRJ022</t>
        </is>
      </c>
      <c r="E4" s="7" t="inlineStr">
        <is>
          <t>DevOps Tools</t>
        </is>
      </c>
      <c r="F4" s="8" t="n">
        <v>45809</v>
      </c>
      <c r="G4" s="7" t="n">
        <v>25</v>
      </c>
      <c r="H4" s="7" t="n">
        <v>100</v>
      </c>
    </row>
    <row r="5" ht="15" customHeight="1" s="5">
      <c r="A5" s="7" t="inlineStr">
        <is>
          <t>Resource 01</t>
        </is>
      </c>
      <c r="B5" s="7" t="inlineStr">
        <is>
          <t>BA</t>
        </is>
      </c>
      <c r="C5" s="7" t="inlineStr">
        <is>
          <t>Analyst</t>
        </is>
      </c>
      <c r="D5" s="7" t="inlineStr">
        <is>
          <t>PRJ022</t>
        </is>
      </c>
      <c r="E5" s="7" t="inlineStr">
        <is>
          <t>DevOps Tools</t>
        </is>
      </c>
      <c r="F5" s="8" t="n">
        <v>45839</v>
      </c>
      <c r="G5" s="7" t="n">
        <v>40</v>
      </c>
      <c r="H5" s="7" t="n">
        <v>100</v>
      </c>
    </row>
    <row r="6" ht="15" customHeight="1" s="5">
      <c r="A6" s="7" t="inlineStr">
        <is>
          <t>Resource 01</t>
        </is>
      </c>
      <c r="B6" s="7" t="inlineStr">
        <is>
          <t>BA</t>
        </is>
      </c>
      <c r="C6" s="7" t="inlineStr">
        <is>
          <t>Analyst</t>
        </is>
      </c>
      <c r="D6" s="7" t="inlineStr">
        <is>
          <t>PRJ022</t>
        </is>
      </c>
      <c r="E6" s="7" t="inlineStr">
        <is>
          <t>DevOps Tools</t>
        </is>
      </c>
      <c r="F6" s="8" t="n">
        <v>45870</v>
      </c>
      <c r="G6" s="7" t="n">
        <v>35</v>
      </c>
      <c r="H6" s="7" t="n">
        <v>100</v>
      </c>
    </row>
    <row r="7" ht="15" customHeight="1" s="5">
      <c r="A7" s="7" t="inlineStr">
        <is>
          <t>Resource 01</t>
        </is>
      </c>
      <c r="B7" s="7" t="inlineStr">
        <is>
          <t>BA</t>
        </is>
      </c>
      <c r="C7" s="7" t="inlineStr">
        <is>
          <t>Analyst</t>
        </is>
      </c>
      <c r="D7" s="7" t="inlineStr">
        <is>
          <t>PRJ022</t>
        </is>
      </c>
      <c r="E7" s="7" t="inlineStr">
        <is>
          <t>DevOps Tools</t>
        </is>
      </c>
      <c r="F7" s="8" t="n">
        <v>45901</v>
      </c>
      <c r="G7" s="7" t="n">
        <v>35</v>
      </c>
      <c r="H7" s="7" t="n">
        <v>100</v>
      </c>
    </row>
    <row r="8" ht="15" customHeight="1" s="5">
      <c r="A8" s="7" t="inlineStr">
        <is>
          <t>Resource 01</t>
        </is>
      </c>
      <c r="B8" s="7" t="inlineStr">
        <is>
          <t>BA</t>
        </is>
      </c>
      <c r="C8" s="7" t="inlineStr">
        <is>
          <t>Analyst</t>
        </is>
      </c>
      <c r="D8" s="7" t="inlineStr">
        <is>
          <t>PRJ022</t>
        </is>
      </c>
      <c r="E8" s="7" t="inlineStr">
        <is>
          <t>DevOps Tools</t>
        </is>
      </c>
      <c r="F8" s="8" t="n">
        <v>45931</v>
      </c>
      <c r="G8" s="7" t="n">
        <v>35</v>
      </c>
      <c r="H8" s="7" t="n">
        <v>100</v>
      </c>
    </row>
    <row r="9" ht="15" customHeight="1" s="5">
      <c r="A9" s="7" t="inlineStr">
        <is>
          <t>Resource 01</t>
        </is>
      </c>
      <c r="B9" s="7" t="inlineStr">
        <is>
          <t>BA</t>
        </is>
      </c>
      <c r="C9" s="7" t="inlineStr">
        <is>
          <t>Analyst</t>
        </is>
      </c>
      <c r="D9" s="7" t="inlineStr">
        <is>
          <t>PRJ022</t>
        </is>
      </c>
      <c r="E9" s="7" t="inlineStr">
        <is>
          <t>DevOps Tools</t>
        </is>
      </c>
      <c r="F9" s="8" t="n">
        <v>45962</v>
      </c>
      <c r="G9" s="7" t="n">
        <v>15</v>
      </c>
      <c r="H9" s="7" t="n">
        <v>100</v>
      </c>
    </row>
    <row r="10" ht="15" customHeight="1" s="5">
      <c r="A10" s="7" t="inlineStr">
        <is>
          <t>Resource 01</t>
        </is>
      </c>
      <c r="B10" s="7" t="inlineStr">
        <is>
          <t>BA</t>
        </is>
      </c>
      <c r="C10" s="7" t="inlineStr">
        <is>
          <t>Analyst</t>
        </is>
      </c>
      <c r="D10" s="7" t="inlineStr">
        <is>
          <t>PRJ022</t>
        </is>
      </c>
      <c r="E10" s="7" t="inlineStr">
        <is>
          <t>DevOps Tools</t>
        </is>
      </c>
      <c r="F10" s="8" t="n">
        <v>45992</v>
      </c>
      <c r="G10" s="7" t="n">
        <v>40</v>
      </c>
      <c r="H10" s="7" t="n">
        <v>100</v>
      </c>
    </row>
    <row r="11" ht="15" customHeight="1" s="5">
      <c r="A11" s="7" t="inlineStr">
        <is>
          <t>Resource 01</t>
        </is>
      </c>
      <c r="B11" s="7" t="inlineStr">
        <is>
          <t>BA</t>
        </is>
      </c>
      <c r="C11" s="7" t="inlineStr">
        <is>
          <t>Analyst</t>
        </is>
      </c>
      <c r="D11" s="7" t="inlineStr">
        <is>
          <t>PRJ022</t>
        </is>
      </c>
      <c r="E11" s="7" t="inlineStr">
        <is>
          <t>DevOps Tools</t>
        </is>
      </c>
      <c r="F11" s="8" t="n">
        <v>46023</v>
      </c>
      <c r="G11" s="7" t="n">
        <v>0</v>
      </c>
      <c r="H11" s="7" t="n">
        <v>100</v>
      </c>
    </row>
    <row r="12" ht="15" customHeight="1" s="5">
      <c r="A12" s="7" t="inlineStr">
        <is>
          <t>Resource 01</t>
        </is>
      </c>
      <c r="B12" s="7" t="inlineStr">
        <is>
          <t>BA</t>
        </is>
      </c>
      <c r="C12" s="7" t="inlineStr">
        <is>
          <t>Analyst</t>
        </is>
      </c>
      <c r="D12" s="7" t="inlineStr">
        <is>
          <t>PRJ040</t>
        </is>
      </c>
      <c r="E12" s="7" t="inlineStr">
        <is>
          <t>Zero-Trust Net</t>
        </is>
      </c>
      <c r="F12" s="8" t="n">
        <v>45689</v>
      </c>
      <c r="G12" s="7" t="n">
        <v>90</v>
      </c>
      <c r="H12" s="7" t="n">
        <v>100</v>
      </c>
    </row>
    <row r="13" ht="15" customHeight="1" s="5">
      <c r="A13" s="7" t="inlineStr">
        <is>
          <t>Resource 01</t>
        </is>
      </c>
      <c r="B13" s="7" t="inlineStr">
        <is>
          <t>BA</t>
        </is>
      </c>
      <c r="C13" s="7" t="inlineStr">
        <is>
          <t>Analyst</t>
        </is>
      </c>
      <c r="D13" s="7" t="inlineStr">
        <is>
          <t>PRJ040</t>
        </is>
      </c>
      <c r="E13" s="7" t="inlineStr">
        <is>
          <t>Zero-Trust Net</t>
        </is>
      </c>
      <c r="F13" s="8" t="n">
        <v>45717</v>
      </c>
      <c r="G13" s="7" t="n">
        <v>50</v>
      </c>
      <c r="H13" s="7" t="n">
        <v>100</v>
      </c>
    </row>
    <row r="14" ht="15" customHeight="1" s="5">
      <c r="A14" s="7" t="inlineStr">
        <is>
          <t>Resource 01</t>
        </is>
      </c>
      <c r="B14" s="7" t="inlineStr">
        <is>
          <t>BA</t>
        </is>
      </c>
      <c r="C14" s="7" t="inlineStr">
        <is>
          <t>Analyst</t>
        </is>
      </c>
      <c r="D14" s="7" t="inlineStr">
        <is>
          <t>PRJ040</t>
        </is>
      </c>
      <c r="E14" s="7" t="inlineStr">
        <is>
          <t>Zero-Trust Net</t>
        </is>
      </c>
      <c r="F14" s="8" t="n">
        <v>45748</v>
      </c>
      <c r="G14" s="7" t="n">
        <v>85</v>
      </c>
      <c r="H14" s="7" t="n">
        <v>100</v>
      </c>
    </row>
    <row r="15" ht="15" customHeight="1" s="5">
      <c r="A15" s="7" t="inlineStr">
        <is>
          <t>Resource 01</t>
        </is>
      </c>
      <c r="B15" s="7" t="inlineStr">
        <is>
          <t>BA</t>
        </is>
      </c>
      <c r="C15" s="7" t="inlineStr">
        <is>
          <t>Analyst</t>
        </is>
      </c>
      <c r="D15" s="7" t="inlineStr">
        <is>
          <t>PRJ040</t>
        </is>
      </c>
      <c r="E15" s="7" t="inlineStr">
        <is>
          <t>Zero-Trust Net</t>
        </is>
      </c>
      <c r="F15" s="8" t="n">
        <v>45778</v>
      </c>
      <c r="G15" s="7" t="n">
        <v>90</v>
      </c>
      <c r="H15" s="7" t="n">
        <v>100</v>
      </c>
    </row>
    <row r="16" ht="15" customHeight="1" s="5">
      <c r="A16" s="7" t="inlineStr">
        <is>
          <t>Resource 01</t>
        </is>
      </c>
      <c r="B16" s="7" t="inlineStr">
        <is>
          <t>BA</t>
        </is>
      </c>
      <c r="C16" s="7" t="inlineStr">
        <is>
          <t>Analyst</t>
        </is>
      </c>
      <c r="D16" s="7" t="inlineStr">
        <is>
          <t>PRJ040</t>
        </is>
      </c>
      <c r="E16" s="7" t="inlineStr">
        <is>
          <t>Zero-Trust Net</t>
        </is>
      </c>
      <c r="F16" s="8" t="n">
        <v>45809</v>
      </c>
      <c r="G16" s="7" t="n">
        <v>75</v>
      </c>
      <c r="H16" s="7" t="n">
        <v>100</v>
      </c>
    </row>
    <row r="17" ht="15" customHeight="1" s="5">
      <c r="A17" s="7" t="inlineStr">
        <is>
          <t>Resource 01</t>
        </is>
      </c>
      <c r="B17" s="7" t="inlineStr">
        <is>
          <t>BA</t>
        </is>
      </c>
      <c r="C17" s="7" t="inlineStr">
        <is>
          <t>Analyst</t>
        </is>
      </c>
      <c r="D17" s="7" t="inlineStr">
        <is>
          <t>PRJ040</t>
        </is>
      </c>
      <c r="E17" s="7" t="inlineStr">
        <is>
          <t>Zero-Trust Net</t>
        </is>
      </c>
      <c r="F17" s="8" t="n">
        <v>45839</v>
      </c>
      <c r="G17" s="7" t="n">
        <v>50</v>
      </c>
      <c r="H17" s="7" t="n">
        <v>100</v>
      </c>
    </row>
    <row r="18" ht="15" customHeight="1" s="5">
      <c r="A18" s="7" t="inlineStr">
        <is>
          <t>Resource 01</t>
        </is>
      </c>
      <c r="B18" s="7" t="inlineStr">
        <is>
          <t>BA</t>
        </is>
      </c>
      <c r="C18" s="7" t="inlineStr">
        <is>
          <t>Analyst</t>
        </is>
      </c>
      <c r="D18" s="7" t="inlineStr">
        <is>
          <t>PRJ040</t>
        </is>
      </c>
      <c r="E18" s="7" t="inlineStr">
        <is>
          <t>Zero-Trust Net</t>
        </is>
      </c>
      <c r="F18" s="8" t="n">
        <v>45870</v>
      </c>
      <c r="G18" s="7" t="n">
        <v>50</v>
      </c>
      <c r="H18" s="7" t="n">
        <v>100</v>
      </c>
    </row>
    <row r="19" ht="15" customHeight="1" s="5">
      <c r="A19" s="7" t="inlineStr">
        <is>
          <t>Resource 01</t>
        </is>
      </c>
      <c r="B19" s="7" t="inlineStr">
        <is>
          <t>BA</t>
        </is>
      </c>
      <c r="C19" s="7" t="inlineStr">
        <is>
          <t>Analyst</t>
        </is>
      </c>
      <c r="D19" s="7" t="inlineStr">
        <is>
          <t>PRJ040</t>
        </is>
      </c>
      <c r="E19" s="7" t="inlineStr">
        <is>
          <t>Zero-Trust Net</t>
        </is>
      </c>
      <c r="F19" s="8" t="n">
        <v>45901</v>
      </c>
      <c r="G19" s="7" t="n">
        <v>75</v>
      </c>
      <c r="H19" s="7" t="n">
        <v>100</v>
      </c>
    </row>
    <row r="20" ht="15" customHeight="1" s="5">
      <c r="A20" s="7" t="inlineStr">
        <is>
          <t>Resource 01</t>
        </is>
      </c>
      <c r="B20" s="7" t="inlineStr">
        <is>
          <t>BA</t>
        </is>
      </c>
      <c r="C20" s="7" t="inlineStr">
        <is>
          <t>Analyst</t>
        </is>
      </c>
      <c r="D20" s="7" t="inlineStr">
        <is>
          <t>PRJ040</t>
        </is>
      </c>
      <c r="E20" s="7" t="inlineStr">
        <is>
          <t>Zero-Trust Net</t>
        </is>
      </c>
      <c r="F20" s="8" t="n">
        <v>45931</v>
      </c>
      <c r="G20" s="7" t="n">
        <v>75</v>
      </c>
      <c r="H20" s="7" t="n">
        <v>100</v>
      </c>
    </row>
    <row r="21" ht="15" customHeight="1" s="5">
      <c r="A21" s="7" t="inlineStr">
        <is>
          <t>Resource 01</t>
        </is>
      </c>
      <c r="B21" s="7" t="inlineStr">
        <is>
          <t>BA</t>
        </is>
      </c>
      <c r="C21" s="7" t="inlineStr">
        <is>
          <t>Analyst</t>
        </is>
      </c>
      <c r="D21" s="7" t="inlineStr">
        <is>
          <t>PRJ040</t>
        </is>
      </c>
      <c r="E21" s="7" t="inlineStr">
        <is>
          <t>Zero-Trust Net</t>
        </is>
      </c>
      <c r="F21" s="8" t="n">
        <v>45962</v>
      </c>
      <c r="G21" s="7" t="n">
        <v>75</v>
      </c>
      <c r="H21" s="7" t="n">
        <v>100</v>
      </c>
    </row>
    <row r="22" ht="15" customHeight="1" s="5">
      <c r="A22" s="7" t="inlineStr">
        <is>
          <t>Resource 01</t>
        </is>
      </c>
      <c r="B22" s="7" t="inlineStr">
        <is>
          <t>BA</t>
        </is>
      </c>
      <c r="C22" s="7" t="inlineStr">
        <is>
          <t>Analyst</t>
        </is>
      </c>
      <c r="D22" s="7" t="inlineStr">
        <is>
          <t>PRJ040</t>
        </is>
      </c>
      <c r="E22" s="7" t="inlineStr">
        <is>
          <t>Zero-Trust Net</t>
        </is>
      </c>
      <c r="F22" s="8" t="n">
        <v>45992</v>
      </c>
      <c r="G22" s="7" t="n">
        <v>85</v>
      </c>
      <c r="H22" s="7" t="n">
        <v>100</v>
      </c>
    </row>
    <row r="23" ht="15" customHeight="1" s="5">
      <c r="A23" s="7" t="inlineStr">
        <is>
          <t>Resource 01</t>
        </is>
      </c>
      <c r="B23" s="7" t="inlineStr">
        <is>
          <t>BA</t>
        </is>
      </c>
      <c r="C23" s="7" t="inlineStr">
        <is>
          <t>Analyst</t>
        </is>
      </c>
      <c r="D23" s="7" t="inlineStr">
        <is>
          <t>PRJ040</t>
        </is>
      </c>
      <c r="E23" s="7" t="inlineStr">
        <is>
          <t>Zero-Trust Net</t>
        </is>
      </c>
      <c r="F23" s="8" t="n">
        <v>46023</v>
      </c>
      <c r="G23" s="7" t="n">
        <v>50</v>
      </c>
      <c r="H23" s="7" t="n">
        <v>100</v>
      </c>
    </row>
    <row r="24" ht="15" customHeight="1" s="5">
      <c r="A24" s="7" t="inlineStr">
        <is>
          <t>Resource 01</t>
        </is>
      </c>
      <c r="B24" s="7" t="inlineStr">
        <is>
          <t>BA</t>
        </is>
      </c>
      <c r="C24" s="7" t="inlineStr">
        <is>
          <t>Analyst</t>
        </is>
      </c>
      <c r="D24" s="7" t="inlineStr">
        <is>
          <t>PRJ040</t>
        </is>
      </c>
      <c r="E24" s="7" t="inlineStr">
        <is>
          <t>Zero-Trust Net</t>
        </is>
      </c>
      <c r="F24" s="8" t="n">
        <v>46054</v>
      </c>
      <c r="G24" s="7" t="n">
        <v>75</v>
      </c>
      <c r="H24" s="7" t="n">
        <v>100</v>
      </c>
    </row>
    <row r="25" ht="15" customHeight="1" s="5">
      <c r="A25" s="7" t="inlineStr">
        <is>
          <t>Resource 01</t>
        </is>
      </c>
      <c r="B25" s="7" t="inlineStr">
        <is>
          <t>BA</t>
        </is>
      </c>
      <c r="C25" s="7" t="inlineStr">
        <is>
          <t>Analyst</t>
        </is>
      </c>
      <c r="D25" s="7" t="inlineStr">
        <is>
          <t>PRJ040</t>
        </is>
      </c>
      <c r="E25" s="7" t="inlineStr">
        <is>
          <t>Zero-Trust Net</t>
        </is>
      </c>
      <c r="F25" s="8" t="n">
        <v>46082</v>
      </c>
      <c r="G25" s="7" t="n">
        <v>75</v>
      </c>
      <c r="H25" s="7" t="n">
        <v>100</v>
      </c>
    </row>
    <row r="26" ht="15" customHeight="1" s="5">
      <c r="A26" s="7" t="inlineStr">
        <is>
          <t>Resource 01</t>
        </is>
      </c>
      <c r="B26" s="7" t="inlineStr">
        <is>
          <t>BA</t>
        </is>
      </c>
      <c r="C26" s="7" t="inlineStr">
        <is>
          <t>Analyst</t>
        </is>
      </c>
      <c r="D26" s="7" t="inlineStr">
        <is>
          <t>PRJ040</t>
        </is>
      </c>
      <c r="E26" s="7" t="inlineStr">
        <is>
          <t>Zero-Trust Net</t>
        </is>
      </c>
      <c r="F26" s="8" t="n">
        <v>46113</v>
      </c>
      <c r="G26" s="7" t="n">
        <v>65</v>
      </c>
      <c r="H26" s="7" t="n">
        <v>100</v>
      </c>
    </row>
    <row r="27" ht="15" customHeight="1" s="5">
      <c r="A27" s="7" t="inlineStr">
        <is>
          <t>Resource 01</t>
        </is>
      </c>
      <c r="B27" s="7" t="inlineStr">
        <is>
          <t>BA</t>
        </is>
      </c>
      <c r="C27" s="7" t="inlineStr">
        <is>
          <t>Analyst</t>
        </is>
      </c>
      <c r="D27" s="7" t="inlineStr">
        <is>
          <t>PRJ036</t>
        </is>
      </c>
      <c r="E27" s="7" t="inlineStr">
        <is>
          <t>HR Self-Service</t>
        </is>
      </c>
      <c r="F27" s="8" t="n">
        <v>45778</v>
      </c>
      <c r="G27" s="7" t="n">
        <v>35</v>
      </c>
      <c r="H27" s="7" t="n">
        <v>100</v>
      </c>
    </row>
    <row r="28" ht="15" customHeight="1" s="5">
      <c r="A28" s="7" t="inlineStr">
        <is>
          <t>Resource 01</t>
        </is>
      </c>
      <c r="B28" s="7" t="inlineStr">
        <is>
          <t>BA</t>
        </is>
      </c>
      <c r="C28" s="7" t="inlineStr">
        <is>
          <t>Analyst</t>
        </is>
      </c>
      <c r="D28" s="7" t="inlineStr">
        <is>
          <t>PRJ036</t>
        </is>
      </c>
      <c r="E28" s="7" t="inlineStr">
        <is>
          <t>HR Self-Service</t>
        </is>
      </c>
      <c r="F28" s="8" t="n">
        <v>45809</v>
      </c>
      <c r="G28" s="7" t="n">
        <v>40</v>
      </c>
      <c r="H28" s="7" t="n">
        <v>100</v>
      </c>
    </row>
    <row r="29" ht="15" customHeight="1" s="5">
      <c r="A29" s="7" t="inlineStr">
        <is>
          <t>Resource 01</t>
        </is>
      </c>
      <c r="B29" s="7" t="inlineStr">
        <is>
          <t>BA</t>
        </is>
      </c>
      <c r="C29" s="7" t="inlineStr">
        <is>
          <t>Analyst</t>
        </is>
      </c>
      <c r="D29" s="7" t="inlineStr">
        <is>
          <t>PRJ036</t>
        </is>
      </c>
      <c r="E29" s="7" t="inlineStr">
        <is>
          <t>HR Self-Service</t>
        </is>
      </c>
      <c r="F29" s="8" t="n">
        <v>45839</v>
      </c>
      <c r="G29" s="7" t="n">
        <v>15</v>
      </c>
      <c r="H29" s="7" t="n">
        <v>100</v>
      </c>
    </row>
    <row r="30" ht="15" customHeight="1" s="5">
      <c r="A30" s="7" t="inlineStr">
        <is>
          <t>Resource 01</t>
        </is>
      </c>
      <c r="B30" s="7" t="inlineStr">
        <is>
          <t>BA</t>
        </is>
      </c>
      <c r="C30" s="7" t="inlineStr">
        <is>
          <t>Analyst</t>
        </is>
      </c>
      <c r="D30" s="7" t="inlineStr">
        <is>
          <t>PRJ036</t>
        </is>
      </c>
      <c r="E30" s="7" t="inlineStr">
        <is>
          <t>HR Self-Service</t>
        </is>
      </c>
      <c r="F30" s="8" t="n">
        <v>45870</v>
      </c>
      <c r="G30" s="7" t="n">
        <v>15</v>
      </c>
      <c r="H30" s="7" t="n">
        <v>100</v>
      </c>
    </row>
    <row r="31" ht="15" customHeight="1" s="5">
      <c r="A31" s="7" t="inlineStr">
        <is>
          <t>Resource 01</t>
        </is>
      </c>
      <c r="B31" s="7" t="inlineStr">
        <is>
          <t>BA</t>
        </is>
      </c>
      <c r="C31" s="7" t="inlineStr">
        <is>
          <t>Analyst</t>
        </is>
      </c>
      <c r="D31" s="7" t="inlineStr">
        <is>
          <t>PRJ036</t>
        </is>
      </c>
      <c r="E31" s="7" t="inlineStr">
        <is>
          <t>HR Self-Service</t>
        </is>
      </c>
      <c r="F31" s="8" t="n">
        <v>45901</v>
      </c>
      <c r="G31" s="7" t="n">
        <v>25</v>
      </c>
      <c r="H31" s="7" t="n">
        <v>100</v>
      </c>
    </row>
    <row r="32" ht="15" customHeight="1" s="5">
      <c r="A32" s="7" t="inlineStr">
        <is>
          <t>Resource 01</t>
        </is>
      </c>
      <c r="B32" s="7" t="inlineStr">
        <is>
          <t>BA</t>
        </is>
      </c>
      <c r="C32" s="7" t="inlineStr">
        <is>
          <t>Analyst</t>
        </is>
      </c>
      <c r="D32" s="7" t="inlineStr">
        <is>
          <t>PRJ036</t>
        </is>
      </c>
      <c r="E32" s="7" t="inlineStr">
        <is>
          <t>HR Self-Service</t>
        </is>
      </c>
      <c r="F32" s="8" t="n">
        <v>45931</v>
      </c>
      <c r="G32" s="7" t="n">
        <v>15</v>
      </c>
      <c r="H32" s="7" t="n">
        <v>100</v>
      </c>
    </row>
    <row r="33" ht="15" customHeight="1" s="5">
      <c r="A33" s="7" t="inlineStr">
        <is>
          <t>Resource 01</t>
        </is>
      </c>
      <c r="B33" s="7" t="inlineStr">
        <is>
          <t>BA</t>
        </is>
      </c>
      <c r="C33" s="7" t="inlineStr">
        <is>
          <t>Analyst</t>
        </is>
      </c>
      <c r="D33" s="7" t="inlineStr">
        <is>
          <t>PRJ036</t>
        </is>
      </c>
      <c r="E33" s="7" t="inlineStr">
        <is>
          <t>HR Self-Service</t>
        </is>
      </c>
      <c r="F33" s="8" t="n">
        <v>45962</v>
      </c>
      <c r="G33" s="7" t="n">
        <v>35</v>
      </c>
      <c r="H33" s="7" t="n">
        <v>100</v>
      </c>
    </row>
    <row r="34" ht="15" customHeight="1" s="5">
      <c r="A34" s="7" t="inlineStr">
        <is>
          <t>Resource 01</t>
        </is>
      </c>
      <c r="B34" s="7" t="inlineStr">
        <is>
          <t>BA</t>
        </is>
      </c>
      <c r="C34" s="7" t="inlineStr">
        <is>
          <t>Analyst</t>
        </is>
      </c>
      <c r="D34" s="7" t="inlineStr">
        <is>
          <t>PRJ036</t>
        </is>
      </c>
      <c r="E34" s="7" t="inlineStr">
        <is>
          <t>HR Self-Service</t>
        </is>
      </c>
      <c r="F34" s="8" t="n">
        <v>45992</v>
      </c>
      <c r="G34" s="7" t="n">
        <v>0</v>
      </c>
      <c r="H34" s="7" t="n">
        <v>100</v>
      </c>
    </row>
    <row r="35" ht="15" customHeight="1" s="5">
      <c r="A35" s="7" t="inlineStr">
        <is>
          <t>Resource 02</t>
        </is>
      </c>
      <c r="B35" s="7" t="inlineStr">
        <is>
          <t>UX</t>
        </is>
      </c>
      <c r="C35" s="7" t="inlineStr">
        <is>
          <t>Architect</t>
        </is>
      </c>
      <c r="D35" s="7" t="inlineStr">
        <is>
          <t>PRJ014</t>
        </is>
      </c>
      <c r="E35" s="7" t="inlineStr">
        <is>
          <t>Identity Mgmt</t>
        </is>
      </c>
      <c r="F35" s="8" t="n">
        <v>45689</v>
      </c>
      <c r="G35" s="7" t="n">
        <v>50</v>
      </c>
      <c r="H35" s="7" t="n">
        <v>100</v>
      </c>
    </row>
    <row r="36" ht="15" customHeight="1" s="5">
      <c r="A36" s="7" t="inlineStr">
        <is>
          <t>Resource 02</t>
        </is>
      </c>
      <c r="B36" s="7" t="inlineStr">
        <is>
          <t>UX</t>
        </is>
      </c>
      <c r="C36" s="7" t="inlineStr">
        <is>
          <t>Architect</t>
        </is>
      </c>
      <c r="D36" s="7" t="inlineStr">
        <is>
          <t>PRJ014</t>
        </is>
      </c>
      <c r="E36" s="7" t="inlineStr">
        <is>
          <t>Identity Mgmt</t>
        </is>
      </c>
      <c r="F36" s="8" t="n">
        <v>45717</v>
      </c>
      <c r="G36" s="7" t="n">
        <v>50</v>
      </c>
      <c r="H36" s="7" t="n">
        <v>100</v>
      </c>
    </row>
    <row r="37" ht="15" customHeight="1" s="5">
      <c r="A37" s="7" t="inlineStr">
        <is>
          <t>Resource 02</t>
        </is>
      </c>
      <c r="B37" s="7" t="inlineStr">
        <is>
          <t>UX</t>
        </is>
      </c>
      <c r="C37" s="7" t="inlineStr">
        <is>
          <t>Architect</t>
        </is>
      </c>
      <c r="D37" s="7" t="inlineStr">
        <is>
          <t>PRJ014</t>
        </is>
      </c>
      <c r="E37" s="7" t="inlineStr">
        <is>
          <t>Identity Mgmt</t>
        </is>
      </c>
      <c r="F37" s="8" t="n">
        <v>45748</v>
      </c>
      <c r="G37" s="7" t="n">
        <v>50</v>
      </c>
      <c r="H37" s="7" t="n">
        <v>100</v>
      </c>
    </row>
    <row r="38" ht="15" customHeight="1" s="5">
      <c r="A38" s="7" t="inlineStr">
        <is>
          <t>Resource 02</t>
        </is>
      </c>
      <c r="B38" s="7" t="inlineStr">
        <is>
          <t>UX</t>
        </is>
      </c>
      <c r="C38" s="7" t="inlineStr">
        <is>
          <t>Architect</t>
        </is>
      </c>
      <c r="D38" s="7" t="inlineStr">
        <is>
          <t>PRJ014</t>
        </is>
      </c>
      <c r="E38" s="7" t="inlineStr">
        <is>
          <t>Identity Mgmt</t>
        </is>
      </c>
      <c r="F38" s="8" t="n">
        <v>45778</v>
      </c>
      <c r="G38" s="7" t="n">
        <v>60</v>
      </c>
      <c r="H38" s="7" t="n">
        <v>100</v>
      </c>
    </row>
    <row r="39" ht="15" customHeight="1" s="5">
      <c r="A39" s="7" t="inlineStr">
        <is>
          <t>Resource 02</t>
        </is>
      </c>
      <c r="B39" s="7" t="inlineStr">
        <is>
          <t>UX</t>
        </is>
      </c>
      <c r="C39" s="7" t="inlineStr">
        <is>
          <t>Architect</t>
        </is>
      </c>
      <c r="D39" s="7" t="inlineStr">
        <is>
          <t>PRJ014</t>
        </is>
      </c>
      <c r="E39" s="7" t="inlineStr">
        <is>
          <t>Identity Mgmt</t>
        </is>
      </c>
      <c r="F39" s="8" t="n">
        <v>45809</v>
      </c>
      <c r="G39" s="7" t="n">
        <v>65</v>
      </c>
      <c r="H39" s="7" t="n">
        <v>100</v>
      </c>
    </row>
    <row r="40" ht="15" customHeight="1" s="5">
      <c r="A40" s="7" t="inlineStr">
        <is>
          <t>Resource 02</t>
        </is>
      </c>
      <c r="B40" s="7" t="inlineStr">
        <is>
          <t>UX</t>
        </is>
      </c>
      <c r="C40" s="7" t="inlineStr">
        <is>
          <t>Architect</t>
        </is>
      </c>
      <c r="D40" s="7" t="inlineStr">
        <is>
          <t>PRJ014</t>
        </is>
      </c>
      <c r="E40" s="7" t="inlineStr">
        <is>
          <t>Identity Mgmt</t>
        </is>
      </c>
      <c r="F40" s="8" t="n">
        <v>45839</v>
      </c>
      <c r="G40" s="7" t="n">
        <v>50</v>
      </c>
      <c r="H40" s="7" t="n">
        <v>100</v>
      </c>
    </row>
    <row r="41" ht="15" customHeight="1" s="5">
      <c r="A41" s="7" t="inlineStr">
        <is>
          <t>Resource 02</t>
        </is>
      </c>
      <c r="B41" s="7" t="inlineStr">
        <is>
          <t>UX</t>
        </is>
      </c>
      <c r="C41" s="7" t="inlineStr">
        <is>
          <t>Architect</t>
        </is>
      </c>
      <c r="D41" s="7" t="inlineStr">
        <is>
          <t>PRJ014</t>
        </is>
      </c>
      <c r="E41" s="7" t="inlineStr">
        <is>
          <t>Identity Mgmt</t>
        </is>
      </c>
      <c r="F41" s="8" t="n">
        <v>45870</v>
      </c>
      <c r="G41" s="7" t="n">
        <v>50</v>
      </c>
      <c r="H41" s="7" t="n">
        <v>100</v>
      </c>
    </row>
    <row r="42" ht="15" customHeight="1" s="5">
      <c r="A42" s="7" t="inlineStr">
        <is>
          <t>Resource 02</t>
        </is>
      </c>
      <c r="B42" s="7" t="inlineStr">
        <is>
          <t>UX</t>
        </is>
      </c>
      <c r="C42" s="7" t="inlineStr">
        <is>
          <t>Architect</t>
        </is>
      </c>
      <c r="D42" s="7" t="inlineStr">
        <is>
          <t>PRJ014</t>
        </is>
      </c>
      <c r="E42" s="7" t="inlineStr">
        <is>
          <t>Identity Mgmt</t>
        </is>
      </c>
      <c r="F42" s="8" t="n">
        <v>45901</v>
      </c>
      <c r="G42" s="7" t="n">
        <v>25</v>
      </c>
      <c r="H42" s="7" t="n">
        <v>100</v>
      </c>
    </row>
    <row r="43" ht="15" customHeight="1" s="5">
      <c r="A43" s="7" t="inlineStr">
        <is>
          <t>Resource 02</t>
        </is>
      </c>
      <c r="B43" s="7" t="inlineStr">
        <is>
          <t>UX</t>
        </is>
      </c>
      <c r="C43" s="7" t="inlineStr">
        <is>
          <t>Architect</t>
        </is>
      </c>
      <c r="D43" s="7" t="inlineStr">
        <is>
          <t>PRJ014</t>
        </is>
      </c>
      <c r="E43" s="7" t="inlineStr">
        <is>
          <t>Identity Mgmt</t>
        </is>
      </c>
      <c r="F43" s="8" t="n">
        <v>45931</v>
      </c>
      <c r="G43" s="7" t="n">
        <v>25</v>
      </c>
      <c r="H43" s="7" t="n">
        <v>100</v>
      </c>
    </row>
    <row r="44" ht="15" customHeight="1" s="5">
      <c r="A44" s="7" t="inlineStr">
        <is>
          <t>Resource 02</t>
        </is>
      </c>
      <c r="B44" s="7" t="inlineStr">
        <is>
          <t>UX</t>
        </is>
      </c>
      <c r="C44" s="7" t="inlineStr">
        <is>
          <t>Architect</t>
        </is>
      </c>
      <c r="D44" s="7" t="inlineStr">
        <is>
          <t>PRJ014</t>
        </is>
      </c>
      <c r="E44" s="7" t="inlineStr">
        <is>
          <t>Identity Mgmt</t>
        </is>
      </c>
      <c r="F44" s="8" t="n">
        <v>45962</v>
      </c>
      <c r="G44" s="7" t="n">
        <v>50</v>
      </c>
      <c r="H44" s="7" t="n">
        <v>100</v>
      </c>
    </row>
    <row r="45" ht="15" customHeight="1" s="5">
      <c r="A45" s="7" t="inlineStr">
        <is>
          <t>Resource 02</t>
        </is>
      </c>
      <c r="B45" s="7" t="inlineStr">
        <is>
          <t>UX</t>
        </is>
      </c>
      <c r="C45" s="7" t="inlineStr">
        <is>
          <t>Architect</t>
        </is>
      </c>
      <c r="D45" s="7" t="inlineStr">
        <is>
          <t>PRJ014</t>
        </is>
      </c>
      <c r="E45" s="7" t="inlineStr">
        <is>
          <t>Identity Mgmt</t>
        </is>
      </c>
      <c r="F45" s="8" t="n">
        <v>45992</v>
      </c>
      <c r="G45" s="7" t="n">
        <v>50</v>
      </c>
      <c r="H45" s="7" t="n">
        <v>100</v>
      </c>
    </row>
    <row r="46" ht="15" customHeight="1" s="5">
      <c r="A46" s="7" t="inlineStr">
        <is>
          <t>Resource 02</t>
        </is>
      </c>
      <c r="B46" s="7" t="inlineStr">
        <is>
          <t>UX</t>
        </is>
      </c>
      <c r="C46" s="7" t="inlineStr">
        <is>
          <t>Architect</t>
        </is>
      </c>
      <c r="D46" s="7" t="inlineStr">
        <is>
          <t>PRJ014</t>
        </is>
      </c>
      <c r="E46" s="7" t="inlineStr">
        <is>
          <t>Identity Mgmt</t>
        </is>
      </c>
      <c r="F46" s="8" t="n">
        <v>46023</v>
      </c>
      <c r="G46" s="7" t="n">
        <v>50</v>
      </c>
      <c r="H46" s="7" t="n">
        <v>100</v>
      </c>
    </row>
    <row r="47" ht="15" customHeight="1" s="5">
      <c r="A47" s="7" t="inlineStr">
        <is>
          <t>Resource 02</t>
        </is>
      </c>
      <c r="B47" s="7" t="inlineStr">
        <is>
          <t>UX</t>
        </is>
      </c>
      <c r="C47" s="7" t="inlineStr">
        <is>
          <t>Architect</t>
        </is>
      </c>
      <c r="D47" s="7" t="inlineStr">
        <is>
          <t>PRJ014</t>
        </is>
      </c>
      <c r="E47" s="7" t="inlineStr">
        <is>
          <t>Identity Mgmt</t>
        </is>
      </c>
      <c r="F47" s="8" t="n">
        <v>46054</v>
      </c>
      <c r="G47" s="7" t="n">
        <v>50</v>
      </c>
      <c r="H47" s="7" t="n">
        <v>100</v>
      </c>
    </row>
    <row r="48" ht="15" customHeight="1" s="5">
      <c r="A48" s="7" t="inlineStr">
        <is>
          <t>Resource 02</t>
        </is>
      </c>
      <c r="B48" s="7" t="inlineStr">
        <is>
          <t>UX</t>
        </is>
      </c>
      <c r="C48" s="7" t="inlineStr">
        <is>
          <t>Architect</t>
        </is>
      </c>
      <c r="D48" s="7" t="inlineStr">
        <is>
          <t>PRJ014</t>
        </is>
      </c>
      <c r="E48" s="7" t="inlineStr">
        <is>
          <t>Identity Mgmt</t>
        </is>
      </c>
      <c r="F48" s="8" t="n">
        <v>46082</v>
      </c>
      <c r="G48" s="7" t="n">
        <v>60</v>
      </c>
      <c r="H48" s="7" t="n">
        <v>100</v>
      </c>
    </row>
    <row r="49" ht="15" customHeight="1" s="5">
      <c r="A49" s="7" t="inlineStr">
        <is>
          <t>Resource 02</t>
        </is>
      </c>
      <c r="B49" s="7" t="inlineStr">
        <is>
          <t>UX</t>
        </is>
      </c>
      <c r="C49" s="7" t="inlineStr">
        <is>
          <t>Architect</t>
        </is>
      </c>
      <c r="D49" s="7" t="inlineStr">
        <is>
          <t>PRJ034</t>
        </is>
      </c>
      <c r="E49" s="7" t="inlineStr">
        <is>
          <t>Treasury Sys</t>
        </is>
      </c>
      <c r="F49" s="8" t="n">
        <v>45962</v>
      </c>
      <c r="G49" s="7" t="n">
        <v>25</v>
      </c>
      <c r="H49" s="7" t="n">
        <v>100</v>
      </c>
    </row>
    <row r="50" ht="15" customHeight="1" s="5">
      <c r="A50" s="7" t="inlineStr">
        <is>
          <t>Resource 02</t>
        </is>
      </c>
      <c r="B50" s="7" t="inlineStr">
        <is>
          <t>UX</t>
        </is>
      </c>
      <c r="C50" s="7" t="inlineStr">
        <is>
          <t>Architect</t>
        </is>
      </c>
      <c r="D50" s="7" t="inlineStr">
        <is>
          <t>PRJ034</t>
        </is>
      </c>
      <c r="E50" s="7" t="inlineStr">
        <is>
          <t>Treasury Sys</t>
        </is>
      </c>
      <c r="F50" s="8" t="n">
        <v>45992</v>
      </c>
      <c r="G50" s="7" t="n">
        <v>40</v>
      </c>
      <c r="H50" s="7" t="n">
        <v>100</v>
      </c>
    </row>
    <row r="51" ht="15" customHeight="1" s="5">
      <c r="A51" s="7" t="inlineStr">
        <is>
          <t>Resource 02</t>
        </is>
      </c>
      <c r="B51" s="7" t="inlineStr">
        <is>
          <t>UX</t>
        </is>
      </c>
      <c r="C51" s="7" t="inlineStr">
        <is>
          <t>Architect</t>
        </is>
      </c>
      <c r="D51" s="7" t="inlineStr">
        <is>
          <t>PRJ034</t>
        </is>
      </c>
      <c r="E51" s="7" t="inlineStr">
        <is>
          <t>Treasury Sys</t>
        </is>
      </c>
      <c r="F51" s="8" t="n">
        <v>46023</v>
      </c>
      <c r="G51" s="7" t="n">
        <v>35</v>
      </c>
      <c r="H51" s="7" t="n">
        <v>100</v>
      </c>
    </row>
    <row r="52" ht="15" customHeight="1" s="5">
      <c r="A52" s="7" t="inlineStr">
        <is>
          <t>Resource 02</t>
        </is>
      </c>
      <c r="B52" s="7" t="inlineStr">
        <is>
          <t>UX</t>
        </is>
      </c>
      <c r="C52" s="7" t="inlineStr">
        <is>
          <t>Architect</t>
        </is>
      </c>
      <c r="D52" s="7" t="inlineStr">
        <is>
          <t>PRJ034</t>
        </is>
      </c>
      <c r="E52" s="7" t="inlineStr">
        <is>
          <t>Treasury Sys</t>
        </is>
      </c>
      <c r="F52" s="8" t="n">
        <v>46054</v>
      </c>
      <c r="G52" s="7" t="n">
        <v>40</v>
      </c>
      <c r="H52" s="7" t="n">
        <v>100</v>
      </c>
    </row>
    <row r="53" ht="15" customHeight="1" s="5">
      <c r="A53" s="7" t="inlineStr">
        <is>
          <t>Resource 02</t>
        </is>
      </c>
      <c r="B53" s="7" t="inlineStr">
        <is>
          <t>UX</t>
        </is>
      </c>
      <c r="C53" s="7" t="inlineStr">
        <is>
          <t>Architect</t>
        </is>
      </c>
      <c r="D53" s="7" t="inlineStr">
        <is>
          <t>PRJ034</t>
        </is>
      </c>
      <c r="E53" s="7" t="inlineStr">
        <is>
          <t>Treasury Sys</t>
        </is>
      </c>
      <c r="F53" s="8" t="n">
        <v>46082</v>
      </c>
      <c r="G53" s="7" t="n">
        <v>35</v>
      </c>
      <c r="H53" s="7" t="n">
        <v>100</v>
      </c>
    </row>
    <row r="54" ht="15" customHeight="1" s="5">
      <c r="A54" s="7" t="inlineStr">
        <is>
          <t>Resource 02</t>
        </is>
      </c>
      <c r="B54" s="7" t="inlineStr">
        <is>
          <t>UX</t>
        </is>
      </c>
      <c r="C54" s="7" t="inlineStr">
        <is>
          <t>Architect</t>
        </is>
      </c>
      <c r="D54" s="7" t="inlineStr">
        <is>
          <t>PRJ034</t>
        </is>
      </c>
      <c r="E54" s="7" t="inlineStr">
        <is>
          <t>Treasury Sys</t>
        </is>
      </c>
      <c r="F54" s="8" t="n">
        <v>46113</v>
      </c>
      <c r="G54" s="7" t="n">
        <v>25</v>
      </c>
      <c r="H54" s="7" t="n">
        <v>100</v>
      </c>
    </row>
    <row r="55" ht="15" customHeight="1" s="5">
      <c r="A55" s="7" t="inlineStr">
        <is>
          <t>Resource 02</t>
        </is>
      </c>
      <c r="B55" s="7" t="inlineStr">
        <is>
          <t>UX</t>
        </is>
      </c>
      <c r="C55" s="7" t="inlineStr">
        <is>
          <t>Architect</t>
        </is>
      </c>
      <c r="D55" s="7" t="inlineStr">
        <is>
          <t>PRJ034</t>
        </is>
      </c>
      <c r="E55" s="7" t="inlineStr">
        <is>
          <t>Treasury Sys</t>
        </is>
      </c>
      <c r="F55" s="8" t="n">
        <v>46143</v>
      </c>
      <c r="G55" s="7" t="n">
        <v>25</v>
      </c>
      <c r="H55" s="7" t="n">
        <v>100</v>
      </c>
    </row>
    <row r="56" ht="15" customHeight="1" s="5">
      <c r="A56" s="7" t="inlineStr">
        <is>
          <t>Resource 02</t>
        </is>
      </c>
      <c r="B56" s="7" t="inlineStr">
        <is>
          <t>UX</t>
        </is>
      </c>
      <c r="C56" s="7" t="inlineStr">
        <is>
          <t>Architect</t>
        </is>
      </c>
      <c r="D56" s="7" t="inlineStr">
        <is>
          <t>PRJ034</t>
        </is>
      </c>
      <c r="E56" s="7" t="inlineStr">
        <is>
          <t>Treasury Sys</t>
        </is>
      </c>
      <c r="F56" s="8" t="n">
        <v>46174</v>
      </c>
      <c r="G56" s="7" t="n">
        <v>35</v>
      </c>
      <c r="H56" s="7" t="n">
        <v>100</v>
      </c>
    </row>
    <row r="57" ht="15" customHeight="1" s="5">
      <c r="A57" s="7" t="inlineStr">
        <is>
          <t>Resource 02</t>
        </is>
      </c>
      <c r="B57" s="7" t="inlineStr">
        <is>
          <t>UX</t>
        </is>
      </c>
      <c r="C57" s="7" t="inlineStr">
        <is>
          <t>Architect</t>
        </is>
      </c>
      <c r="D57" s="7" t="inlineStr">
        <is>
          <t>PRJ034</t>
        </is>
      </c>
      <c r="E57" s="7" t="inlineStr">
        <is>
          <t>Treasury Sys</t>
        </is>
      </c>
      <c r="F57" s="8" t="n">
        <v>46204</v>
      </c>
      <c r="G57" s="7" t="n">
        <v>25</v>
      </c>
      <c r="H57" s="7" t="n">
        <v>100</v>
      </c>
    </row>
    <row r="58" ht="15" customHeight="1" s="5">
      <c r="A58" s="7" t="inlineStr">
        <is>
          <t>Resource 02</t>
        </is>
      </c>
      <c r="B58" s="7" t="inlineStr">
        <is>
          <t>UX</t>
        </is>
      </c>
      <c r="C58" s="7" t="inlineStr">
        <is>
          <t>Architect</t>
        </is>
      </c>
      <c r="D58" s="7" t="inlineStr">
        <is>
          <t>PRJ034</t>
        </is>
      </c>
      <c r="E58" s="7" t="inlineStr">
        <is>
          <t>Treasury Sys</t>
        </is>
      </c>
      <c r="F58" s="8" t="n">
        <v>46235</v>
      </c>
      <c r="G58" s="7" t="n">
        <v>40</v>
      </c>
      <c r="H58" s="7" t="n">
        <v>100</v>
      </c>
    </row>
    <row r="59" ht="15" customHeight="1" s="5">
      <c r="A59" s="7" t="inlineStr">
        <is>
          <t>Resource 02</t>
        </is>
      </c>
      <c r="B59" s="7" t="inlineStr">
        <is>
          <t>UX</t>
        </is>
      </c>
      <c r="C59" s="7" t="inlineStr">
        <is>
          <t>Architect</t>
        </is>
      </c>
      <c r="D59" s="7" t="inlineStr">
        <is>
          <t>PRJ034</t>
        </is>
      </c>
      <c r="E59" s="7" t="inlineStr">
        <is>
          <t>Treasury Sys</t>
        </is>
      </c>
      <c r="F59" s="8" t="n">
        <v>46266</v>
      </c>
      <c r="G59" s="7" t="n">
        <v>40</v>
      </c>
      <c r="H59" s="7" t="n">
        <v>100</v>
      </c>
    </row>
    <row r="60" ht="15" customHeight="1" s="5">
      <c r="A60" s="7" t="inlineStr">
        <is>
          <t>Resource 02</t>
        </is>
      </c>
      <c r="B60" s="7" t="inlineStr">
        <is>
          <t>UX</t>
        </is>
      </c>
      <c r="C60" s="7" t="inlineStr">
        <is>
          <t>Architect</t>
        </is>
      </c>
      <c r="D60" s="7" t="inlineStr">
        <is>
          <t>PRJ034</t>
        </is>
      </c>
      <c r="E60" s="7" t="inlineStr">
        <is>
          <t>Treasury Sys</t>
        </is>
      </c>
      <c r="F60" s="8" t="n">
        <v>46296</v>
      </c>
      <c r="G60" s="7" t="n">
        <v>0</v>
      </c>
      <c r="H60" s="7" t="n">
        <v>100</v>
      </c>
    </row>
    <row r="61" ht="15" customHeight="1" s="5">
      <c r="A61" s="7" t="inlineStr">
        <is>
          <t>Resource 02</t>
        </is>
      </c>
      <c r="B61" s="7" t="inlineStr">
        <is>
          <t>UX</t>
        </is>
      </c>
      <c r="C61" s="7" t="inlineStr">
        <is>
          <t>Architect</t>
        </is>
      </c>
      <c r="D61" s="7" t="inlineStr">
        <is>
          <t>PRJ034</t>
        </is>
      </c>
      <c r="E61" s="7" t="inlineStr">
        <is>
          <t>Treasury Sys</t>
        </is>
      </c>
      <c r="F61" s="8" t="n">
        <v>46327</v>
      </c>
      <c r="G61" s="7" t="n">
        <v>15</v>
      </c>
      <c r="H61" s="7" t="n">
        <v>100</v>
      </c>
    </row>
    <row r="62" ht="15" customHeight="1" s="5">
      <c r="A62" s="7" t="inlineStr">
        <is>
          <t>Resource 02</t>
        </is>
      </c>
      <c r="B62" s="7" t="inlineStr">
        <is>
          <t>UX</t>
        </is>
      </c>
      <c r="C62" s="7" t="inlineStr">
        <is>
          <t>Architect</t>
        </is>
      </c>
      <c r="D62" s="7" t="inlineStr">
        <is>
          <t>PRJ034</t>
        </is>
      </c>
      <c r="E62" s="7" t="inlineStr">
        <is>
          <t>Treasury Sys</t>
        </is>
      </c>
      <c r="F62" s="8" t="n">
        <v>46357</v>
      </c>
      <c r="G62" s="7" t="n">
        <v>25</v>
      </c>
      <c r="H62" s="7" t="n">
        <v>100</v>
      </c>
    </row>
    <row r="63" ht="15" customHeight="1" s="5">
      <c r="A63" s="7" t="inlineStr">
        <is>
          <t>Resource 02</t>
        </is>
      </c>
      <c r="B63" s="7" t="inlineStr">
        <is>
          <t>UX</t>
        </is>
      </c>
      <c r="C63" s="7" t="inlineStr">
        <is>
          <t>Architect</t>
        </is>
      </c>
      <c r="D63" s="7" t="inlineStr">
        <is>
          <t>PRJ034</t>
        </is>
      </c>
      <c r="E63" s="7" t="inlineStr">
        <is>
          <t>Treasury Sys</t>
        </is>
      </c>
      <c r="F63" s="8" t="n">
        <v>46388</v>
      </c>
      <c r="G63" s="7" t="n">
        <v>0</v>
      </c>
      <c r="H63" s="7" t="n">
        <v>100</v>
      </c>
    </row>
    <row r="64" ht="15" customHeight="1" s="5">
      <c r="A64" s="7" t="inlineStr">
        <is>
          <t>Resource 02</t>
        </is>
      </c>
      <c r="B64" s="7" t="inlineStr">
        <is>
          <t>UX</t>
        </is>
      </c>
      <c r="C64" s="7" t="inlineStr">
        <is>
          <t>Architect</t>
        </is>
      </c>
      <c r="D64" s="7" t="inlineStr">
        <is>
          <t>PRJ006</t>
        </is>
      </c>
      <c r="E64" s="7" t="inlineStr">
        <is>
          <t>Cyber Security Program</t>
        </is>
      </c>
      <c r="F64" s="8" t="n">
        <v>45717</v>
      </c>
      <c r="G64" s="7" t="n">
        <v>90</v>
      </c>
      <c r="H64" s="7" t="n">
        <v>100</v>
      </c>
    </row>
    <row r="65" ht="15" customHeight="1" s="5">
      <c r="A65" s="7" t="inlineStr">
        <is>
          <t>Resource 02</t>
        </is>
      </c>
      <c r="B65" s="7" t="inlineStr">
        <is>
          <t>UX</t>
        </is>
      </c>
      <c r="C65" s="7" t="inlineStr">
        <is>
          <t>Architect</t>
        </is>
      </c>
      <c r="D65" s="7" t="inlineStr">
        <is>
          <t>PRJ006</t>
        </is>
      </c>
      <c r="E65" s="7" t="inlineStr">
        <is>
          <t>Cyber Security Program</t>
        </is>
      </c>
      <c r="F65" s="8" t="n">
        <v>45748</v>
      </c>
      <c r="G65" s="7" t="n">
        <v>100</v>
      </c>
      <c r="H65" s="7" t="n">
        <v>100</v>
      </c>
    </row>
    <row r="66" ht="15" customHeight="1" s="5">
      <c r="A66" s="7" t="inlineStr">
        <is>
          <t>Resource 02</t>
        </is>
      </c>
      <c r="B66" s="7" t="inlineStr">
        <is>
          <t>UX</t>
        </is>
      </c>
      <c r="C66" s="7" t="inlineStr">
        <is>
          <t>Architect</t>
        </is>
      </c>
      <c r="D66" s="7" t="inlineStr">
        <is>
          <t>PRJ006</t>
        </is>
      </c>
      <c r="E66" s="7" t="inlineStr">
        <is>
          <t>Cyber Security Program</t>
        </is>
      </c>
      <c r="F66" s="8" t="n">
        <v>45778</v>
      </c>
      <c r="G66" s="7" t="n">
        <v>75</v>
      </c>
      <c r="H66" s="7" t="n">
        <v>100</v>
      </c>
    </row>
    <row r="67" ht="15" customHeight="1" s="5">
      <c r="A67" s="7" t="inlineStr">
        <is>
          <t>Resource 02</t>
        </is>
      </c>
      <c r="B67" s="7" t="inlineStr">
        <is>
          <t>UX</t>
        </is>
      </c>
      <c r="C67" s="7" t="inlineStr">
        <is>
          <t>Architect</t>
        </is>
      </c>
      <c r="D67" s="7" t="inlineStr">
        <is>
          <t>PRJ006</t>
        </is>
      </c>
      <c r="E67" s="7" t="inlineStr">
        <is>
          <t>Cyber Security Program</t>
        </is>
      </c>
      <c r="F67" s="8" t="n">
        <v>45809</v>
      </c>
      <c r="G67" s="7" t="n">
        <v>75</v>
      </c>
      <c r="H67" s="7" t="n">
        <v>100</v>
      </c>
    </row>
    <row r="68" ht="15" customHeight="1" s="5">
      <c r="A68" s="7" t="inlineStr">
        <is>
          <t>Resource 02</t>
        </is>
      </c>
      <c r="B68" s="7" t="inlineStr">
        <is>
          <t>UX</t>
        </is>
      </c>
      <c r="C68" s="7" t="inlineStr">
        <is>
          <t>Architect</t>
        </is>
      </c>
      <c r="D68" s="7" t="inlineStr">
        <is>
          <t>PRJ006</t>
        </is>
      </c>
      <c r="E68" s="7" t="inlineStr">
        <is>
          <t>Cyber Security Program</t>
        </is>
      </c>
      <c r="F68" s="8" t="n">
        <v>45839</v>
      </c>
      <c r="G68" s="7" t="n">
        <v>90</v>
      </c>
      <c r="H68" s="7" t="n">
        <v>100</v>
      </c>
    </row>
    <row r="69" ht="15" customHeight="1" s="5">
      <c r="A69" s="7" t="inlineStr">
        <is>
          <t>Resource 02</t>
        </is>
      </c>
      <c r="B69" s="7" t="inlineStr">
        <is>
          <t>UX</t>
        </is>
      </c>
      <c r="C69" s="7" t="inlineStr">
        <is>
          <t>Architect</t>
        </is>
      </c>
      <c r="D69" s="7" t="inlineStr">
        <is>
          <t>PRJ006</t>
        </is>
      </c>
      <c r="E69" s="7" t="inlineStr">
        <is>
          <t>Cyber Security Program</t>
        </is>
      </c>
      <c r="F69" s="8" t="n">
        <v>45870</v>
      </c>
      <c r="G69" s="7" t="n">
        <v>100</v>
      </c>
      <c r="H69" s="7" t="n">
        <v>100</v>
      </c>
    </row>
    <row r="70" ht="15" customHeight="1" s="5">
      <c r="A70" s="7" t="inlineStr">
        <is>
          <t>Resource 02</t>
        </is>
      </c>
      <c r="B70" s="7" t="inlineStr">
        <is>
          <t>UX</t>
        </is>
      </c>
      <c r="C70" s="7" t="inlineStr">
        <is>
          <t>Architect</t>
        </is>
      </c>
      <c r="D70" s="7" t="inlineStr">
        <is>
          <t>PRJ006</t>
        </is>
      </c>
      <c r="E70" s="7" t="inlineStr">
        <is>
          <t>Cyber Security Program</t>
        </is>
      </c>
      <c r="F70" s="8" t="n">
        <v>45901</v>
      </c>
      <c r="G70" s="7" t="n">
        <v>75</v>
      </c>
      <c r="H70" s="7" t="n">
        <v>100</v>
      </c>
    </row>
    <row r="71" ht="15" customHeight="1" s="5">
      <c r="A71" s="7" t="inlineStr">
        <is>
          <t>Resource 02</t>
        </is>
      </c>
      <c r="B71" s="7" t="inlineStr">
        <is>
          <t>UX</t>
        </is>
      </c>
      <c r="C71" s="7" t="inlineStr">
        <is>
          <t>Architect</t>
        </is>
      </c>
      <c r="D71" s="7" t="inlineStr">
        <is>
          <t>PRJ006</t>
        </is>
      </c>
      <c r="E71" s="7" t="inlineStr">
        <is>
          <t>Cyber Security Program</t>
        </is>
      </c>
      <c r="F71" s="8" t="n">
        <v>45931</v>
      </c>
      <c r="G71" s="7" t="n">
        <v>100</v>
      </c>
      <c r="H71" s="7" t="n">
        <v>100</v>
      </c>
    </row>
    <row r="72" ht="15" customHeight="1" s="5">
      <c r="A72" s="7" t="inlineStr">
        <is>
          <t>Resource 02</t>
        </is>
      </c>
      <c r="B72" s="7" t="inlineStr">
        <is>
          <t>UX</t>
        </is>
      </c>
      <c r="C72" s="7" t="inlineStr">
        <is>
          <t>Architect</t>
        </is>
      </c>
      <c r="D72" s="7" t="inlineStr">
        <is>
          <t>PRJ006</t>
        </is>
      </c>
      <c r="E72" s="7" t="inlineStr">
        <is>
          <t>Cyber Security Program</t>
        </is>
      </c>
      <c r="F72" s="8" t="n">
        <v>45962</v>
      </c>
      <c r="G72" s="7" t="n">
        <v>90</v>
      </c>
      <c r="H72" s="7" t="n">
        <v>100</v>
      </c>
    </row>
    <row r="73" ht="15" customHeight="1" s="5">
      <c r="A73" s="7" t="inlineStr">
        <is>
          <t>Resource 02</t>
        </is>
      </c>
      <c r="B73" s="7" t="inlineStr">
        <is>
          <t>UX</t>
        </is>
      </c>
      <c r="C73" s="7" t="inlineStr">
        <is>
          <t>Architect</t>
        </is>
      </c>
      <c r="D73" s="7" t="inlineStr">
        <is>
          <t>PRJ006</t>
        </is>
      </c>
      <c r="E73" s="7" t="inlineStr">
        <is>
          <t>Cyber Security Program</t>
        </is>
      </c>
      <c r="F73" s="8" t="n">
        <v>45992</v>
      </c>
      <c r="G73" s="7" t="n">
        <v>100</v>
      </c>
      <c r="H73" s="7" t="n">
        <v>100</v>
      </c>
    </row>
    <row r="74" ht="15" customHeight="1" s="5">
      <c r="A74" s="7" t="inlineStr">
        <is>
          <t>Resource 02</t>
        </is>
      </c>
      <c r="B74" s="7" t="inlineStr">
        <is>
          <t>UX</t>
        </is>
      </c>
      <c r="C74" s="7" t="inlineStr">
        <is>
          <t>Architect</t>
        </is>
      </c>
      <c r="D74" s="7" t="inlineStr">
        <is>
          <t>PRJ006</t>
        </is>
      </c>
      <c r="E74" s="7" t="inlineStr">
        <is>
          <t>Cyber Security Program</t>
        </is>
      </c>
      <c r="F74" s="8" t="n">
        <v>46023</v>
      </c>
      <c r="G74" s="7" t="n">
        <v>90</v>
      </c>
      <c r="H74" s="7" t="n">
        <v>100</v>
      </c>
    </row>
    <row r="75" ht="15" customHeight="1" s="5">
      <c r="A75" s="7" t="inlineStr">
        <is>
          <t>Resource 02</t>
        </is>
      </c>
      <c r="B75" s="7" t="inlineStr">
        <is>
          <t>UX</t>
        </is>
      </c>
      <c r="C75" s="7" t="inlineStr">
        <is>
          <t>Architect</t>
        </is>
      </c>
      <c r="D75" s="7" t="inlineStr">
        <is>
          <t>PRJ006</t>
        </is>
      </c>
      <c r="E75" s="7" t="inlineStr">
        <is>
          <t>Cyber Security Program</t>
        </is>
      </c>
      <c r="F75" s="8" t="n">
        <v>46054</v>
      </c>
      <c r="G75" s="7" t="n">
        <v>90</v>
      </c>
      <c r="H75" s="7" t="n">
        <v>100</v>
      </c>
    </row>
    <row r="76" ht="15" customHeight="1" s="5">
      <c r="A76" s="7" t="inlineStr">
        <is>
          <t>Resource 02</t>
        </is>
      </c>
      <c r="B76" s="7" t="inlineStr">
        <is>
          <t>UX</t>
        </is>
      </c>
      <c r="C76" s="7" t="inlineStr">
        <is>
          <t>Architect</t>
        </is>
      </c>
      <c r="D76" s="7" t="inlineStr">
        <is>
          <t>PRJ006</t>
        </is>
      </c>
      <c r="E76" s="7" t="inlineStr">
        <is>
          <t>Cyber Security Program</t>
        </is>
      </c>
      <c r="F76" s="8" t="n">
        <v>46082</v>
      </c>
      <c r="G76" s="7" t="n">
        <v>100</v>
      </c>
      <c r="H76" s="7" t="n">
        <v>100</v>
      </c>
    </row>
    <row r="77" ht="15" customHeight="1" s="5">
      <c r="A77" s="7" t="inlineStr">
        <is>
          <t>Resource 02</t>
        </is>
      </c>
      <c r="B77" s="7" t="inlineStr">
        <is>
          <t>UX</t>
        </is>
      </c>
      <c r="C77" s="7" t="inlineStr">
        <is>
          <t>Architect</t>
        </is>
      </c>
      <c r="D77" s="7" t="inlineStr">
        <is>
          <t>PRJ006</t>
        </is>
      </c>
      <c r="E77" s="7" t="inlineStr">
        <is>
          <t>Cyber Security Program</t>
        </is>
      </c>
      <c r="F77" s="8" t="n">
        <v>46113</v>
      </c>
      <c r="G77" s="7" t="n">
        <v>100</v>
      </c>
      <c r="H77" s="7" t="n">
        <v>100</v>
      </c>
    </row>
    <row r="78" ht="15" customHeight="1" s="5">
      <c r="A78" s="7" t="inlineStr">
        <is>
          <t>Resource 02</t>
        </is>
      </c>
      <c r="B78" s="7" t="inlineStr">
        <is>
          <t>UX</t>
        </is>
      </c>
      <c r="C78" s="7" t="inlineStr">
        <is>
          <t>Architect</t>
        </is>
      </c>
      <c r="D78" s="7" t="inlineStr">
        <is>
          <t>PRJ006</t>
        </is>
      </c>
      <c r="E78" s="7" t="inlineStr">
        <is>
          <t>Cyber Security Program</t>
        </is>
      </c>
      <c r="F78" s="8" t="n">
        <v>46143</v>
      </c>
      <c r="G78" s="7" t="n">
        <v>75</v>
      </c>
      <c r="H78" s="7" t="n">
        <v>100</v>
      </c>
    </row>
    <row r="79" ht="15" customHeight="1" s="5">
      <c r="A79" s="7" t="inlineStr">
        <is>
          <t>Resource 03</t>
        </is>
      </c>
      <c r="B79" s="7" t="inlineStr">
        <is>
          <t>DevOps</t>
        </is>
      </c>
      <c r="C79" s="7" t="inlineStr">
        <is>
          <t>Analyst</t>
        </is>
      </c>
      <c r="D79" s="7" t="inlineStr">
        <is>
          <t>PRJ035</t>
        </is>
      </c>
      <c r="E79" s="7" t="inlineStr">
        <is>
          <t>Payroll Cloud</t>
        </is>
      </c>
      <c r="F79" s="8" t="n">
        <v>45778</v>
      </c>
      <c r="G79" s="7" t="n">
        <v>50</v>
      </c>
      <c r="H79" s="7" t="n">
        <v>100</v>
      </c>
    </row>
    <row r="80" ht="15" customHeight="1" s="5">
      <c r="A80" s="7" t="inlineStr">
        <is>
          <t>Resource 03</t>
        </is>
      </c>
      <c r="B80" s="7" t="inlineStr">
        <is>
          <t>DevOps</t>
        </is>
      </c>
      <c r="C80" s="7" t="inlineStr">
        <is>
          <t>Analyst</t>
        </is>
      </c>
      <c r="D80" s="7" t="inlineStr">
        <is>
          <t>PRJ035</t>
        </is>
      </c>
      <c r="E80" s="7" t="inlineStr">
        <is>
          <t>Payroll Cloud</t>
        </is>
      </c>
      <c r="F80" s="8" t="n">
        <v>45809</v>
      </c>
      <c r="G80" s="7" t="n">
        <v>50</v>
      </c>
      <c r="H80" s="7" t="n">
        <v>100</v>
      </c>
    </row>
    <row r="81" ht="15" customHeight="1" s="5">
      <c r="A81" s="7" t="inlineStr">
        <is>
          <t>Resource 03</t>
        </is>
      </c>
      <c r="B81" s="7" t="inlineStr">
        <is>
          <t>DevOps</t>
        </is>
      </c>
      <c r="C81" s="7" t="inlineStr">
        <is>
          <t>Analyst</t>
        </is>
      </c>
      <c r="D81" s="7" t="inlineStr">
        <is>
          <t>PRJ035</t>
        </is>
      </c>
      <c r="E81" s="7" t="inlineStr">
        <is>
          <t>Payroll Cloud</t>
        </is>
      </c>
      <c r="F81" s="8" t="n">
        <v>45839</v>
      </c>
      <c r="G81" s="7" t="n">
        <v>50</v>
      </c>
      <c r="H81" s="7" t="n">
        <v>100</v>
      </c>
    </row>
    <row r="82" ht="15" customHeight="1" s="5">
      <c r="A82" s="7" t="inlineStr">
        <is>
          <t>Resource 03</t>
        </is>
      </c>
      <c r="B82" s="7" t="inlineStr">
        <is>
          <t>DevOps</t>
        </is>
      </c>
      <c r="C82" s="7" t="inlineStr">
        <is>
          <t>Analyst</t>
        </is>
      </c>
      <c r="D82" s="7" t="inlineStr">
        <is>
          <t>PRJ035</t>
        </is>
      </c>
      <c r="E82" s="7" t="inlineStr">
        <is>
          <t>Payroll Cloud</t>
        </is>
      </c>
      <c r="F82" s="8" t="n">
        <v>45870</v>
      </c>
      <c r="G82" s="7" t="n">
        <v>50</v>
      </c>
      <c r="H82" s="7" t="n">
        <v>100</v>
      </c>
    </row>
    <row r="83" ht="15" customHeight="1" s="5">
      <c r="A83" s="7" t="inlineStr">
        <is>
          <t>Resource 03</t>
        </is>
      </c>
      <c r="B83" s="7" t="inlineStr">
        <is>
          <t>DevOps</t>
        </is>
      </c>
      <c r="C83" s="7" t="inlineStr">
        <is>
          <t>Analyst</t>
        </is>
      </c>
      <c r="D83" s="7" t="inlineStr">
        <is>
          <t>PRJ035</t>
        </is>
      </c>
      <c r="E83" s="7" t="inlineStr">
        <is>
          <t>Payroll Cloud</t>
        </is>
      </c>
      <c r="F83" s="8" t="n">
        <v>45901</v>
      </c>
      <c r="G83" s="7" t="n">
        <v>65</v>
      </c>
      <c r="H83" s="7" t="n">
        <v>100</v>
      </c>
    </row>
    <row r="84" ht="15" customHeight="1" s="5">
      <c r="A84" s="7" t="inlineStr">
        <is>
          <t>Resource 03</t>
        </is>
      </c>
      <c r="B84" s="7" t="inlineStr">
        <is>
          <t>DevOps</t>
        </is>
      </c>
      <c r="C84" s="7" t="inlineStr">
        <is>
          <t>Analyst</t>
        </is>
      </c>
      <c r="D84" s="7" t="inlineStr">
        <is>
          <t>PRJ035</t>
        </is>
      </c>
      <c r="E84" s="7" t="inlineStr">
        <is>
          <t>Payroll Cloud</t>
        </is>
      </c>
      <c r="F84" s="8" t="n">
        <v>45931</v>
      </c>
      <c r="G84" s="7" t="n">
        <v>65</v>
      </c>
      <c r="H84" s="7" t="n">
        <v>100</v>
      </c>
    </row>
    <row r="85" ht="15" customHeight="1" s="5">
      <c r="A85" s="7" t="inlineStr">
        <is>
          <t>Resource 03</t>
        </is>
      </c>
      <c r="B85" s="7" t="inlineStr">
        <is>
          <t>DevOps</t>
        </is>
      </c>
      <c r="C85" s="7" t="inlineStr">
        <is>
          <t>Analyst</t>
        </is>
      </c>
      <c r="D85" s="7" t="inlineStr">
        <is>
          <t>PRJ035</t>
        </is>
      </c>
      <c r="E85" s="7" t="inlineStr">
        <is>
          <t>Payroll Cloud</t>
        </is>
      </c>
      <c r="F85" s="8" t="n">
        <v>45962</v>
      </c>
      <c r="G85" s="7" t="n">
        <v>25</v>
      </c>
      <c r="H85" s="7" t="n">
        <v>100</v>
      </c>
    </row>
    <row r="86" ht="15" customHeight="1" s="5">
      <c r="A86" s="7" t="inlineStr">
        <is>
          <t>Resource 03</t>
        </is>
      </c>
      <c r="B86" s="7" t="inlineStr">
        <is>
          <t>DevOps</t>
        </is>
      </c>
      <c r="C86" s="7" t="inlineStr">
        <is>
          <t>Analyst</t>
        </is>
      </c>
      <c r="D86" s="7" t="inlineStr">
        <is>
          <t>PRJ035</t>
        </is>
      </c>
      <c r="E86" s="7" t="inlineStr">
        <is>
          <t>Payroll Cloud</t>
        </is>
      </c>
      <c r="F86" s="8" t="n">
        <v>45992</v>
      </c>
      <c r="G86" s="7" t="n">
        <v>50</v>
      </c>
      <c r="H86" s="7" t="n">
        <v>100</v>
      </c>
    </row>
    <row r="87" ht="15" customHeight="1" s="5">
      <c r="A87" s="7" t="inlineStr">
        <is>
          <t>Resource 03</t>
        </is>
      </c>
      <c r="B87" s="7" t="inlineStr">
        <is>
          <t>DevOps</t>
        </is>
      </c>
      <c r="C87" s="7" t="inlineStr">
        <is>
          <t>Analyst</t>
        </is>
      </c>
      <c r="D87" s="7" t="inlineStr">
        <is>
          <t>PRJ035</t>
        </is>
      </c>
      <c r="E87" s="7" t="inlineStr">
        <is>
          <t>Payroll Cloud</t>
        </is>
      </c>
      <c r="F87" s="8" t="n">
        <v>46023</v>
      </c>
      <c r="G87" s="7" t="n">
        <v>40</v>
      </c>
      <c r="H87" s="7" t="n">
        <v>100</v>
      </c>
    </row>
    <row r="88" ht="15" customHeight="1" s="5">
      <c r="A88" s="7" t="inlineStr">
        <is>
          <t>Resource 03</t>
        </is>
      </c>
      <c r="B88" s="7" t="inlineStr">
        <is>
          <t>DevOps</t>
        </is>
      </c>
      <c r="C88" s="7" t="inlineStr">
        <is>
          <t>Analyst</t>
        </is>
      </c>
      <c r="D88" s="7" t="inlineStr">
        <is>
          <t>PRJ035</t>
        </is>
      </c>
      <c r="E88" s="7" t="inlineStr">
        <is>
          <t>Payroll Cloud</t>
        </is>
      </c>
      <c r="F88" s="8" t="n">
        <v>46054</v>
      </c>
      <c r="G88" s="7" t="n">
        <v>25</v>
      </c>
      <c r="H88" s="7" t="n">
        <v>100</v>
      </c>
    </row>
    <row r="89" ht="15" customHeight="1" s="5">
      <c r="A89" s="7" t="inlineStr">
        <is>
          <t>Resource 03</t>
        </is>
      </c>
      <c r="B89" s="7" t="inlineStr">
        <is>
          <t>DevOps</t>
        </is>
      </c>
      <c r="C89" s="7" t="inlineStr">
        <is>
          <t>Analyst</t>
        </is>
      </c>
      <c r="D89" s="7" t="inlineStr">
        <is>
          <t>PRJ035</t>
        </is>
      </c>
      <c r="E89" s="7" t="inlineStr">
        <is>
          <t>Payroll Cloud</t>
        </is>
      </c>
      <c r="F89" s="8" t="n">
        <v>46082</v>
      </c>
      <c r="G89" s="7" t="n">
        <v>25</v>
      </c>
      <c r="H89" s="7" t="n">
        <v>100</v>
      </c>
    </row>
    <row r="90" ht="15" customHeight="1" s="5">
      <c r="A90" s="7" t="inlineStr">
        <is>
          <t>Resource 03</t>
        </is>
      </c>
      <c r="B90" s="7" t="inlineStr">
        <is>
          <t>DevOps</t>
        </is>
      </c>
      <c r="C90" s="7" t="inlineStr">
        <is>
          <t>Analyst</t>
        </is>
      </c>
      <c r="D90" s="7" t="inlineStr">
        <is>
          <t>PRJ035</t>
        </is>
      </c>
      <c r="E90" s="7" t="inlineStr">
        <is>
          <t>Payroll Cloud</t>
        </is>
      </c>
      <c r="F90" s="8" t="n">
        <v>46113</v>
      </c>
      <c r="G90" s="7" t="n">
        <v>40</v>
      </c>
      <c r="H90" s="7" t="n">
        <v>100</v>
      </c>
    </row>
    <row r="91" ht="15" customHeight="1" s="5">
      <c r="A91" s="7" t="inlineStr">
        <is>
          <t>Resource 03</t>
        </is>
      </c>
      <c r="B91" s="7" t="inlineStr">
        <is>
          <t>DevOps</t>
        </is>
      </c>
      <c r="C91" s="7" t="inlineStr">
        <is>
          <t>Analyst</t>
        </is>
      </c>
      <c r="D91" s="7" t="inlineStr">
        <is>
          <t>PRJ035</t>
        </is>
      </c>
      <c r="E91" s="7" t="inlineStr">
        <is>
          <t>Payroll Cloud</t>
        </is>
      </c>
      <c r="F91" s="8" t="n">
        <v>46143</v>
      </c>
      <c r="G91" s="7" t="n">
        <v>60</v>
      </c>
      <c r="H91" s="7" t="n">
        <v>100</v>
      </c>
    </row>
    <row r="92" ht="15" customHeight="1" s="5">
      <c r="A92" s="7" t="inlineStr">
        <is>
          <t>Resource 03</t>
        </is>
      </c>
      <c r="B92" s="7" t="inlineStr">
        <is>
          <t>DevOps</t>
        </is>
      </c>
      <c r="C92" s="7" t="inlineStr">
        <is>
          <t>Analyst</t>
        </is>
      </c>
      <c r="D92" s="7" t="inlineStr">
        <is>
          <t>PRJ035</t>
        </is>
      </c>
      <c r="E92" s="7" t="inlineStr">
        <is>
          <t>Payroll Cloud</t>
        </is>
      </c>
      <c r="F92" s="8" t="n">
        <v>46174</v>
      </c>
      <c r="G92" s="7" t="n">
        <v>65</v>
      </c>
      <c r="H92" s="7" t="n">
        <v>100</v>
      </c>
    </row>
    <row r="93" ht="15" customHeight="1" s="5">
      <c r="A93" s="7" t="inlineStr">
        <is>
          <t>Resource 03</t>
        </is>
      </c>
      <c r="B93" s="7" t="inlineStr">
        <is>
          <t>DevOps</t>
        </is>
      </c>
      <c r="C93" s="7" t="inlineStr">
        <is>
          <t>Analyst</t>
        </is>
      </c>
      <c r="D93" s="7" t="inlineStr">
        <is>
          <t>PRJ035</t>
        </is>
      </c>
      <c r="E93" s="7" t="inlineStr">
        <is>
          <t>Payroll Cloud</t>
        </is>
      </c>
      <c r="F93" s="8" t="n">
        <v>46204</v>
      </c>
      <c r="G93" s="7" t="n">
        <v>50</v>
      </c>
      <c r="H93" s="7" t="n">
        <v>100</v>
      </c>
    </row>
    <row r="94" ht="15" customHeight="1" s="5">
      <c r="A94" s="7" t="inlineStr">
        <is>
          <t>Resource 03</t>
        </is>
      </c>
      <c r="B94" s="7" t="inlineStr">
        <is>
          <t>DevOps</t>
        </is>
      </c>
      <c r="C94" s="7" t="inlineStr">
        <is>
          <t>Analyst</t>
        </is>
      </c>
      <c r="D94" s="7" t="inlineStr">
        <is>
          <t>PRJ027</t>
        </is>
      </c>
      <c r="E94" s="7" t="inlineStr">
        <is>
          <t>Cyber Program</t>
        </is>
      </c>
      <c r="F94" s="8" t="n">
        <v>45748</v>
      </c>
      <c r="G94" s="7" t="n">
        <v>90</v>
      </c>
      <c r="H94" s="7" t="n">
        <v>100</v>
      </c>
    </row>
    <row r="95" ht="15" customHeight="1" s="5">
      <c r="A95" s="7" t="inlineStr">
        <is>
          <t>Resource 03</t>
        </is>
      </c>
      <c r="B95" s="7" t="inlineStr">
        <is>
          <t>DevOps</t>
        </is>
      </c>
      <c r="C95" s="7" t="inlineStr">
        <is>
          <t>Analyst</t>
        </is>
      </c>
      <c r="D95" s="7" t="inlineStr">
        <is>
          <t>PRJ027</t>
        </is>
      </c>
      <c r="E95" s="7" t="inlineStr">
        <is>
          <t>Cyber Program</t>
        </is>
      </c>
      <c r="F95" s="8" t="n">
        <v>45778</v>
      </c>
      <c r="G95" s="7" t="n">
        <v>90</v>
      </c>
      <c r="H95" s="7" t="n">
        <v>100</v>
      </c>
    </row>
    <row r="96" ht="15" customHeight="1" s="5">
      <c r="A96" s="7" t="inlineStr">
        <is>
          <t>Resource 03</t>
        </is>
      </c>
      <c r="B96" s="7" t="inlineStr">
        <is>
          <t>DevOps</t>
        </is>
      </c>
      <c r="C96" s="7" t="inlineStr">
        <is>
          <t>Analyst</t>
        </is>
      </c>
      <c r="D96" s="7" t="inlineStr">
        <is>
          <t>PRJ027</t>
        </is>
      </c>
      <c r="E96" s="7" t="inlineStr">
        <is>
          <t>Cyber Program</t>
        </is>
      </c>
      <c r="F96" s="8" t="n">
        <v>45809</v>
      </c>
      <c r="G96" s="7" t="n">
        <v>75</v>
      </c>
      <c r="H96" s="7" t="n">
        <v>100</v>
      </c>
    </row>
    <row r="97" ht="15" customHeight="1" s="5">
      <c r="A97" s="7" t="inlineStr">
        <is>
          <t>Resource 03</t>
        </is>
      </c>
      <c r="B97" s="7" t="inlineStr">
        <is>
          <t>DevOps</t>
        </is>
      </c>
      <c r="C97" s="7" t="inlineStr">
        <is>
          <t>Analyst</t>
        </is>
      </c>
      <c r="D97" s="7" t="inlineStr">
        <is>
          <t>PRJ027</t>
        </is>
      </c>
      <c r="E97" s="7" t="inlineStr">
        <is>
          <t>Cyber Program</t>
        </is>
      </c>
      <c r="F97" s="8" t="n">
        <v>45839</v>
      </c>
      <c r="G97" s="7" t="n">
        <v>75</v>
      </c>
      <c r="H97" s="7" t="n">
        <v>100</v>
      </c>
    </row>
    <row r="98" ht="15" customHeight="1" s="5">
      <c r="A98" s="7" t="inlineStr">
        <is>
          <t>Resource 03</t>
        </is>
      </c>
      <c r="B98" s="7" t="inlineStr">
        <is>
          <t>DevOps</t>
        </is>
      </c>
      <c r="C98" s="7" t="inlineStr">
        <is>
          <t>Analyst</t>
        </is>
      </c>
      <c r="D98" s="7" t="inlineStr">
        <is>
          <t>PRJ027</t>
        </is>
      </c>
      <c r="E98" s="7" t="inlineStr">
        <is>
          <t>Cyber Program</t>
        </is>
      </c>
      <c r="F98" s="8" t="n">
        <v>45870</v>
      </c>
      <c r="G98" s="7" t="n">
        <v>85</v>
      </c>
      <c r="H98" s="7" t="n">
        <v>100</v>
      </c>
    </row>
    <row r="99" ht="15" customHeight="1" s="5">
      <c r="A99" s="7" t="inlineStr">
        <is>
          <t>Resource 03</t>
        </is>
      </c>
      <c r="B99" s="7" t="inlineStr">
        <is>
          <t>DevOps</t>
        </is>
      </c>
      <c r="C99" s="7" t="inlineStr">
        <is>
          <t>Analyst</t>
        </is>
      </c>
      <c r="D99" s="7" t="inlineStr">
        <is>
          <t>PRJ027</t>
        </is>
      </c>
      <c r="E99" s="7" t="inlineStr">
        <is>
          <t>Cyber Program</t>
        </is>
      </c>
      <c r="F99" s="8" t="n">
        <v>45901</v>
      </c>
      <c r="G99" s="7" t="n">
        <v>90</v>
      </c>
      <c r="H99" s="7" t="n">
        <v>100</v>
      </c>
    </row>
    <row r="100" ht="15" customHeight="1" s="5">
      <c r="A100" s="7" t="inlineStr">
        <is>
          <t>Resource 03</t>
        </is>
      </c>
      <c r="B100" s="7" t="inlineStr">
        <is>
          <t>DevOps</t>
        </is>
      </c>
      <c r="C100" s="7" t="inlineStr">
        <is>
          <t>Analyst</t>
        </is>
      </c>
      <c r="D100" s="7" t="inlineStr">
        <is>
          <t>PRJ027</t>
        </is>
      </c>
      <c r="E100" s="7" t="inlineStr">
        <is>
          <t>Cyber Program</t>
        </is>
      </c>
      <c r="F100" s="8" t="n">
        <v>45931</v>
      </c>
      <c r="G100" s="7" t="n">
        <v>90</v>
      </c>
      <c r="H100" s="7" t="n">
        <v>100</v>
      </c>
    </row>
    <row r="101" ht="15" customHeight="1" s="5">
      <c r="A101" s="7" t="inlineStr">
        <is>
          <t>Resource 03</t>
        </is>
      </c>
      <c r="B101" s="7" t="inlineStr">
        <is>
          <t>DevOps</t>
        </is>
      </c>
      <c r="C101" s="7" t="inlineStr">
        <is>
          <t>Analyst</t>
        </is>
      </c>
      <c r="D101" s="7" t="inlineStr">
        <is>
          <t>PRJ027</t>
        </is>
      </c>
      <c r="E101" s="7" t="inlineStr">
        <is>
          <t>Cyber Program</t>
        </is>
      </c>
      <c r="F101" s="8" t="n">
        <v>45962</v>
      </c>
      <c r="G101" s="7" t="n">
        <v>85</v>
      </c>
      <c r="H101" s="7" t="n">
        <v>100</v>
      </c>
    </row>
    <row r="102" ht="15" customHeight="1" s="5">
      <c r="A102" s="7" t="inlineStr">
        <is>
          <t>Resource 03</t>
        </is>
      </c>
      <c r="B102" s="7" t="inlineStr">
        <is>
          <t>DevOps</t>
        </is>
      </c>
      <c r="C102" s="7" t="inlineStr">
        <is>
          <t>Analyst</t>
        </is>
      </c>
      <c r="D102" s="7" t="inlineStr">
        <is>
          <t>PRJ027</t>
        </is>
      </c>
      <c r="E102" s="7" t="inlineStr">
        <is>
          <t>Cyber Program</t>
        </is>
      </c>
      <c r="F102" s="8" t="n">
        <v>45992</v>
      </c>
      <c r="G102" s="7" t="n">
        <v>85</v>
      </c>
      <c r="H102" s="7" t="n">
        <v>100</v>
      </c>
    </row>
    <row r="103" ht="15" customHeight="1" s="5">
      <c r="A103" s="7" t="inlineStr">
        <is>
          <t>Resource 03</t>
        </is>
      </c>
      <c r="B103" s="7" t="inlineStr">
        <is>
          <t>DevOps</t>
        </is>
      </c>
      <c r="C103" s="7" t="inlineStr">
        <is>
          <t>Analyst</t>
        </is>
      </c>
      <c r="D103" s="7" t="inlineStr">
        <is>
          <t>PRJ027</t>
        </is>
      </c>
      <c r="E103" s="7" t="inlineStr">
        <is>
          <t>Cyber Program</t>
        </is>
      </c>
      <c r="F103" s="8" t="n">
        <v>46023</v>
      </c>
      <c r="G103" s="7" t="n">
        <v>75</v>
      </c>
      <c r="H103" s="7" t="n">
        <v>100</v>
      </c>
    </row>
    <row r="104" ht="15" customHeight="1" s="5">
      <c r="A104" s="7" t="inlineStr">
        <is>
          <t>Resource 03</t>
        </is>
      </c>
      <c r="B104" s="7" t="inlineStr">
        <is>
          <t>DevOps</t>
        </is>
      </c>
      <c r="C104" s="7" t="inlineStr">
        <is>
          <t>Analyst</t>
        </is>
      </c>
      <c r="D104" s="7" t="inlineStr">
        <is>
          <t>PRJ027</t>
        </is>
      </c>
      <c r="E104" s="7" t="inlineStr">
        <is>
          <t>Cyber Program</t>
        </is>
      </c>
      <c r="F104" s="8" t="n">
        <v>46054</v>
      </c>
      <c r="G104" s="7" t="n">
        <v>75</v>
      </c>
      <c r="H104" s="7" t="n">
        <v>100</v>
      </c>
    </row>
    <row r="105" ht="15" customHeight="1" s="5">
      <c r="A105" s="7" t="inlineStr">
        <is>
          <t>Resource 03</t>
        </is>
      </c>
      <c r="B105" s="7" t="inlineStr">
        <is>
          <t>DevOps</t>
        </is>
      </c>
      <c r="C105" s="7" t="inlineStr">
        <is>
          <t>Analyst</t>
        </is>
      </c>
      <c r="D105" s="7" t="inlineStr">
        <is>
          <t>PRJ020</t>
        </is>
      </c>
      <c r="E105" s="7" t="inlineStr">
        <is>
          <t>Process Automation</t>
        </is>
      </c>
      <c r="F105" s="8" t="n">
        <v>45748</v>
      </c>
      <c r="G105" s="7" t="n">
        <v>50</v>
      </c>
      <c r="H105" s="7" t="n">
        <v>100</v>
      </c>
    </row>
    <row r="106" ht="15" customHeight="1" s="5">
      <c r="A106" s="7" t="inlineStr">
        <is>
          <t>Resource 03</t>
        </is>
      </c>
      <c r="B106" s="7" t="inlineStr">
        <is>
          <t>DevOps</t>
        </is>
      </c>
      <c r="C106" s="7" t="inlineStr">
        <is>
          <t>Analyst</t>
        </is>
      </c>
      <c r="D106" s="7" t="inlineStr">
        <is>
          <t>PRJ020</t>
        </is>
      </c>
      <c r="E106" s="7" t="inlineStr">
        <is>
          <t>Process Automation</t>
        </is>
      </c>
      <c r="F106" s="8" t="n">
        <v>45778</v>
      </c>
      <c r="G106" s="7" t="n">
        <v>40</v>
      </c>
      <c r="H106" s="7" t="n">
        <v>100</v>
      </c>
    </row>
    <row r="107" ht="15" customHeight="1" s="5">
      <c r="A107" s="7" t="inlineStr">
        <is>
          <t>Resource 03</t>
        </is>
      </c>
      <c r="B107" s="7" t="inlineStr">
        <is>
          <t>DevOps</t>
        </is>
      </c>
      <c r="C107" s="7" t="inlineStr">
        <is>
          <t>Analyst</t>
        </is>
      </c>
      <c r="D107" s="7" t="inlineStr">
        <is>
          <t>PRJ020</t>
        </is>
      </c>
      <c r="E107" s="7" t="inlineStr">
        <is>
          <t>Process Automation</t>
        </is>
      </c>
      <c r="F107" s="8" t="n">
        <v>45809</v>
      </c>
      <c r="G107" s="7" t="n">
        <v>50</v>
      </c>
      <c r="H107" s="7" t="n">
        <v>100</v>
      </c>
    </row>
    <row r="108" ht="15" customHeight="1" s="5">
      <c r="A108" s="7" t="inlineStr">
        <is>
          <t>Resource 03</t>
        </is>
      </c>
      <c r="B108" s="7" t="inlineStr">
        <is>
          <t>DevOps</t>
        </is>
      </c>
      <c r="C108" s="7" t="inlineStr">
        <is>
          <t>Analyst</t>
        </is>
      </c>
      <c r="D108" s="7" t="inlineStr">
        <is>
          <t>PRJ020</t>
        </is>
      </c>
      <c r="E108" s="7" t="inlineStr">
        <is>
          <t>Process Automation</t>
        </is>
      </c>
      <c r="F108" s="8" t="n">
        <v>45839</v>
      </c>
      <c r="G108" s="7" t="n">
        <v>40</v>
      </c>
      <c r="H108" s="7" t="n">
        <v>100</v>
      </c>
    </row>
    <row r="109" ht="15" customHeight="1" s="5">
      <c r="A109" s="7" t="inlineStr">
        <is>
          <t>Resource 03</t>
        </is>
      </c>
      <c r="B109" s="7" t="inlineStr">
        <is>
          <t>DevOps</t>
        </is>
      </c>
      <c r="C109" s="7" t="inlineStr">
        <is>
          <t>Analyst</t>
        </is>
      </c>
      <c r="D109" s="7" t="inlineStr">
        <is>
          <t>PRJ020</t>
        </is>
      </c>
      <c r="E109" s="7" t="inlineStr">
        <is>
          <t>Process Automation</t>
        </is>
      </c>
      <c r="F109" s="8" t="n">
        <v>45870</v>
      </c>
      <c r="G109" s="7" t="n">
        <v>50</v>
      </c>
      <c r="H109" s="7" t="n">
        <v>100</v>
      </c>
    </row>
    <row r="110" ht="15" customHeight="1" s="5">
      <c r="A110" s="7" t="inlineStr">
        <is>
          <t>Resource 04</t>
        </is>
      </c>
      <c r="B110" s="7" t="inlineStr">
        <is>
          <t>Data</t>
        </is>
      </c>
      <c r="C110" s="7" t="inlineStr">
        <is>
          <t>Tester</t>
        </is>
      </c>
      <c r="D110" s="7" t="inlineStr">
        <is>
          <t>PRJ010</t>
        </is>
      </c>
      <c r="E110" s="7" t="inlineStr">
        <is>
          <t>Workforce Enablement</t>
        </is>
      </c>
      <c r="F110" s="8" t="n">
        <v>45689</v>
      </c>
      <c r="G110" s="7" t="n">
        <v>75</v>
      </c>
      <c r="H110" s="7" t="n">
        <v>100</v>
      </c>
    </row>
    <row r="111" ht="15" customHeight="1" s="5">
      <c r="A111" s="7" t="inlineStr">
        <is>
          <t>Resource 04</t>
        </is>
      </c>
      <c r="B111" s="7" t="inlineStr">
        <is>
          <t>Data</t>
        </is>
      </c>
      <c r="C111" s="7" t="inlineStr">
        <is>
          <t>Tester</t>
        </is>
      </c>
      <c r="D111" s="7" t="inlineStr">
        <is>
          <t>PRJ010</t>
        </is>
      </c>
      <c r="E111" s="7" t="inlineStr">
        <is>
          <t>Workforce Enablement</t>
        </is>
      </c>
      <c r="F111" s="8" t="n">
        <v>45717</v>
      </c>
      <c r="G111" s="7" t="n">
        <v>75</v>
      </c>
      <c r="H111" s="7" t="n">
        <v>100</v>
      </c>
    </row>
    <row r="112" ht="15" customHeight="1" s="5">
      <c r="A112" s="7" t="inlineStr">
        <is>
          <t>Resource 04</t>
        </is>
      </c>
      <c r="B112" s="7" t="inlineStr">
        <is>
          <t>Data</t>
        </is>
      </c>
      <c r="C112" s="7" t="inlineStr">
        <is>
          <t>Tester</t>
        </is>
      </c>
      <c r="D112" s="7" t="inlineStr">
        <is>
          <t>PRJ010</t>
        </is>
      </c>
      <c r="E112" s="7" t="inlineStr">
        <is>
          <t>Workforce Enablement</t>
        </is>
      </c>
      <c r="F112" s="8" t="n">
        <v>45748</v>
      </c>
      <c r="G112" s="7" t="n">
        <v>65</v>
      </c>
      <c r="H112" s="7" t="n">
        <v>100</v>
      </c>
    </row>
    <row r="113" ht="15" customHeight="1" s="5">
      <c r="A113" s="7" t="inlineStr">
        <is>
          <t>Resource 04</t>
        </is>
      </c>
      <c r="B113" s="7" t="inlineStr">
        <is>
          <t>Data</t>
        </is>
      </c>
      <c r="C113" s="7" t="inlineStr">
        <is>
          <t>Tester</t>
        </is>
      </c>
      <c r="D113" s="7" t="inlineStr">
        <is>
          <t>PRJ010</t>
        </is>
      </c>
      <c r="E113" s="7" t="inlineStr">
        <is>
          <t>Workforce Enablement</t>
        </is>
      </c>
      <c r="F113" s="8" t="n">
        <v>45778</v>
      </c>
      <c r="G113" s="7" t="n">
        <v>85</v>
      </c>
      <c r="H113" s="7" t="n">
        <v>100</v>
      </c>
    </row>
    <row r="114" ht="15" customHeight="1" s="5">
      <c r="A114" s="7" t="inlineStr">
        <is>
          <t>Resource 04</t>
        </is>
      </c>
      <c r="B114" s="7" t="inlineStr">
        <is>
          <t>Data</t>
        </is>
      </c>
      <c r="C114" s="7" t="inlineStr">
        <is>
          <t>Tester</t>
        </is>
      </c>
      <c r="D114" s="7" t="inlineStr">
        <is>
          <t>PRJ010</t>
        </is>
      </c>
      <c r="E114" s="7" t="inlineStr">
        <is>
          <t>Workforce Enablement</t>
        </is>
      </c>
      <c r="F114" s="8" t="n">
        <v>45809</v>
      </c>
      <c r="G114" s="7" t="n">
        <v>65</v>
      </c>
      <c r="H114" s="7" t="n">
        <v>100</v>
      </c>
    </row>
    <row r="115" ht="15" customHeight="1" s="5">
      <c r="A115" s="7" t="inlineStr">
        <is>
          <t>Resource 04</t>
        </is>
      </c>
      <c r="B115" s="7" t="inlineStr">
        <is>
          <t>Data</t>
        </is>
      </c>
      <c r="C115" s="7" t="inlineStr">
        <is>
          <t>Tester</t>
        </is>
      </c>
      <c r="D115" s="7" t="inlineStr">
        <is>
          <t>PRJ010</t>
        </is>
      </c>
      <c r="E115" s="7" t="inlineStr">
        <is>
          <t>Workforce Enablement</t>
        </is>
      </c>
      <c r="F115" s="8" t="n">
        <v>45839</v>
      </c>
      <c r="G115" s="7" t="n">
        <v>90</v>
      </c>
      <c r="H115" s="7" t="n">
        <v>100</v>
      </c>
    </row>
    <row r="116" ht="15" customHeight="1" s="5">
      <c r="A116" s="7" t="inlineStr">
        <is>
          <t>Resource 04</t>
        </is>
      </c>
      <c r="B116" s="7" t="inlineStr">
        <is>
          <t>Data</t>
        </is>
      </c>
      <c r="C116" s="7" t="inlineStr">
        <is>
          <t>Tester</t>
        </is>
      </c>
      <c r="D116" s="7" t="inlineStr">
        <is>
          <t>PRJ010</t>
        </is>
      </c>
      <c r="E116" s="7" t="inlineStr">
        <is>
          <t>Workforce Enablement</t>
        </is>
      </c>
      <c r="F116" s="8" t="n">
        <v>45870</v>
      </c>
      <c r="G116" s="7" t="n">
        <v>85</v>
      </c>
      <c r="H116" s="7" t="n">
        <v>100</v>
      </c>
    </row>
    <row r="117" ht="15" customHeight="1" s="5">
      <c r="A117" s="7" t="inlineStr">
        <is>
          <t>Resource 04</t>
        </is>
      </c>
      <c r="B117" s="7" t="inlineStr">
        <is>
          <t>Data</t>
        </is>
      </c>
      <c r="C117" s="7" t="inlineStr">
        <is>
          <t>Tester</t>
        </is>
      </c>
      <c r="D117" s="7" t="inlineStr">
        <is>
          <t>PRJ010</t>
        </is>
      </c>
      <c r="E117" s="7" t="inlineStr">
        <is>
          <t>Workforce Enablement</t>
        </is>
      </c>
      <c r="F117" s="8" t="n">
        <v>45901</v>
      </c>
      <c r="G117" s="7" t="n">
        <v>75</v>
      </c>
      <c r="H117" s="7" t="n">
        <v>100</v>
      </c>
    </row>
    <row r="118" ht="15" customHeight="1" s="5">
      <c r="A118" s="7" t="inlineStr">
        <is>
          <t>Resource 04</t>
        </is>
      </c>
      <c r="B118" s="7" t="inlineStr">
        <is>
          <t>Data</t>
        </is>
      </c>
      <c r="C118" s="7" t="inlineStr">
        <is>
          <t>Tester</t>
        </is>
      </c>
      <c r="D118" s="7" t="inlineStr">
        <is>
          <t>PRJ010</t>
        </is>
      </c>
      <c r="E118" s="7" t="inlineStr">
        <is>
          <t>Workforce Enablement</t>
        </is>
      </c>
      <c r="F118" s="8" t="n">
        <v>45931</v>
      </c>
      <c r="G118" s="7" t="n">
        <v>65</v>
      </c>
      <c r="H118" s="7" t="n">
        <v>100</v>
      </c>
    </row>
    <row r="119" ht="15" customHeight="1" s="5">
      <c r="A119" s="7" t="inlineStr">
        <is>
          <t>Resource 04</t>
        </is>
      </c>
      <c r="B119" s="7" t="inlineStr">
        <is>
          <t>Data</t>
        </is>
      </c>
      <c r="C119" s="7" t="inlineStr">
        <is>
          <t>Tester</t>
        </is>
      </c>
      <c r="D119" s="7" t="inlineStr">
        <is>
          <t>PRJ010</t>
        </is>
      </c>
      <c r="E119" s="7" t="inlineStr">
        <is>
          <t>Workforce Enablement</t>
        </is>
      </c>
      <c r="F119" s="8" t="n">
        <v>45962</v>
      </c>
      <c r="G119" s="7" t="n">
        <v>65</v>
      </c>
      <c r="H119" s="7" t="n">
        <v>100</v>
      </c>
    </row>
    <row r="120" ht="15" customHeight="1" s="5">
      <c r="A120" s="7" t="inlineStr">
        <is>
          <t>Resource 04</t>
        </is>
      </c>
      <c r="B120" s="7" t="inlineStr">
        <is>
          <t>Data</t>
        </is>
      </c>
      <c r="C120" s="7" t="inlineStr">
        <is>
          <t>Tester</t>
        </is>
      </c>
      <c r="D120" s="7" t="inlineStr">
        <is>
          <t>PRJ010</t>
        </is>
      </c>
      <c r="E120" s="7" t="inlineStr">
        <is>
          <t>Workforce Enablement</t>
        </is>
      </c>
      <c r="F120" s="8" t="n">
        <v>45992</v>
      </c>
      <c r="G120" s="7" t="n">
        <v>90</v>
      </c>
      <c r="H120" s="7" t="n">
        <v>100</v>
      </c>
    </row>
    <row r="121" ht="15" customHeight="1" s="5">
      <c r="A121" s="7" t="inlineStr">
        <is>
          <t>Resource 04</t>
        </is>
      </c>
      <c r="B121" s="7" t="inlineStr">
        <is>
          <t>Data</t>
        </is>
      </c>
      <c r="C121" s="7" t="inlineStr">
        <is>
          <t>Tester</t>
        </is>
      </c>
      <c r="D121" s="7" t="inlineStr">
        <is>
          <t>PRJ010</t>
        </is>
      </c>
      <c r="E121" s="7" t="inlineStr">
        <is>
          <t>Workforce Enablement</t>
        </is>
      </c>
      <c r="F121" s="8" t="n">
        <v>46023</v>
      </c>
      <c r="G121" s="7" t="n">
        <v>90</v>
      </c>
      <c r="H121" s="7" t="n">
        <v>100</v>
      </c>
    </row>
    <row r="122" ht="15" customHeight="1" s="5">
      <c r="A122" s="7" t="inlineStr">
        <is>
          <t>Resource 05</t>
        </is>
      </c>
      <c r="B122" s="7" t="inlineStr">
        <is>
          <t>Dev</t>
        </is>
      </c>
      <c r="C122" s="7" t="inlineStr">
        <is>
          <t>Developer</t>
        </is>
      </c>
      <c r="D122" s="7" t="inlineStr">
        <is>
          <t>PRJ008</t>
        </is>
      </c>
      <c r="E122" s="7" t="inlineStr">
        <is>
          <t>Mobile App</t>
        </is>
      </c>
      <c r="F122" s="8" t="n">
        <v>45778</v>
      </c>
      <c r="G122" s="7" t="n">
        <v>25</v>
      </c>
      <c r="H122" s="7" t="n">
        <v>100</v>
      </c>
    </row>
    <row r="123" ht="15" customHeight="1" s="5">
      <c r="A123" s="7" t="inlineStr">
        <is>
          <t>Resource 05</t>
        </is>
      </c>
      <c r="B123" s="7" t="inlineStr">
        <is>
          <t>Dev</t>
        </is>
      </c>
      <c r="C123" s="7" t="inlineStr">
        <is>
          <t>Developer</t>
        </is>
      </c>
      <c r="D123" s="7" t="inlineStr">
        <is>
          <t>PRJ008</t>
        </is>
      </c>
      <c r="E123" s="7" t="inlineStr">
        <is>
          <t>Mobile App</t>
        </is>
      </c>
      <c r="F123" s="8" t="n">
        <v>45809</v>
      </c>
      <c r="G123" s="7" t="n">
        <v>35</v>
      </c>
      <c r="H123" s="7" t="n">
        <v>100</v>
      </c>
    </row>
    <row r="124" ht="15" customHeight="1" s="5">
      <c r="A124" s="7" t="inlineStr">
        <is>
          <t>Resource 05</t>
        </is>
      </c>
      <c r="B124" s="7" t="inlineStr">
        <is>
          <t>Dev</t>
        </is>
      </c>
      <c r="C124" s="7" t="inlineStr">
        <is>
          <t>Developer</t>
        </is>
      </c>
      <c r="D124" s="7" t="inlineStr">
        <is>
          <t>PRJ008</t>
        </is>
      </c>
      <c r="E124" s="7" t="inlineStr">
        <is>
          <t>Mobile App</t>
        </is>
      </c>
      <c r="F124" s="8" t="n">
        <v>45839</v>
      </c>
      <c r="G124" s="7" t="n">
        <v>15</v>
      </c>
      <c r="H124" s="7" t="n">
        <v>100</v>
      </c>
    </row>
    <row r="125" ht="15" customHeight="1" s="5">
      <c r="A125" s="7" t="inlineStr">
        <is>
          <t>Resource 05</t>
        </is>
      </c>
      <c r="B125" s="7" t="inlineStr">
        <is>
          <t>Dev</t>
        </is>
      </c>
      <c r="C125" s="7" t="inlineStr">
        <is>
          <t>Developer</t>
        </is>
      </c>
      <c r="D125" s="7" t="inlineStr">
        <is>
          <t>PRJ008</t>
        </is>
      </c>
      <c r="E125" s="7" t="inlineStr">
        <is>
          <t>Mobile App</t>
        </is>
      </c>
      <c r="F125" s="8" t="n">
        <v>45870</v>
      </c>
      <c r="G125" s="7" t="n">
        <v>25</v>
      </c>
      <c r="H125" s="7" t="n">
        <v>100</v>
      </c>
    </row>
    <row r="126" ht="15" customHeight="1" s="5">
      <c r="A126" s="7" t="inlineStr">
        <is>
          <t>Resource 06</t>
        </is>
      </c>
      <c r="B126" s="7" t="inlineStr">
        <is>
          <t>DevOps</t>
        </is>
      </c>
      <c r="C126" s="7" t="inlineStr">
        <is>
          <t>Tester</t>
        </is>
      </c>
      <c r="D126" s="7" t="inlineStr">
        <is>
          <t>PRJ014</t>
        </is>
      </c>
      <c r="E126" s="7" t="inlineStr">
        <is>
          <t>Identity Mgmt</t>
        </is>
      </c>
      <c r="F126" s="8" t="n">
        <v>45689</v>
      </c>
      <c r="G126" s="7" t="n">
        <v>40</v>
      </c>
      <c r="H126" s="7" t="n">
        <v>100</v>
      </c>
    </row>
    <row r="127" ht="15" customHeight="1" s="5">
      <c r="A127" s="7" t="inlineStr">
        <is>
          <t>Resource 06</t>
        </is>
      </c>
      <c r="B127" s="7" t="inlineStr">
        <is>
          <t>DevOps</t>
        </is>
      </c>
      <c r="C127" s="7" t="inlineStr">
        <is>
          <t>Tester</t>
        </is>
      </c>
      <c r="D127" s="7" t="inlineStr">
        <is>
          <t>PRJ014</t>
        </is>
      </c>
      <c r="E127" s="7" t="inlineStr">
        <is>
          <t>Identity Mgmt</t>
        </is>
      </c>
      <c r="F127" s="8" t="n">
        <v>45717</v>
      </c>
      <c r="G127" s="7" t="n">
        <v>25</v>
      </c>
      <c r="H127" s="7" t="n">
        <v>100</v>
      </c>
    </row>
    <row r="128" ht="15" customHeight="1" s="5">
      <c r="A128" s="7" t="inlineStr">
        <is>
          <t>Resource 06</t>
        </is>
      </c>
      <c r="B128" s="7" t="inlineStr">
        <is>
          <t>DevOps</t>
        </is>
      </c>
      <c r="C128" s="7" t="inlineStr">
        <is>
          <t>Tester</t>
        </is>
      </c>
      <c r="D128" s="7" t="inlineStr">
        <is>
          <t>PRJ014</t>
        </is>
      </c>
      <c r="E128" s="7" t="inlineStr">
        <is>
          <t>Identity Mgmt</t>
        </is>
      </c>
      <c r="F128" s="8" t="n">
        <v>45748</v>
      </c>
      <c r="G128" s="7" t="n">
        <v>25</v>
      </c>
      <c r="H128" s="7" t="n">
        <v>100</v>
      </c>
    </row>
    <row r="129" ht="15" customHeight="1" s="5">
      <c r="A129" s="7" t="inlineStr">
        <is>
          <t>Resource 06</t>
        </is>
      </c>
      <c r="B129" s="7" t="inlineStr">
        <is>
          <t>DevOps</t>
        </is>
      </c>
      <c r="C129" s="7" t="inlineStr">
        <is>
          <t>Tester</t>
        </is>
      </c>
      <c r="D129" s="7" t="inlineStr">
        <is>
          <t>PRJ014</t>
        </is>
      </c>
      <c r="E129" s="7" t="inlineStr">
        <is>
          <t>Identity Mgmt</t>
        </is>
      </c>
      <c r="F129" s="8" t="n">
        <v>45778</v>
      </c>
      <c r="G129" s="7" t="n">
        <v>15</v>
      </c>
      <c r="H129" s="7" t="n">
        <v>100</v>
      </c>
    </row>
    <row r="130" ht="15" customHeight="1" s="5">
      <c r="A130" s="7" t="inlineStr">
        <is>
          <t>Resource 06</t>
        </is>
      </c>
      <c r="B130" s="7" t="inlineStr">
        <is>
          <t>DevOps</t>
        </is>
      </c>
      <c r="C130" s="7" t="inlineStr">
        <is>
          <t>Tester</t>
        </is>
      </c>
      <c r="D130" s="7" t="inlineStr">
        <is>
          <t>PRJ014</t>
        </is>
      </c>
      <c r="E130" s="7" t="inlineStr">
        <is>
          <t>Identity Mgmt</t>
        </is>
      </c>
      <c r="F130" s="8" t="n">
        <v>45809</v>
      </c>
      <c r="G130" s="7" t="n">
        <v>25</v>
      </c>
      <c r="H130" s="7" t="n">
        <v>100</v>
      </c>
    </row>
    <row r="131" ht="15" customHeight="1" s="5">
      <c r="A131" s="7" t="inlineStr">
        <is>
          <t>Resource 06</t>
        </is>
      </c>
      <c r="B131" s="7" t="inlineStr">
        <is>
          <t>DevOps</t>
        </is>
      </c>
      <c r="C131" s="7" t="inlineStr">
        <is>
          <t>Tester</t>
        </is>
      </c>
      <c r="D131" s="7" t="inlineStr">
        <is>
          <t>PRJ014</t>
        </is>
      </c>
      <c r="E131" s="7" t="inlineStr">
        <is>
          <t>Identity Mgmt</t>
        </is>
      </c>
      <c r="F131" s="8" t="n">
        <v>45839</v>
      </c>
      <c r="G131" s="7" t="n">
        <v>25</v>
      </c>
      <c r="H131" s="7" t="n">
        <v>100</v>
      </c>
    </row>
    <row r="132" ht="15" customHeight="1" s="5">
      <c r="A132" s="7" t="inlineStr">
        <is>
          <t>Resource 06</t>
        </is>
      </c>
      <c r="B132" s="7" t="inlineStr">
        <is>
          <t>DevOps</t>
        </is>
      </c>
      <c r="C132" s="7" t="inlineStr">
        <is>
          <t>Tester</t>
        </is>
      </c>
      <c r="D132" s="7" t="inlineStr">
        <is>
          <t>PRJ014</t>
        </is>
      </c>
      <c r="E132" s="7" t="inlineStr">
        <is>
          <t>Identity Mgmt</t>
        </is>
      </c>
      <c r="F132" s="8" t="n">
        <v>45870</v>
      </c>
      <c r="G132" s="7" t="n">
        <v>35</v>
      </c>
      <c r="H132" s="7" t="n">
        <v>100</v>
      </c>
    </row>
    <row r="133" ht="15" customHeight="1" s="5">
      <c r="A133" s="7" t="inlineStr">
        <is>
          <t>Resource 06</t>
        </is>
      </c>
      <c r="B133" s="7" t="inlineStr">
        <is>
          <t>DevOps</t>
        </is>
      </c>
      <c r="C133" s="7" t="inlineStr">
        <is>
          <t>Tester</t>
        </is>
      </c>
      <c r="D133" s="7" t="inlineStr">
        <is>
          <t>PRJ014</t>
        </is>
      </c>
      <c r="E133" s="7" t="inlineStr">
        <is>
          <t>Identity Mgmt</t>
        </is>
      </c>
      <c r="F133" s="8" t="n">
        <v>45901</v>
      </c>
      <c r="G133" s="7" t="n">
        <v>15</v>
      </c>
      <c r="H133" s="7" t="n">
        <v>100</v>
      </c>
    </row>
    <row r="134" ht="15" customHeight="1" s="5">
      <c r="A134" s="7" t="inlineStr">
        <is>
          <t>Resource 06</t>
        </is>
      </c>
      <c r="B134" s="7" t="inlineStr">
        <is>
          <t>DevOps</t>
        </is>
      </c>
      <c r="C134" s="7" t="inlineStr">
        <is>
          <t>Tester</t>
        </is>
      </c>
      <c r="D134" s="7" t="inlineStr">
        <is>
          <t>PRJ014</t>
        </is>
      </c>
      <c r="E134" s="7" t="inlineStr">
        <is>
          <t>Identity Mgmt</t>
        </is>
      </c>
      <c r="F134" s="8" t="n">
        <v>45931</v>
      </c>
      <c r="G134" s="7" t="n">
        <v>35</v>
      </c>
      <c r="H134" s="7" t="n">
        <v>100</v>
      </c>
    </row>
    <row r="135" ht="15" customHeight="1" s="5">
      <c r="A135" s="7" t="inlineStr">
        <is>
          <t>Resource 06</t>
        </is>
      </c>
      <c r="B135" s="7" t="inlineStr">
        <is>
          <t>DevOps</t>
        </is>
      </c>
      <c r="C135" s="7" t="inlineStr">
        <is>
          <t>Tester</t>
        </is>
      </c>
      <c r="D135" s="7" t="inlineStr">
        <is>
          <t>PRJ014</t>
        </is>
      </c>
      <c r="E135" s="7" t="inlineStr">
        <is>
          <t>Identity Mgmt</t>
        </is>
      </c>
      <c r="F135" s="8" t="n">
        <v>45962</v>
      </c>
      <c r="G135" s="7" t="n">
        <v>25</v>
      </c>
      <c r="H135" s="7" t="n">
        <v>100</v>
      </c>
    </row>
    <row r="136" ht="15" customHeight="1" s="5">
      <c r="A136" s="7" t="inlineStr">
        <is>
          <t>Resource 06</t>
        </is>
      </c>
      <c r="B136" s="7" t="inlineStr">
        <is>
          <t>DevOps</t>
        </is>
      </c>
      <c r="C136" s="7" t="inlineStr">
        <is>
          <t>Tester</t>
        </is>
      </c>
      <c r="D136" s="7" t="inlineStr">
        <is>
          <t>PRJ014</t>
        </is>
      </c>
      <c r="E136" s="7" t="inlineStr">
        <is>
          <t>Identity Mgmt</t>
        </is>
      </c>
      <c r="F136" s="8" t="n">
        <v>45992</v>
      </c>
      <c r="G136" s="7" t="n">
        <v>0</v>
      </c>
      <c r="H136" s="7" t="n">
        <v>100</v>
      </c>
    </row>
    <row r="137" ht="15" customHeight="1" s="5">
      <c r="A137" s="7" t="inlineStr">
        <is>
          <t>Resource 06</t>
        </is>
      </c>
      <c r="B137" s="7" t="inlineStr">
        <is>
          <t>DevOps</t>
        </is>
      </c>
      <c r="C137" s="7" t="inlineStr">
        <is>
          <t>Tester</t>
        </is>
      </c>
      <c r="D137" s="7" t="inlineStr">
        <is>
          <t>PRJ014</t>
        </is>
      </c>
      <c r="E137" s="7" t="inlineStr">
        <is>
          <t>Identity Mgmt</t>
        </is>
      </c>
      <c r="F137" s="8" t="n">
        <v>46023</v>
      </c>
      <c r="G137" s="7" t="n">
        <v>0</v>
      </c>
      <c r="H137" s="7" t="n">
        <v>100</v>
      </c>
    </row>
    <row r="138" ht="15" customHeight="1" s="5">
      <c r="A138" s="7" t="inlineStr">
        <is>
          <t>Resource 06</t>
        </is>
      </c>
      <c r="B138" s="7" t="inlineStr">
        <is>
          <t>DevOps</t>
        </is>
      </c>
      <c r="C138" s="7" t="inlineStr">
        <is>
          <t>Tester</t>
        </is>
      </c>
      <c r="D138" s="7" t="inlineStr">
        <is>
          <t>PRJ014</t>
        </is>
      </c>
      <c r="E138" s="7" t="inlineStr">
        <is>
          <t>Identity Mgmt</t>
        </is>
      </c>
      <c r="F138" s="8" t="n">
        <v>46054</v>
      </c>
      <c r="G138" s="7" t="n">
        <v>25</v>
      </c>
      <c r="H138" s="7" t="n">
        <v>100</v>
      </c>
    </row>
    <row r="139" ht="15" customHeight="1" s="5">
      <c r="A139" s="7" t="inlineStr">
        <is>
          <t>Resource 06</t>
        </is>
      </c>
      <c r="B139" s="7" t="inlineStr">
        <is>
          <t>DevOps</t>
        </is>
      </c>
      <c r="C139" s="7" t="inlineStr">
        <is>
          <t>Tester</t>
        </is>
      </c>
      <c r="D139" s="7" t="inlineStr">
        <is>
          <t>PRJ014</t>
        </is>
      </c>
      <c r="E139" s="7" t="inlineStr">
        <is>
          <t>Identity Mgmt</t>
        </is>
      </c>
      <c r="F139" s="8" t="n">
        <v>46082</v>
      </c>
      <c r="G139" s="7" t="n">
        <v>25</v>
      </c>
      <c r="H139" s="7" t="n">
        <v>100</v>
      </c>
    </row>
    <row r="140" ht="15" customHeight="1" s="5">
      <c r="A140" s="7" t="inlineStr">
        <is>
          <t>Resource 07</t>
        </is>
      </c>
      <c r="B140" s="7" t="inlineStr">
        <is>
          <t>Dev</t>
        </is>
      </c>
      <c r="C140" s="7" t="inlineStr">
        <is>
          <t>Analyst</t>
        </is>
      </c>
      <c r="D140" s="7" t="inlineStr">
        <is>
          <t>PRJ010</t>
        </is>
      </c>
      <c r="E140" s="7" t="inlineStr">
        <is>
          <t>Workforce Enablement</t>
        </is>
      </c>
      <c r="F140" s="8" t="n">
        <v>45689</v>
      </c>
      <c r="G140" s="7" t="n">
        <v>40</v>
      </c>
      <c r="H140" s="7" t="n">
        <v>100</v>
      </c>
    </row>
    <row r="141" ht="15" customHeight="1" s="5">
      <c r="A141" s="7" t="inlineStr">
        <is>
          <t>Resource 07</t>
        </is>
      </c>
      <c r="B141" s="7" t="inlineStr">
        <is>
          <t>Dev</t>
        </is>
      </c>
      <c r="C141" s="7" t="inlineStr">
        <is>
          <t>Analyst</t>
        </is>
      </c>
      <c r="D141" s="7" t="inlineStr">
        <is>
          <t>PRJ010</t>
        </is>
      </c>
      <c r="E141" s="7" t="inlineStr">
        <is>
          <t>Workforce Enablement</t>
        </is>
      </c>
      <c r="F141" s="8" t="n">
        <v>45717</v>
      </c>
      <c r="G141" s="7" t="n">
        <v>35</v>
      </c>
      <c r="H141" s="7" t="n">
        <v>100</v>
      </c>
    </row>
    <row r="142" ht="15" customHeight="1" s="5">
      <c r="A142" s="7" t="inlineStr">
        <is>
          <t>Resource 07</t>
        </is>
      </c>
      <c r="B142" s="7" t="inlineStr">
        <is>
          <t>Dev</t>
        </is>
      </c>
      <c r="C142" s="7" t="inlineStr">
        <is>
          <t>Analyst</t>
        </is>
      </c>
      <c r="D142" s="7" t="inlineStr">
        <is>
          <t>PRJ010</t>
        </is>
      </c>
      <c r="E142" s="7" t="inlineStr">
        <is>
          <t>Workforce Enablement</t>
        </is>
      </c>
      <c r="F142" s="8" t="n">
        <v>45748</v>
      </c>
      <c r="G142" s="7" t="n">
        <v>35</v>
      </c>
      <c r="H142" s="7" t="n">
        <v>100</v>
      </c>
    </row>
    <row r="143" ht="15" customHeight="1" s="5">
      <c r="A143" s="7" t="inlineStr">
        <is>
          <t>Resource 07</t>
        </is>
      </c>
      <c r="B143" s="7" t="inlineStr">
        <is>
          <t>Dev</t>
        </is>
      </c>
      <c r="C143" s="7" t="inlineStr">
        <is>
          <t>Analyst</t>
        </is>
      </c>
      <c r="D143" s="7" t="inlineStr">
        <is>
          <t>PRJ010</t>
        </is>
      </c>
      <c r="E143" s="7" t="inlineStr">
        <is>
          <t>Workforce Enablement</t>
        </is>
      </c>
      <c r="F143" s="8" t="n">
        <v>45778</v>
      </c>
      <c r="G143" s="7" t="n">
        <v>25</v>
      </c>
      <c r="H143" s="7" t="n">
        <v>100</v>
      </c>
    </row>
    <row r="144" ht="15" customHeight="1" s="5">
      <c r="A144" s="7" t="inlineStr">
        <is>
          <t>Resource 07</t>
        </is>
      </c>
      <c r="B144" s="7" t="inlineStr">
        <is>
          <t>Dev</t>
        </is>
      </c>
      <c r="C144" s="7" t="inlineStr">
        <is>
          <t>Analyst</t>
        </is>
      </c>
      <c r="D144" s="7" t="inlineStr">
        <is>
          <t>PRJ010</t>
        </is>
      </c>
      <c r="E144" s="7" t="inlineStr">
        <is>
          <t>Workforce Enablement</t>
        </is>
      </c>
      <c r="F144" s="8" t="n">
        <v>45809</v>
      </c>
      <c r="G144" s="7" t="n">
        <v>40</v>
      </c>
      <c r="H144" s="7" t="n">
        <v>100</v>
      </c>
    </row>
    <row r="145" ht="15" customHeight="1" s="5">
      <c r="A145" s="7" t="inlineStr">
        <is>
          <t>Resource 07</t>
        </is>
      </c>
      <c r="B145" s="7" t="inlineStr">
        <is>
          <t>Dev</t>
        </is>
      </c>
      <c r="C145" s="7" t="inlineStr">
        <is>
          <t>Analyst</t>
        </is>
      </c>
      <c r="D145" s="7" t="inlineStr">
        <is>
          <t>PRJ010</t>
        </is>
      </c>
      <c r="E145" s="7" t="inlineStr">
        <is>
          <t>Workforce Enablement</t>
        </is>
      </c>
      <c r="F145" s="8" t="n">
        <v>45839</v>
      </c>
      <c r="G145" s="7" t="n">
        <v>40</v>
      </c>
      <c r="H145" s="7" t="n">
        <v>100</v>
      </c>
    </row>
    <row r="146" ht="15" customHeight="1" s="5">
      <c r="A146" s="7" t="inlineStr">
        <is>
          <t>Resource 07</t>
        </is>
      </c>
      <c r="B146" s="7" t="inlineStr">
        <is>
          <t>Dev</t>
        </is>
      </c>
      <c r="C146" s="7" t="inlineStr">
        <is>
          <t>Analyst</t>
        </is>
      </c>
      <c r="D146" s="7" t="inlineStr">
        <is>
          <t>PRJ010</t>
        </is>
      </c>
      <c r="E146" s="7" t="inlineStr">
        <is>
          <t>Workforce Enablement</t>
        </is>
      </c>
      <c r="F146" s="8" t="n">
        <v>45870</v>
      </c>
      <c r="G146" s="7" t="n">
        <v>25</v>
      </c>
      <c r="H146" s="7" t="n">
        <v>100</v>
      </c>
    </row>
    <row r="147" ht="15" customHeight="1" s="5">
      <c r="A147" s="7" t="inlineStr">
        <is>
          <t>Resource 07</t>
        </is>
      </c>
      <c r="B147" s="7" t="inlineStr">
        <is>
          <t>Dev</t>
        </is>
      </c>
      <c r="C147" s="7" t="inlineStr">
        <is>
          <t>Analyst</t>
        </is>
      </c>
      <c r="D147" s="7" t="inlineStr">
        <is>
          <t>PRJ010</t>
        </is>
      </c>
      <c r="E147" s="7" t="inlineStr">
        <is>
          <t>Workforce Enablement</t>
        </is>
      </c>
      <c r="F147" s="8" t="n">
        <v>45901</v>
      </c>
      <c r="G147" s="7" t="n">
        <v>25</v>
      </c>
      <c r="H147" s="7" t="n">
        <v>100</v>
      </c>
    </row>
    <row r="148" ht="15" customHeight="1" s="5">
      <c r="A148" s="7" t="inlineStr">
        <is>
          <t>Resource 07</t>
        </is>
      </c>
      <c r="B148" s="7" t="inlineStr">
        <is>
          <t>Dev</t>
        </is>
      </c>
      <c r="C148" s="7" t="inlineStr">
        <is>
          <t>Analyst</t>
        </is>
      </c>
      <c r="D148" s="7" t="inlineStr">
        <is>
          <t>PRJ010</t>
        </is>
      </c>
      <c r="E148" s="7" t="inlineStr">
        <is>
          <t>Workforce Enablement</t>
        </is>
      </c>
      <c r="F148" s="8" t="n">
        <v>45931</v>
      </c>
      <c r="G148" s="7" t="n">
        <v>25</v>
      </c>
      <c r="H148" s="7" t="n">
        <v>100</v>
      </c>
    </row>
    <row r="149" ht="15" customHeight="1" s="5">
      <c r="A149" s="7" t="inlineStr">
        <is>
          <t>Resource 07</t>
        </is>
      </c>
      <c r="B149" s="7" t="inlineStr">
        <is>
          <t>Dev</t>
        </is>
      </c>
      <c r="C149" s="7" t="inlineStr">
        <is>
          <t>Analyst</t>
        </is>
      </c>
      <c r="D149" s="7" t="inlineStr">
        <is>
          <t>PRJ010</t>
        </is>
      </c>
      <c r="E149" s="7" t="inlineStr">
        <is>
          <t>Workforce Enablement</t>
        </is>
      </c>
      <c r="F149" s="8" t="n">
        <v>45962</v>
      </c>
      <c r="G149" s="7" t="n">
        <v>35</v>
      </c>
      <c r="H149" s="7" t="n">
        <v>100</v>
      </c>
    </row>
    <row r="150" ht="15" customHeight="1" s="5">
      <c r="A150" s="7" t="inlineStr">
        <is>
          <t>Resource 07</t>
        </is>
      </c>
      <c r="B150" s="7" t="inlineStr">
        <is>
          <t>Dev</t>
        </is>
      </c>
      <c r="C150" s="7" t="inlineStr">
        <is>
          <t>Analyst</t>
        </is>
      </c>
      <c r="D150" s="7" t="inlineStr">
        <is>
          <t>PRJ010</t>
        </is>
      </c>
      <c r="E150" s="7" t="inlineStr">
        <is>
          <t>Workforce Enablement</t>
        </is>
      </c>
      <c r="F150" s="8" t="n">
        <v>45992</v>
      </c>
      <c r="G150" s="7" t="n">
        <v>40</v>
      </c>
      <c r="H150" s="7" t="n">
        <v>100</v>
      </c>
    </row>
    <row r="151" ht="15" customHeight="1" s="5">
      <c r="A151" s="7" t="inlineStr">
        <is>
          <t>Resource 07</t>
        </is>
      </c>
      <c r="B151" s="7" t="inlineStr">
        <is>
          <t>Dev</t>
        </is>
      </c>
      <c r="C151" s="7" t="inlineStr">
        <is>
          <t>Analyst</t>
        </is>
      </c>
      <c r="D151" s="7" t="inlineStr">
        <is>
          <t>PRJ010</t>
        </is>
      </c>
      <c r="E151" s="7" t="inlineStr">
        <is>
          <t>Workforce Enablement</t>
        </is>
      </c>
      <c r="F151" s="8" t="n">
        <v>46023</v>
      </c>
      <c r="G151" s="7" t="n">
        <v>15</v>
      </c>
      <c r="H151" s="7" t="n">
        <v>100</v>
      </c>
    </row>
    <row r="152" ht="15" customHeight="1" s="5">
      <c r="A152" s="7" t="inlineStr">
        <is>
          <t>Resource 07</t>
        </is>
      </c>
      <c r="B152" s="7" t="inlineStr">
        <is>
          <t>Dev</t>
        </is>
      </c>
      <c r="C152" s="7" t="inlineStr">
        <is>
          <t>Analyst</t>
        </is>
      </c>
      <c r="D152" s="7" t="inlineStr">
        <is>
          <t>PRJ037</t>
        </is>
      </c>
      <c r="E152" s="7" t="inlineStr">
        <is>
          <t>SAP S/4HANA</t>
        </is>
      </c>
      <c r="F152" s="8" t="n">
        <v>45717</v>
      </c>
      <c r="G152" s="7" t="n">
        <v>100</v>
      </c>
      <c r="H152" s="7" t="n">
        <v>100</v>
      </c>
    </row>
    <row r="153" ht="15" customHeight="1" s="5">
      <c r="A153" s="7" t="inlineStr">
        <is>
          <t>Resource 07</t>
        </is>
      </c>
      <c r="B153" s="7" t="inlineStr">
        <is>
          <t>Dev</t>
        </is>
      </c>
      <c r="C153" s="7" t="inlineStr">
        <is>
          <t>Analyst</t>
        </is>
      </c>
      <c r="D153" s="7" t="inlineStr">
        <is>
          <t>PRJ037</t>
        </is>
      </c>
      <c r="E153" s="7" t="inlineStr">
        <is>
          <t>SAP S/4HANA</t>
        </is>
      </c>
      <c r="F153" s="8" t="n">
        <v>45748</v>
      </c>
      <c r="G153" s="7" t="n">
        <v>100</v>
      </c>
      <c r="H153" s="7" t="n">
        <v>100</v>
      </c>
    </row>
    <row r="154" ht="15" customHeight="1" s="5">
      <c r="A154" s="7" t="inlineStr">
        <is>
          <t>Resource 07</t>
        </is>
      </c>
      <c r="B154" s="7" t="inlineStr">
        <is>
          <t>Dev</t>
        </is>
      </c>
      <c r="C154" s="7" t="inlineStr">
        <is>
          <t>Analyst</t>
        </is>
      </c>
      <c r="D154" s="7" t="inlineStr">
        <is>
          <t>PRJ037</t>
        </is>
      </c>
      <c r="E154" s="7" t="inlineStr">
        <is>
          <t>SAP S/4HANA</t>
        </is>
      </c>
      <c r="F154" s="8" t="n">
        <v>45778</v>
      </c>
      <c r="G154" s="7" t="n">
        <v>75</v>
      </c>
      <c r="H154" s="7" t="n">
        <v>100</v>
      </c>
    </row>
    <row r="155" ht="15" customHeight="1" s="5">
      <c r="A155" s="7" t="inlineStr">
        <is>
          <t>Resource 07</t>
        </is>
      </c>
      <c r="B155" s="7" t="inlineStr">
        <is>
          <t>Dev</t>
        </is>
      </c>
      <c r="C155" s="7" t="inlineStr">
        <is>
          <t>Analyst</t>
        </is>
      </c>
      <c r="D155" s="7" t="inlineStr">
        <is>
          <t>PRJ037</t>
        </is>
      </c>
      <c r="E155" s="7" t="inlineStr">
        <is>
          <t>SAP S/4HANA</t>
        </is>
      </c>
      <c r="F155" s="8" t="n">
        <v>45809</v>
      </c>
      <c r="G155" s="7" t="n">
        <v>100</v>
      </c>
      <c r="H155" s="7" t="n">
        <v>100</v>
      </c>
    </row>
    <row r="156" ht="15" customHeight="1" s="5">
      <c r="A156" s="7" t="inlineStr">
        <is>
          <t>Resource 07</t>
        </is>
      </c>
      <c r="B156" s="7" t="inlineStr">
        <is>
          <t>Dev</t>
        </is>
      </c>
      <c r="C156" s="7" t="inlineStr">
        <is>
          <t>Analyst</t>
        </is>
      </c>
      <c r="D156" s="7" t="inlineStr">
        <is>
          <t>PRJ037</t>
        </is>
      </c>
      <c r="E156" s="7" t="inlineStr">
        <is>
          <t>SAP S/4HANA</t>
        </is>
      </c>
      <c r="F156" s="8" t="n">
        <v>45839</v>
      </c>
      <c r="G156" s="7" t="n">
        <v>100</v>
      </c>
      <c r="H156" s="7" t="n">
        <v>100</v>
      </c>
    </row>
    <row r="157" ht="15" customHeight="1" s="5">
      <c r="A157" s="7" t="inlineStr">
        <is>
          <t>Resource 07</t>
        </is>
      </c>
      <c r="B157" s="7" t="inlineStr">
        <is>
          <t>Dev</t>
        </is>
      </c>
      <c r="C157" s="7" t="inlineStr">
        <is>
          <t>Analyst</t>
        </is>
      </c>
      <c r="D157" s="7" t="inlineStr">
        <is>
          <t>PRJ037</t>
        </is>
      </c>
      <c r="E157" s="7" t="inlineStr">
        <is>
          <t>SAP S/4HANA</t>
        </is>
      </c>
      <c r="F157" s="8" t="n">
        <v>45870</v>
      </c>
      <c r="G157" s="7" t="n">
        <v>75</v>
      </c>
      <c r="H157" s="7" t="n">
        <v>100</v>
      </c>
    </row>
    <row r="158" ht="15" customHeight="1" s="5">
      <c r="A158" s="7" t="inlineStr">
        <is>
          <t>Resource 07</t>
        </is>
      </c>
      <c r="B158" s="7" t="inlineStr">
        <is>
          <t>Dev</t>
        </is>
      </c>
      <c r="C158" s="7" t="inlineStr">
        <is>
          <t>Analyst</t>
        </is>
      </c>
      <c r="D158" s="7" t="inlineStr">
        <is>
          <t>PRJ037</t>
        </is>
      </c>
      <c r="E158" s="7" t="inlineStr">
        <is>
          <t>SAP S/4HANA</t>
        </is>
      </c>
      <c r="F158" s="8" t="n">
        <v>45901</v>
      </c>
      <c r="G158" s="7" t="n">
        <v>90</v>
      </c>
      <c r="H158" s="7" t="n">
        <v>100</v>
      </c>
    </row>
    <row r="159" ht="15" customHeight="1" s="5">
      <c r="A159" s="7" t="inlineStr">
        <is>
          <t>Resource 07</t>
        </is>
      </c>
      <c r="B159" s="7" t="inlineStr">
        <is>
          <t>Dev</t>
        </is>
      </c>
      <c r="C159" s="7" t="inlineStr">
        <is>
          <t>Analyst</t>
        </is>
      </c>
      <c r="D159" s="7" t="inlineStr">
        <is>
          <t>PRJ037</t>
        </is>
      </c>
      <c r="E159" s="7" t="inlineStr">
        <is>
          <t>SAP S/4HANA</t>
        </is>
      </c>
      <c r="F159" s="8" t="n">
        <v>45931</v>
      </c>
      <c r="G159" s="7" t="n">
        <v>100</v>
      </c>
      <c r="H159" s="7" t="n">
        <v>100</v>
      </c>
    </row>
    <row r="160" ht="15" customHeight="1" s="5">
      <c r="A160" s="7" t="inlineStr">
        <is>
          <t>Resource 08</t>
        </is>
      </c>
      <c r="B160" s="7" t="inlineStr">
        <is>
          <t>Architect</t>
        </is>
      </c>
      <c r="C160" s="7" t="inlineStr">
        <is>
          <t>Project Manager</t>
        </is>
      </c>
      <c r="D160" s="7" t="inlineStr">
        <is>
          <t>PRJ002</t>
        </is>
      </c>
      <c r="E160" s="7" t="inlineStr">
        <is>
          <t>Cloud Migration</t>
        </is>
      </c>
      <c r="F160" s="8" t="n">
        <v>45717</v>
      </c>
      <c r="G160" s="7" t="n">
        <v>100</v>
      </c>
      <c r="H160" s="7" t="n">
        <v>100</v>
      </c>
    </row>
    <row r="161" ht="15" customHeight="1" s="5">
      <c r="A161" s="7" t="inlineStr">
        <is>
          <t>Resource 08</t>
        </is>
      </c>
      <c r="B161" s="7" t="inlineStr">
        <is>
          <t>Architect</t>
        </is>
      </c>
      <c r="C161" s="7" t="inlineStr">
        <is>
          <t>Project Manager</t>
        </is>
      </c>
      <c r="D161" s="7" t="inlineStr">
        <is>
          <t>PRJ002</t>
        </is>
      </c>
      <c r="E161" s="7" t="inlineStr">
        <is>
          <t>Cloud Migration</t>
        </is>
      </c>
      <c r="F161" s="8" t="n">
        <v>45748</v>
      </c>
      <c r="G161" s="7" t="n">
        <v>90</v>
      </c>
      <c r="H161" s="7" t="n">
        <v>100</v>
      </c>
    </row>
    <row r="162" ht="15" customHeight="1" s="5">
      <c r="A162" s="7" t="inlineStr">
        <is>
          <t>Resource 08</t>
        </is>
      </c>
      <c r="B162" s="7" t="inlineStr">
        <is>
          <t>Architect</t>
        </is>
      </c>
      <c r="C162" s="7" t="inlineStr">
        <is>
          <t>Project Manager</t>
        </is>
      </c>
      <c r="D162" s="7" t="inlineStr">
        <is>
          <t>PRJ002</t>
        </is>
      </c>
      <c r="E162" s="7" t="inlineStr">
        <is>
          <t>Cloud Migration</t>
        </is>
      </c>
      <c r="F162" s="8" t="n">
        <v>45778</v>
      </c>
      <c r="G162" s="7" t="n">
        <v>100</v>
      </c>
      <c r="H162" s="7" t="n">
        <v>100</v>
      </c>
    </row>
    <row r="163" ht="15" customHeight="1" s="5">
      <c r="A163" s="7" t="inlineStr">
        <is>
          <t>Resource 08</t>
        </is>
      </c>
      <c r="B163" s="7" t="inlineStr">
        <is>
          <t>Architect</t>
        </is>
      </c>
      <c r="C163" s="7" t="inlineStr">
        <is>
          <t>Project Manager</t>
        </is>
      </c>
      <c r="D163" s="7" t="inlineStr">
        <is>
          <t>PRJ002</t>
        </is>
      </c>
      <c r="E163" s="7" t="inlineStr">
        <is>
          <t>Cloud Migration</t>
        </is>
      </c>
      <c r="F163" s="8" t="n">
        <v>45809</v>
      </c>
      <c r="G163" s="7" t="n">
        <v>100</v>
      </c>
      <c r="H163" s="7" t="n">
        <v>100</v>
      </c>
    </row>
    <row r="164" ht="15" customHeight="1" s="5">
      <c r="A164" s="7" t="inlineStr">
        <is>
          <t>Resource 08</t>
        </is>
      </c>
      <c r="B164" s="7" t="inlineStr">
        <is>
          <t>Architect</t>
        </is>
      </c>
      <c r="C164" s="7" t="inlineStr">
        <is>
          <t>Project Manager</t>
        </is>
      </c>
      <c r="D164" s="7" t="inlineStr">
        <is>
          <t>PRJ002</t>
        </is>
      </c>
      <c r="E164" s="7" t="inlineStr">
        <is>
          <t>Cloud Migration</t>
        </is>
      </c>
      <c r="F164" s="8" t="n">
        <v>45839</v>
      </c>
      <c r="G164" s="7" t="n">
        <v>75</v>
      </c>
      <c r="H164" s="7" t="n">
        <v>100</v>
      </c>
    </row>
    <row r="165" ht="15" customHeight="1" s="5">
      <c r="A165" s="7" t="inlineStr">
        <is>
          <t>Resource 08</t>
        </is>
      </c>
      <c r="B165" s="7" t="inlineStr">
        <is>
          <t>Architect</t>
        </is>
      </c>
      <c r="C165" s="7" t="inlineStr">
        <is>
          <t>Project Manager</t>
        </is>
      </c>
      <c r="D165" s="7" t="inlineStr">
        <is>
          <t>PRJ002</t>
        </is>
      </c>
      <c r="E165" s="7" t="inlineStr">
        <is>
          <t>Cloud Migration</t>
        </is>
      </c>
      <c r="F165" s="8" t="n">
        <v>45870</v>
      </c>
      <c r="G165" s="7" t="n">
        <v>100</v>
      </c>
      <c r="H165" s="7" t="n">
        <v>100</v>
      </c>
    </row>
    <row r="166" ht="15" customHeight="1" s="5">
      <c r="A166" s="7" t="inlineStr">
        <is>
          <t>Resource 08</t>
        </is>
      </c>
      <c r="B166" s="7" t="inlineStr">
        <is>
          <t>Architect</t>
        </is>
      </c>
      <c r="C166" s="7" t="inlineStr">
        <is>
          <t>Project Manager</t>
        </is>
      </c>
      <c r="D166" s="7" t="inlineStr">
        <is>
          <t>PRJ002</t>
        </is>
      </c>
      <c r="E166" s="7" t="inlineStr">
        <is>
          <t>Cloud Migration</t>
        </is>
      </c>
      <c r="F166" s="8" t="n">
        <v>45901</v>
      </c>
      <c r="G166" s="7" t="n">
        <v>75</v>
      </c>
      <c r="H166" s="7" t="n">
        <v>100</v>
      </c>
    </row>
    <row r="167" ht="15" customHeight="1" s="5">
      <c r="A167" s="7" t="inlineStr">
        <is>
          <t>Resource 08</t>
        </is>
      </c>
      <c r="B167" s="7" t="inlineStr">
        <is>
          <t>Architect</t>
        </is>
      </c>
      <c r="C167" s="7" t="inlineStr">
        <is>
          <t>Project Manager</t>
        </is>
      </c>
      <c r="D167" s="7" t="inlineStr">
        <is>
          <t>PRJ002</t>
        </is>
      </c>
      <c r="E167" s="7" t="inlineStr">
        <is>
          <t>Cloud Migration</t>
        </is>
      </c>
      <c r="F167" s="8" t="n">
        <v>45931</v>
      </c>
      <c r="G167" s="7" t="n">
        <v>100</v>
      </c>
      <c r="H167" s="7" t="n">
        <v>100</v>
      </c>
    </row>
    <row r="168" ht="15" customHeight="1" s="5">
      <c r="A168" s="7" t="inlineStr">
        <is>
          <t>Resource 08</t>
        </is>
      </c>
      <c r="B168" s="7" t="inlineStr">
        <is>
          <t>Architect</t>
        </is>
      </c>
      <c r="C168" s="7" t="inlineStr">
        <is>
          <t>Project Manager</t>
        </is>
      </c>
      <c r="D168" s="7" t="inlineStr">
        <is>
          <t>PRJ013</t>
        </is>
      </c>
      <c r="E168" s="7" t="inlineStr">
        <is>
          <t>API Gateway</t>
        </is>
      </c>
      <c r="F168" s="8" t="n">
        <v>45992</v>
      </c>
      <c r="G168" s="7" t="n">
        <v>50</v>
      </c>
      <c r="H168" s="7" t="n">
        <v>100</v>
      </c>
    </row>
    <row r="169" ht="15" customHeight="1" s="5">
      <c r="A169" s="7" t="inlineStr">
        <is>
          <t>Resource 08</t>
        </is>
      </c>
      <c r="B169" s="7" t="inlineStr">
        <is>
          <t>Architect</t>
        </is>
      </c>
      <c r="C169" s="7" t="inlineStr">
        <is>
          <t>Project Manager</t>
        </is>
      </c>
      <c r="D169" s="7" t="inlineStr">
        <is>
          <t>PRJ013</t>
        </is>
      </c>
      <c r="E169" s="7" t="inlineStr">
        <is>
          <t>API Gateway</t>
        </is>
      </c>
      <c r="F169" s="8" t="n">
        <v>46023</v>
      </c>
      <c r="G169" s="7" t="n">
        <v>40</v>
      </c>
      <c r="H169" s="7" t="n">
        <v>100</v>
      </c>
    </row>
    <row r="170" ht="15" customHeight="1" s="5">
      <c r="A170" s="7" t="inlineStr">
        <is>
          <t>Resource 08</t>
        </is>
      </c>
      <c r="B170" s="7" t="inlineStr">
        <is>
          <t>Architect</t>
        </is>
      </c>
      <c r="C170" s="7" t="inlineStr">
        <is>
          <t>Project Manager</t>
        </is>
      </c>
      <c r="D170" s="7" t="inlineStr">
        <is>
          <t>PRJ013</t>
        </is>
      </c>
      <c r="E170" s="7" t="inlineStr">
        <is>
          <t>API Gateway</t>
        </is>
      </c>
      <c r="F170" s="8" t="n">
        <v>46054</v>
      </c>
      <c r="G170" s="7" t="n">
        <v>25</v>
      </c>
      <c r="H170" s="7" t="n">
        <v>100</v>
      </c>
    </row>
    <row r="171" ht="15" customHeight="1" s="5">
      <c r="A171" s="7" t="inlineStr">
        <is>
          <t>Resource 08</t>
        </is>
      </c>
      <c r="B171" s="7" t="inlineStr">
        <is>
          <t>Architect</t>
        </is>
      </c>
      <c r="C171" s="7" t="inlineStr">
        <is>
          <t>Project Manager</t>
        </is>
      </c>
      <c r="D171" s="7" t="inlineStr">
        <is>
          <t>PRJ013</t>
        </is>
      </c>
      <c r="E171" s="7" t="inlineStr">
        <is>
          <t>API Gateway</t>
        </is>
      </c>
      <c r="F171" s="8" t="n">
        <v>46082</v>
      </c>
      <c r="G171" s="7" t="n">
        <v>25</v>
      </c>
      <c r="H171" s="7" t="n">
        <v>100</v>
      </c>
    </row>
    <row r="172" ht="15" customHeight="1" s="5">
      <c r="A172" s="7" t="inlineStr">
        <is>
          <t>Resource 08</t>
        </is>
      </c>
      <c r="B172" s="7" t="inlineStr">
        <is>
          <t>Architect</t>
        </is>
      </c>
      <c r="C172" s="7" t="inlineStr">
        <is>
          <t>Project Manager</t>
        </is>
      </c>
      <c r="D172" s="7" t="inlineStr">
        <is>
          <t>PRJ013</t>
        </is>
      </c>
      <c r="E172" s="7" t="inlineStr">
        <is>
          <t>API Gateway</t>
        </is>
      </c>
      <c r="F172" s="8" t="n">
        <v>46113</v>
      </c>
      <c r="G172" s="7" t="n">
        <v>60</v>
      </c>
      <c r="H172" s="7" t="n">
        <v>100</v>
      </c>
    </row>
    <row r="173" ht="15" customHeight="1" s="5">
      <c r="A173" s="7" t="inlineStr">
        <is>
          <t>Resource 08</t>
        </is>
      </c>
      <c r="B173" s="7" t="inlineStr">
        <is>
          <t>Architect</t>
        </is>
      </c>
      <c r="C173" s="7" t="inlineStr">
        <is>
          <t>Project Manager</t>
        </is>
      </c>
      <c r="D173" s="7" t="inlineStr">
        <is>
          <t>PRJ013</t>
        </is>
      </c>
      <c r="E173" s="7" t="inlineStr">
        <is>
          <t>API Gateway</t>
        </is>
      </c>
      <c r="F173" s="8" t="n">
        <v>46143</v>
      </c>
      <c r="G173" s="7" t="n">
        <v>50</v>
      </c>
      <c r="H173" s="7" t="n">
        <v>100</v>
      </c>
    </row>
    <row r="174" ht="15" customHeight="1" s="5">
      <c r="A174" s="7" t="inlineStr">
        <is>
          <t>Resource 08</t>
        </is>
      </c>
      <c r="B174" s="7" t="inlineStr">
        <is>
          <t>Architect</t>
        </is>
      </c>
      <c r="C174" s="7" t="inlineStr">
        <is>
          <t>Project Manager</t>
        </is>
      </c>
      <c r="D174" s="7" t="inlineStr">
        <is>
          <t>PRJ013</t>
        </is>
      </c>
      <c r="E174" s="7" t="inlineStr">
        <is>
          <t>API Gateway</t>
        </is>
      </c>
      <c r="F174" s="8" t="n">
        <v>46174</v>
      </c>
      <c r="G174" s="7" t="n">
        <v>65</v>
      </c>
      <c r="H174" s="7" t="n">
        <v>100</v>
      </c>
    </row>
    <row r="175" ht="15" customHeight="1" s="5">
      <c r="A175" s="7" t="inlineStr">
        <is>
          <t>Resource 08</t>
        </is>
      </c>
      <c r="B175" s="7" t="inlineStr">
        <is>
          <t>Architect</t>
        </is>
      </c>
      <c r="C175" s="7" t="inlineStr">
        <is>
          <t>Project Manager</t>
        </is>
      </c>
      <c r="D175" s="7" t="inlineStr">
        <is>
          <t>PRJ013</t>
        </is>
      </c>
      <c r="E175" s="7" t="inlineStr">
        <is>
          <t>API Gateway</t>
        </is>
      </c>
      <c r="F175" s="8" t="n">
        <v>46204</v>
      </c>
      <c r="G175" s="7" t="n">
        <v>65</v>
      </c>
      <c r="H175" s="7" t="n">
        <v>100</v>
      </c>
    </row>
    <row r="176" ht="15" customHeight="1" s="5">
      <c r="A176" s="7" t="inlineStr">
        <is>
          <t>Resource 08</t>
        </is>
      </c>
      <c r="B176" s="7" t="inlineStr">
        <is>
          <t>Architect</t>
        </is>
      </c>
      <c r="C176" s="7" t="inlineStr">
        <is>
          <t>Project Manager</t>
        </is>
      </c>
      <c r="D176" s="7" t="inlineStr">
        <is>
          <t>PRJ013</t>
        </is>
      </c>
      <c r="E176" s="7" t="inlineStr">
        <is>
          <t>API Gateway</t>
        </is>
      </c>
      <c r="F176" s="8" t="n">
        <v>46235</v>
      </c>
      <c r="G176" s="7" t="n">
        <v>25</v>
      </c>
      <c r="H176" s="7" t="n">
        <v>100</v>
      </c>
    </row>
    <row r="177" ht="15" customHeight="1" s="5">
      <c r="A177" s="7" t="inlineStr">
        <is>
          <t>Resource 08</t>
        </is>
      </c>
      <c r="B177" s="7" t="inlineStr">
        <is>
          <t>Architect</t>
        </is>
      </c>
      <c r="C177" s="7" t="inlineStr">
        <is>
          <t>Project Manager</t>
        </is>
      </c>
      <c r="D177" s="7" t="inlineStr">
        <is>
          <t>PRJ013</t>
        </is>
      </c>
      <c r="E177" s="7" t="inlineStr">
        <is>
          <t>API Gateway</t>
        </is>
      </c>
      <c r="F177" s="8" t="n">
        <v>46266</v>
      </c>
      <c r="G177" s="7" t="n">
        <v>60</v>
      </c>
      <c r="H177" s="7" t="n">
        <v>100</v>
      </c>
    </row>
    <row r="178" ht="15" customHeight="1" s="5">
      <c r="A178" s="7" t="inlineStr">
        <is>
          <t>Resource 08</t>
        </is>
      </c>
      <c r="B178" s="7" t="inlineStr">
        <is>
          <t>Architect</t>
        </is>
      </c>
      <c r="C178" s="7" t="inlineStr">
        <is>
          <t>Project Manager</t>
        </is>
      </c>
      <c r="D178" s="7" t="inlineStr">
        <is>
          <t>PRJ013</t>
        </is>
      </c>
      <c r="E178" s="7" t="inlineStr">
        <is>
          <t>API Gateway</t>
        </is>
      </c>
      <c r="F178" s="8" t="n">
        <v>46296</v>
      </c>
      <c r="G178" s="7" t="n">
        <v>50</v>
      </c>
      <c r="H178" s="7" t="n">
        <v>100</v>
      </c>
    </row>
    <row r="179" ht="15" customHeight="1" s="5">
      <c r="A179" s="7" t="inlineStr">
        <is>
          <t>Resource 08</t>
        </is>
      </c>
      <c r="B179" s="7" t="inlineStr">
        <is>
          <t>Architect</t>
        </is>
      </c>
      <c r="C179" s="7" t="inlineStr">
        <is>
          <t>Project Manager</t>
        </is>
      </c>
      <c r="D179" s="7" t="inlineStr">
        <is>
          <t>PRJ013</t>
        </is>
      </c>
      <c r="E179" s="7" t="inlineStr">
        <is>
          <t>API Gateway</t>
        </is>
      </c>
      <c r="F179" s="8" t="n">
        <v>46327</v>
      </c>
      <c r="G179" s="7" t="n">
        <v>40</v>
      </c>
      <c r="H179" s="7" t="n">
        <v>100</v>
      </c>
    </row>
    <row r="180" ht="15" customHeight="1" s="5">
      <c r="A180" s="7" t="inlineStr">
        <is>
          <t>Resource 08</t>
        </is>
      </c>
      <c r="B180" s="7" t="inlineStr">
        <is>
          <t>Architect</t>
        </is>
      </c>
      <c r="C180" s="7" t="inlineStr">
        <is>
          <t>Project Manager</t>
        </is>
      </c>
      <c r="D180" s="7" t="inlineStr">
        <is>
          <t>PRJ013</t>
        </is>
      </c>
      <c r="E180" s="7" t="inlineStr">
        <is>
          <t>API Gateway</t>
        </is>
      </c>
      <c r="F180" s="8" t="n">
        <v>46357</v>
      </c>
      <c r="G180" s="7" t="n">
        <v>50</v>
      </c>
      <c r="H180" s="7" t="n">
        <v>100</v>
      </c>
    </row>
    <row r="181" ht="15" customHeight="1" s="5">
      <c r="A181" s="7" t="inlineStr">
        <is>
          <t>Resource 08</t>
        </is>
      </c>
      <c r="B181" s="7" t="inlineStr">
        <is>
          <t>Architect</t>
        </is>
      </c>
      <c r="C181" s="7" t="inlineStr">
        <is>
          <t>Project Manager</t>
        </is>
      </c>
      <c r="D181" s="7" t="inlineStr">
        <is>
          <t>PRJ013</t>
        </is>
      </c>
      <c r="E181" s="7" t="inlineStr">
        <is>
          <t>API Gateway</t>
        </is>
      </c>
      <c r="F181" s="8" t="n">
        <v>46388</v>
      </c>
      <c r="G181" s="7" t="n">
        <v>50</v>
      </c>
      <c r="H181" s="7" t="n">
        <v>100</v>
      </c>
    </row>
    <row r="182" ht="15" customHeight="1" s="5">
      <c r="A182" s="7" t="inlineStr">
        <is>
          <t>Resource 08</t>
        </is>
      </c>
      <c r="B182" s="7" t="inlineStr">
        <is>
          <t>Architect</t>
        </is>
      </c>
      <c r="C182" s="7" t="inlineStr">
        <is>
          <t>Project Manager</t>
        </is>
      </c>
      <c r="D182" s="7" t="inlineStr">
        <is>
          <t>PRJ013</t>
        </is>
      </c>
      <c r="E182" s="7" t="inlineStr">
        <is>
          <t>API Gateway</t>
        </is>
      </c>
      <c r="F182" s="8" t="n">
        <v>46419</v>
      </c>
      <c r="G182" s="7" t="n">
        <v>60</v>
      </c>
      <c r="H182" s="7" t="n">
        <v>100</v>
      </c>
    </row>
    <row r="183" ht="15" customHeight="1" s="5">
      <c r="A183" s="7" t="inlineStr">
        <is>
          <t>Resource 08</t>
        </is>
      </c>
      <c r="B183" s="7" t="inlineStr">
        <is>
          <t>Architect</t>
        </is>
      </c>
      <c r="C183" s="7" t="inlineStr">
        <is>
          <t>Project Manager</t>
        </is>
      </c>
      <c r="D183" s="7" t="inlineStr">
        <is>
          <t>PRJ013</t>
        </is>
      </c>
      <c r="E183" s="7" t="inlineStr">
        <is>
          <t>API Gateway</t>
        </is>
      </c>
      <c r="F183" s="8" t="n">
        <v>46447</v>
      </c>
      <c r="G183" s="7" t="n">
        <v>60</v>
      </c>
      <c r="H183" s="7" t="n">
        <v>100</v>
      </c>
    </row>
    <row r="184" ht="15" customHeight="1" s="5">
      <c r="A184" s="7" t="inlineStr">
        <is>
          <t>Resource 09</t>
        </is>
      </c>
      <c r="B184" s="7" t="inlineStr">
        <is>
          <t>Architect</t>
        </is>
      </c>
      <c r="C184" s="7" t="inlineStr">
        <is>
          <t>Project Manager</t>
        </is>
      </c>
      <c r="D184" s="7" t="inlineStr">
        <is>
          <t>PRJ024</t>
        </is>
      </c>
      <c r="E184" s="7" t="inlineStr">
        <is>
          <t>Process Mining</t>
        </is>
      </c>
      <c r="F184" s="8" t="n">
        <v>45992</v>
      </c>
      <c r="G184" s="7" t="n">
        <v>90</v>
      </c>
      <c r="H184" s="7" t="n">
        <v>100</v>
      </c>
    </row>
    <row r="185" ht="15" customHeight="1" s="5">
      <c r="A185" s="7" t="inlineStr">
        <is>
          <t>Resource 09</t>
        </is>
      </c>
      <c r="B185" s="7" t="inlineStr">
        <is>
          <t>Architect</t>
        </is>
      </c>
      <c r="C185" s="7" t="inlineStr">
        <is>
          <t>Project Manager</t>
        </is>
      </c>
      <c r="D185" s="7" t="inlineStr">
        <is>
          <t>PRJ024</t>
        </is>
      </c>
      <c r="E185" s="7" t="inlineStr">
        <is>
          <t>Process Mining</t>
        </is>
      </c>
      <c r="F185" s="8" t="n">
        <v>46023</v>
      </c>
      <c r="G185" s="7" t="n">
        <v>100</v>
      </c>
      <c r="H185" s="7" t="n">
        <v>100</v>
      </c>
    </row>
    <row r="186" ht="15" customHeight="1" s="5">
      <c r="A186" s="7" t="inlineStr">
        <is>
          <t>Resource 09</t>
        </is>
      </c>
      <c r="B186" s="7" t="inlineStr">
        <is>
          <t>Architect</t>
        </is>
      </c>
      <c r="C186" s="7" t="inlineStr">
        <is>
          <t>Project Manager</t>
        </is>
      </c>
      <c r="D186" s="7" t="inlineStr">
        <is>
          <t>PRJ024</t>
        </is>
      </c>
      <c r="E186" s="7" t="inlineStr">
        <is>
          <t>Process Mining</t>
        </is>
      </c>
      <c r="F186" s="8" t="n">
        <v>46054</v>
      </c>
      <c r="G186" s="7" t="n">
        <v>100</v>
      </c>
      <c r="H186" s="7" t="n">
        <v>100</v>
      </c>
    </row>
    <row r="187" ht="15" customHeight="1" s="5">
      <c r="A187" s="7" t="inlineStr">
        <is>
          <t>Resource 09</t>
        </is>
      </c>
      <c r="B187" s="7" t="inlineStr">
        <is>
          <t>Architect</t>
        </is>
      </c>
      <c r="C187" s="7" t="inlineStr">
        <is>
          <t>Project Manager</t>
        </is>
      </c>
      <c r="D187" s="7" t="inlineStr">
        <is>
          <t>PRJ024</t>
        </is>
      </c>
      <c r="E187" s="7" t="inlineStr">
        <is>
          <t>Process Mining</t>
        </is>
      </c>
      <c r="F187" s="8" t="n">
        <v>46082</v>
      </c>
      <c r="G187" s="7" t="n">
        <v>100</v>
      </c>
      <c r="H187" s="7" t="n">
        <v>100</v>
      </c>
    </row>
    <row r="188" ht="15" customHeight="1" s="5">
      <c r="A188" s="7" t="inlineStr">
        <is>
          <t>Resource 09</t>
        </is>
      </c>
      <c r="B188" s="7" t="inlineStr">
        <is>
          <t>Architect</t>
        </is>
      </c>
      <c r="C188" s="7" t="inlineStr">
        <is>
          <t>Project Manager</t>
        </is>
      </c>
      <c r="D188" s="7" t="inlineStr">
        <is>
          <t>PRJ024</t>
        </is>
      </c>
      <c r="E188" s="7" t="inlineStr">
        <is>
          <t>Process Mining</t>
        </is>
      </c>
      <c r="F188" s="8" t="n">
        <v>46113</v>
      </c>
      <c r="G188" s="7" t="n">
        <v>100</v>
      </c>
      <c r="H188" s="7" t="n">
        <v>100</v>
      </c>
    </row>
    <row r="189" ht="15" customHeight="1" s="5">
      <c r="A189" s="7" t="inlineStr">
        <is>
          <t>Resource 09</t>
        </is>
      </c>
      <c r="B189" s="7" t="inlineStr">
        <is>
          <t>Architect</t>
        </is>
      </c>
      <c r="C189" s="7" t="inlineStr">
        <is>
          <t>Project Manager</t>
        </is>
      </c>
      <c r="D189" s="7" t="inlineStr">
        <is>
          <t>PRJ024</t>
        </is>
      </c>
      <c r="E189" s="7" t="inlineStr">
        <is>
          <t>Process Mining</t>
        </is>
      </c>
      <c r="F189" s="8" t="n">
        <v>46143</v>
      </c>
      <c r="G189" s="7" t="n">
        <v>100</v>
      </c>
      <c r="H189" s="7" t="n">
        <v>100</v>
      </c>
    </row>
    <row r="190" ht="15" customHeight="1" s="5">
      <c r="A190" s="7" t="inlineStr">
        <is>
          <t>Resource 09</t>
        </is>
      </c>
      <c r="B190" s="7" t="inlineStr">
        <is>
          <t>Architect</t>
        </is>
      </c>
      <c r="C190" s="7" t="inlineStr">
        <is>
          <t>Project Manager</t>
        </is>
      </c>
      <c r="D190" s="7" t="inlineStr">
        <is>
          <t>PRJ024</t>
        </is>
      </c>
      <c r="E190" s="7" t="inlineStr">
        <is>
          <t>Process Mining</t>
        </is>
      </c>
      <c r="F190" s="8" t="n">
        <v>46174</v>
      </c>
      <c r="G190" s="7" t="n">
        <v>75</v>
      </c>
      <c r="H190" s="7" t="n">
        <v>100</v>
      </c>
    </row>
    <row r="191" ht="15" customHeight="1" s="5">
      <c r="A191" s="7" t="inlineStr">
        <is>
          <t>Resource 09</t>
        </is>
      </c>
      <c r="B191" s="7" t="inlineStr">
        <is>
          <t>Architect</t>
        </is>
      </c>
      <c r="C191" s="7" t="inlineStr">
        <is>
          <t>Project Manager</t>
        </is>
      </c>
      <c r="D191" s="7" t="inlineStr">
        <is>
          <t>PRJ024</t>
        </is>
      </c>
      <c r="E191" s="7" t="inlineStr">
        <is>
          <t>Process Mining</t>
        </is>
      </c>
      <c r="F191" s="8" t="n">
        <v>46204</v>
      </c>
      <c r="G191" s="7" t="n">
        <v>100</v>
      </c>
      <c r="H191" s="7" t="n">
        <v>100</v>
      </c>
    </row>
    <row r="192" ht="15" customHeight="1" s="5">
      <c r="A192" s="7" t="inlineStr">
        <is>
          <t>Resource 09</t>
        </is>
      </c>
      <c r="B192" s="7" t="inlineStr">
        <is>
          <t>Architect</t>
        </is>
      </c>
      <c r="C192" s="7" t="inlineStr">
        <is>
          <t>Project Manager</t>
        </is>
      </c>
      <c r="D192" s="7" t="inlineStr">
        <is>
          <t>PRJ024</t>
        </is>
      </c>
      <c r="E192" s="7" t="inlineStr">
        <is>
          <t>Process Mining</t>
        </is>
      </c>
      <c r="F192" s="8" t="n">
        <v>46235</v>
      </c>
      <c r="G192" s="7" t="n">
        <v>100</v>
      </c>
      <c r="H192" s="7" t="n">
        <v>100</v>
      </c>
    </row>
    <row r="193" ht="15" customHeight="1" s="5">
      <c r="A193" s="7" t="inlineStr">
        <is>
          <t>Resource 09</t>
        </is>
      </c>
      <c r="B193" s="7" t="inlineStr">
        <is>
          <t>Architect</t>
        </is>
      </c>
      <c r="C193" s="7" t="inlineStr">
        <is>
          <t>Project Manager</t>
        </is>
      </c>
      <c r="D193" s="7" t="inlineStr">
        <is>
          <t>PRJ024</t>
        </is>
      </c>
      <c r="E193" s="7" t="inlineStr">
        <is>
          <t>Process Mining</t>
        </is>
      </c>
      <c r="F193" s="8" t="n">
        <v>46266</v>
      </c>
      <c r="G193" s="7" t="n">
        <v>100</v>
      </c>
      <c r="H193" s="7" t="n">
        <v>100</v>
      </c>
    </row>
    <row r="194" ht="15" customHeight="1" s="5">
      <c r="A194" s="7" t="inlineStr">
        <is>
          <t>Resource 09</t>
        </is>
      </c>
      <c r="B194" s="7" t="inlineStr">
        <is>
          <t>Architect</t>
        </is>
      </c>
      <c r="C194" s="7" t="inlineStr">
        <is>
          <t>Project Manager</t>
        </is>
      </c>
      <c r="D194" s="7" t="inlineStr">
        <is>
          <t>PRJ024</t>
        </is>
      </c>
      <c r="E194" s="7" t="inlineStr">
        <is>
          <t>Process Mining</t>
        </is>
      </c>
      <c r="F194" s="8" t="n">
        <v>46296</v>
      </c>
      <c r="G194" s="7" t="n">
        <v>100</v>
      </c>
      <c r="H194" s="7" t="n">
        <v>100</v>
      </c>
    </row>
    <row r="195" ht="15" customHeight="1" s="5">
      <c r="A195" s="7" t="inlineStr">
        <is>
          <t>Resource 09</t>
        </is>
      </c>
      <c r="B195" s="7" t="inlineStr">
        <is>
          <t>Architect</t>
        </is>
      </c>
      <c r="C195" s="7" t="inlineStr">
        <is>
          <t>Project Manager</t>
        </is>
      </c>
      <c r="D195" s="7" t="inlineStr">
        <is>
          <t>PRJ024</t>
        </is>
      </c>
      <c r="E195" s="7" t="inlineStr">
        <is>
          <t>Process Mining</t>
        </is>
      </c>
      <c r="F195" s="8" t="n">
        <v>46327</v>
      </c>
      <c r="G195" s="7" t="n">
        <v>100</v>
      </c>
      <c r="H195" s="7" t="n">
        <v>100</v>
      </c>
    </row>
    <row r="196" ht="15" customHeight="1" s="5">
      <c r="A196" s="7" t="inlineStr">
        <is>
          <t>Resource 09</t>
        </is>
      </c>
      <c r="B196" s="7" t="inlineStr">
        <is>
          <t>Architect</t>
        </is>
      </c>
      <c r="C196" s="7" t="inlineStr">
        <is>
          <t>Project Manager</t>
        </is>
      </c>
      <c r="D196" s="7" t="inlineStr">
        <is>
          <t>PRJ024</t>
        </is>
      </c>
      <c r="E196" s="7" t="inlineStr">
        <is>
          <t>Process Mining</t>
        </is>
      </c>
      <c r="F196" s="8" t="n">
        <v>46357</v>
      </c>
      <c r="G196" s="7" t="n">
        <v>100</v>
      </c>
      <c r="H196" s="7" t="n">
        <v>100</v>
      </c>
    </row>
    <row r="197" ht="15" customHeight="1" s="5">
      <c r="A197" s="7" t="inlineStr">
        <is>
          <t>Resource 09</t>
        </is>
      </c>
      <c r="B197" s="7" t="inlineStr">
        <is>
          <t>Architect</t>
        </is>
      </c>
      <c r="C197" s="7" t="inlineStr">
        <is>
          <t>Project Manager</t>
        </is>
      </c>
      <c r="D197" s="7" t="inlineStr">
        <is>
          <t>PRJ024</t>
        </is>
      </c>
      <c r="E197" s="7" t="inlineStr">
        <is>
          <t>Process Mining</t>
        </is>
      </c>
      <c r="F197" s="8" t="n">
        <v>46388</v>
      </c>
      <c r="G197" s="7" t="n">
        <v>75</v>
      </c>
      <c r="H197" s="7" t="n">
        <v>100</v>
      </c>
    </row>
    <row r="198" ht="15" customHeight="1" s="5">
      <c r="A198" s="7" t="inlineStr">
        <is>
          <t>Resource 09</t>
        </is>
      </c>
      <c r="B198" s="7" t="inlineStr">
        <is>
          <t>Architect</t>
        </is>
      </c>
      <c r="C198" s="7" t="inlineStr">
        <is>
          <t>Project Manager</t>
        </is>
      </c>
      <c r="D198" s="7" t="inlineStr">
        <is>
          <t>PRJ014</t>
        </is>
      </c>
      <c r="E198" s="7" t="inlineStr">
        <is>
          <t>Identity Mgmt</t>
        </is>
      </c>
      <c r="F198" s="8" t="n">
        <v>45689</v>
      </c>
      <c r="G198" s="7" t="n">
        <v>100</v>
      </c>
      <c r="H198" s="7" t="n">
        <v>100</v>
      </c>
    </row>
    <row r="199" ht="15" customHeight="1" s="5">
      <c r="A199" s="7" t="inlineStr">
        <is>
          <t>Resource 09</t>
        </is>
      </c>
      <c r="B199" s="7" t="inlineStr">
        <is>
          <t>Architect</t>
        </is>
      </c>
      <c r="C199" s="7" t="inlineStr">
        <is>
          <t>Project Manager</t>
        </is>
      </c>
      <c r="D199" s="7" t="inlineStr">
        <is>
          <t>PRJ014</t>
        </is>
      </c>
      <c r="E199" s="7" t="inlineStr">
        <is>
          <t>Identity Mgmt</t>
        </is>
      </c>
      <c r="F199" s="8" t="n">
        <v>45717</v>
      </c>
      <c r="G199" s="7" t="n">
        <v>100</v>
      </c>
      <c r="H199" s="7" t="n">
        <v>100</v>
      </c>
    </row>
    <row r="200" ht="15" customHeight="1" s="5">
      <c r="A200" s="7" t="inlineStr">
        <is>
          <t>Resource 09</t>
        </is>
      </c>
      <c r="B200" s="7" t="inlineStr">
        <is>
          <t>Architect</t>
        </is>
      </c>
      <c r="C200" s="7" t="inlineStr">
        <is>
          <t>Project Manager</t>
        </is>
      </c>
      <c r="D200" s="7" t="inlineStr">
        <is>
          <t>PRJ014</t>
        </is>
      </c>
      <c r="E200" s="7" t="inlineStr">
        <is>
          <t>Identity Mgmt</t>
        </is>
      </c>
      <c r="F200" s="8" t="n">
        <v>45748</v>
      </c>
      <c r="G200" s="7" t="n">
        <v>100</v>
      </c>
      <c r="H200" s="7" t="n">
        <v>100</v>
      </c>
    </row>
    <row r="201" ht="15" customHeight="1" s="5">
      <c r="A201" s="7" t="inlineStr">
        <is>
          <t>Resource 09</t>
        </is>
      </c>
      <c r="B201" s="7" t="inlineStr">
        <is>
          <t>Architect</t>
        </is>
      </c>
      <c r="C201" s="7" t="inlineStr">
        <is>
          <t>Project Manager</t>
        </is>
      </c>
      <c r="D201" s="7" t="inlineStr">
        <is>
          <t>PRJ014</t>
        </is>
      </c>
      <c r="E201" s="7" t="inlineStr">
        <is>
          <t>Identity Mgmt</t>
        </is>
      </c>
      <c r="F201" s="8" t="n">
        <v>45778</v>
      </c>
      <c r="G201" s="7" t="n">
        <v>100</v>
      </c>
      <c r="H201" s="7" t="n">
        <v>100</v>
      </c>
    </row>
    <row r="202" ht="15" customHeight="1" s="5">
      <c r="A202" s="7" t="inlineStr">
        <is>
          <t>Resource 09</t>
        </is>
      </c>
      <c r="B202" s="7" t="inlineStr">
        <is>
          <t>Architect</t>
        </is>
      </c>
      <c r="C202" s="7" t="inlineStr">
        <is>
          <t>Project Manager</t>
        </is>
      </c>
      <c r="D202" s="7" t="inlineStr">
        <is>
          <t>PRJ014</t>
        </is>
      </c>
      <c r="E202" s="7" t="inlineStr">
        <is>
          <t>Identity Mgmt</t>
        </is>
      </c>
      <c r="F202" s="8" t="n">
        <v>45809</v>
      </c>
      <c r="G202" s="7" t="n">
        <v>90</v>
      </c>
      <c r="H202" s="7" t="n">
        <v>100</v>
      </c>
    </row>
    <row r="203" ht="15" customHeight="1" s="5">
      <c r="A203" s="7" t="inlineStr">
        <is>
          <t>Resource 09</t>
        </is>
      </c>
      <c r="B203" s="7" t="inlineStr">
        <is>
          <t>Architect</t>
        </is>
      </c>
      <c r="C203" s="7" t="inlineStr">
        <is>
          <t>Project Manager</t>
        </is>
      </c>
      <c r="D203" s="7" t="inlineStr">
        <is>
          <t>PRJ014</t>
        </is>
      </c>
      <c r="E203" s="7" t="inlineStr">
        <is>
          <t>Identity Mgmt</t>
        </is>
      </c>
      <c r="F203" s="8" t="n">
        <v>45839</v>
      </c>
      <c r="G203" s="7" t="n">
        <v>100</v>
      </c>
      <c r="H203" s="7" t="n">
        <v>100</v>
      </c>
    </row>
    <row r="204" ht="15" customHeight="1" s="5">
      <c r="A204" s="7" t="inlineStr">
        <is>
          <t>Resource 09</t>
        </is>
      </c>
      <c r="B204" s="7" t="inlineStr">
        <is>
          <t>Architect</t>
        </is>
      </c>
      <c r="C204" s="7" t="inlineStr">
        <is>
          <t>Project Manager</t>
        </is>
      </c>
      <c r="D204" s="7" t="inlineStr">
        <is>
          <t>PRJ014</t>
        </is>
      </c>
      <c r="E204" s="7" t="inlineStr">
        <is>
          <t>Identity Mgmt</t>
        </is>
      </c>
      <c r="F204" s="8" t="n">
        <v>45870</v>
      </c>
      <c r="G204" s="7" t="n">
        <v>100</v>
      </c>
      <c r="H204" s="7" t="n">
        <v>100</v>
      </c>
    </row>
    <row r="205" ht="15" customHeight="1" s="5">
      <c r="A205" s="7" t="inlineStr">
        <is>
          <t>Resource 09</t>
        </is>
      </c>
      <c r="B205" s="7" t="inlineStr">
        <is>
          <t>Architect</t>
        </is>
      </c>
      <c r="C205" s="7" t="inlineStr">
        <is>
          <t>Project Manager</t>
        </is>
      </c>
      <c r="D205" s="7" t="inlineStr">
        <is>
          <t>PRJ014</t>
        </is>
      </c>
      <c r="E205" s="7" t="inlineStr">
        <is>
          <t>Identity Mgmt</t>
        </is>
      </c>
      <c r="F205" s="8" t="n">
        <v>45901</v>
      </c>
      <c r="G205" s="7" t="n">
        <v>100</v>
      </c>
      <c r="H205" s="7" t="n">
        <v>100</v>
      </c>
    </row>
    <row r="206" ht="15" customHeight="1" s="5">
      <c r="A206" s="7" t="inlineStr">
        <is>
          <t>Resource 09</t>
        </is>
      </c>
      <c r="B206" s="7" t="inlineStr">
        <is>
          <t>Architect</t>
        </is>
      </c>
      <c r="C206" s="7" t="inlineStr">
        <is>
          <t>Project Manager</t>
        </is>
      </c>
      <c r="D206" s="7" t="inlineStr">
        <is>
          <t>PRJ014</t>
        </is>
      </c>
      <c r="E206" s="7" t="inlineStr">
        <is>
          <t>Identity Mgmt</t>
        </is>
      </c>
      <c r="F206" s="8" t="n">
        <v>45931</v>
      </c>
      <c r="G206" s="7" t="n">
        <v>100</v>
      </c>
      <c r="H206" s="7" t="n">
        <v>100</v>
      </c>
    </row>
    <row r="207" ht="15" customHeight="1" s="5">
      <c r="A207" s="7" t="inlineStr">
        <is>
          <t>Resource 09</t>
        </is>
      </c>
      <c r="B207" s="7" t="inlineStr">
        <is>
          <t>Architect</t>
        </is>
      </c>
      <c r="C207" s="7" t="inlineStr">
        <is>
          <t>Project Manager</t>
        </is>
      </c>
      <c r="D207" s="7" t="inlineStr">
        <is>
          <t>PRJ014</t>
        </is>
      </c>
      <c r="E207" s="7" t="inlineStr">
        <is>
          <t>Identity Mgmt</t>
        </is>
      </c>
      <c r="F207" s="8" t="n">
        <v>45962</v>
      </c>
      <c r="G207" s="7" t="n">
        <v>90</v>
      </c>
      <c r="H207" s="7" t="n">
        <v>100</v>
      </c>
    </row>
    <row r="208" ht="15" customHeight="1" s="5">
      <c r="A208" s="7" t="inlineStr">
        <is>
          <t>Resource 09</t>
        </is>
      </c>
      <c r="B208" s="7" t="inlineStr">
        <is>
          <t>Architect</t>
        </is>
      </c>
      <c r="C208" s="7" t="inlineStr">
        <is>
          <t>Project Manager</t>
        </is>
      </c>
      <c r="D208" s="7" t="inlineStr">
        <is>
          <t>PRJ014</t>
        </is>
      </c>
      <c r="E208" s="7" t="inlineStr">
        <is>
          <t>Identity Mgmt</t>
        </is>
      </c>
      <c r="F208" s="8" t="n">
        <v>45992</v>
      </c>
      <c r="G208" s="7" t="n">
        <v>100</v>
      </c>
      <c r="H208" s="7" t="n">
        <v>100</v>
      </c>
    </row>
    <row r="209" ht="15" customHeight="1" s="5">
      <c r="A209" s="7" t="inlineStr">
        <is>
          <t>Resource 09</t>
        </is>
      </c>
      <c r="B209" s="7" t="inlineStr">
        <is>
          <t>Architect</t>
        </is>
      </c>
      <c r="C209" s="7" t="inlineStr">
        <is>
          <t>Project Manager</t>
        </is>
      </c>
      <c r="D209" s="7" t="inlineStr">
        <is>
          <t>PRJ014</t>
        </is>
      </c>
      <c r="E209" s="7" t="inlineStr">
        <is>
          <t>Identity Mgmt</t>
        </is>
      </c>
      <c r="F209" s="8" t="n">
        <v>46023</v>
      </c>
      <c r="G209" s="7" t="n">
        <v>100</v>
      </c>
      <c r="H209" s="7" t="n">
        <v>100</v>
      </c>
    </row>
    <row r="210" ht="15" customHeight="1" s="5">
      <c r="A210" s="7" t="inlineStr">
        <is>
          <t>Resource 09</t>
        </is>
      </c>
      <c r="B210" s="7" t="inlineStr">
        <is>
          <t>Architect</t>
        </is>
      </c>
      <c r="C210" s="7" t="inlineStr">
        <is>
          <t>Project Manager</t>
        </is>
      </c>
      <c r="D210" s="7" t="inlineStr">
        <is>
          <t>PRJ014</t>
        </is>
      </c>
      <c r="E210" s="7" t="inlineStr">
        <is>
          <t>Identity Mgmt</t>
        </is>
      </c>
      <c r="F210" s="8" t="n">
        <v>46054</v>
      </c>
      <c r="G210" s="7" t="n">
        <v>75</v>
      </c>
      <c r="H210" s="7" t="n">
        <v>100</v>
      </c>
    </row>
    <row r="211" ht="15" customHeight="1" s="5">
      <c r="A211" s="7" t="inlineStr">
        <is>
          <t>Resource 09</t>
        </is>
      </c>
      <c r="B211" s="7" t="inlineStr">
        <is>
          <t>Architect</t>
        </is>
      </c>
      <c r="C211" s="7" t="inlineStr">
        <is>
          <t>Project Manager</t>
        </is>
      </c>
      <c r="D211" s="7" t="inlineStr">
        <is>
          <t>PRJ014</t>
        </is>
      </c>
      <c r="E211" s="7" t="inlineStr">
        <is>
          <t>Identity Mgmt</t>
        </is>
      </c>
      <c r="F211" s="8" t="n">
        <v>46082</v>
      </c>
      <c r="G211" s="7" t="n">
        <v>90</v>
      </c>
      <c r="H211" s="7" t="n">
        <v>100</v>
      </c>
    </row>
    <row r="212" ht="15" customHeight="1" s="5">
      <c r="A212" s="7" t="inlineStr">
        <is>
          <t>Resource 09</t>
        </is>
      </c>
      <c r="B212" s="7" t="inlineStr">
        <is>
          <t>Architect</t>
        </is>
      </c>
      <c r="C212" s="7" t="inlineStr">
        <is>
          <t>Project Manager</t>
        </is>
      </c>
      <c r="D212" s="7" t="inlineStr">
        <is>
          <t>PRJ014</t>
        </is>
      </c>
      <c r="E212" s="7" t="inlineStr">
        <is>
          <t>Identity Mgmt</t>
        </is>
      </c>
      <c r="F212" s="8" t="n">
        <v>45689</v>
      </c>
      <c r="G212" s="7" t="n">
        <v>75</v>
      </c>
      <c r="H212" s="7" t="n">
        <v>100</v>
      </c>
    </row>
    <row r="213" ht="15" customHeight="1" s="5">
      <c r="A213" s="7" t="inlineStr">
        <is>
          <t>Resource 09</t>
        </is>
      </c>
      <c r="B213" s="7" t="inlineStr">
        <is>
          <t>Architect</t>
        </is>
      </c>
      <c r="C213" s="7" t="inlineStr">
        <is>
          <t>Project Manager</t>
        </is>
      </c>
      <c r="D213" s="7" t="inlineStr">
        <is>
          <t>PRJ014</t>
        </is>
      </c>
      <c r="E213" s="7" t="inlineStr">
        <is>
          <t>Identity Mgmt</t>
        </is>
      </c>
      <c r="F213" s="8" t="n">
        <v>45717</v>
      </c>
      <c r="G213" s="7" t="n">
        <v>85</v>
      </c>
      <c r="H213" s="7" t="n">
        <v>100</v>
      </c>
    </row>
    <row r="214" ht="15" customHeight="1" s="5">
      <c r="A214" s="7" t="inlineStr">
        <is>
          <t>Resource 09</t>
        </is>
      </c>
      <c r="B214" s="7" t="inlineStr">
        <is>
          <t>Architect</t>
        </is>
      </c>
      <c r="C214" s="7" t="inlineStr">
        <is>
          <t>Project Manager</t>
        </is>
      </c>
      <c r="D214" s="7" t="inlineStr">
        <is>
          <t>PRJ014</t>
        </is>
      </c>
      <c r="E214" s="7" t="inlineStr">
        <is>
          <t>Identity Mgmt</t>
        </is>
      </c>
      <c r="F214" s="8" t="n">
        <v>45748</v>
      </c>
      <c r="G214" s="7" t="n">
        <v>75</v>
      </c>
      <c r="H214" s="7" t="n">
        <v>100</v>
      </c>
    </row>
    <row r="215" ht="15" customHeight="1" s="5">
      <c r="A215" s="7" t="inlineStr">
        <is>
          <t>Resource 09</t>
        </is>
      </c>
      <c r="B215" s="7" t="inlineStr">
        <is>
          <t>Architect</t>
        </is>
      </c>
      <c r="C215" s="7" t="inlineStr">
        <is>
          <t>Project Manager</t>
        </is>
      </c>
      <c r="D215" s="7" t="inlineStr">
        <is>
          <t>PRJ014</t>
        </is>
      </c>
      <c r="E215" s="7" t="inlineStr">
        <is>
          <t>Identity Mgmt</t>
        </is>
      </c>
      <c r="F215" s="8" t="n">
        <v>45778</v>
      </c>
      <c r="G215" s="7" t="n">
        <v>50</v>
      </c>
      <c r="H215" s="7" t="n">
        <v>100</v>
      </c>
    </row>
    <row r="216" ht="15" customHeight="1" s="5">
      <c r="A216" s="7" t="inlineStr">
        <is>
          <t>Resource 09</t>
        </is>
      </c>
      <c r="B216" s="7" t="inlineStr">
        <is>
          <t>Architect</t>
        </is>
      </c>
      <c r="C216" s="7" t="inlineStr">
        <is>
          <t>Project Manager</t>
        </is>
      </c>
      <c r="D216" s="7" t="inlineStr">
        <is>
          <t>PRJ014</t>
        </is>
      </c>
      <c r="E216" s="7" t="inlineStr">
        <is>
          <t>Identity Mgmt</t>
        </is>
      </c>
      <c r="F216" s="8" t="n">
        <v>45809</v>
      </c>
      <c r="G216" s="7" t="n">
        <v>85</v>
      </c>
      <c r="H216" s="7" t="n">
        <v>100</v>
      </c>
    </row>
    <row r="217" ht="15" customHeight="1" s="5">
      <c r="A217" s="7" t="inlineStr">
        <is>
          <t>Resource 09</t>
        </is>
      </c>
      <c r="B217" s="7" t="inlineStr">
        <is>
          <t>Architect</t>
        </is>
      </c>
      <c r="C217" s="7" t="inlineStr">
        <is>
          <t>Project Manager</t>
        </is>
      </c>
      <c r="D217" s="7" t="inlineStr">
        <is>
          <t>PRJ014</t>
        </is>
      </c>
      <c r="E217" s="7" t="inlineStr">
        <is>
          <t>Identity Mgmt</t>
        </is>
      </c>
      <c r="F217" s="8" t="n">
        <v>45839</v>
      </c>
      <c r="G217" s="7" t="n">
        <v>75</v>
      </c>
      <c r="H217" s="7" t="n">
        <v>100</v>
      </c>
    </row>
    <row r="218" ht="15" customHeight="1" s="5">
      <c r="A218" s="7" t="inlineStr">
        <is>
          <t>Resource 09</t>
        </is>
      </c>
      <c r="B218" s="7" t="inlineStr">
        <is>
          <t>Architect</t>
        </is>
      </c>
      <c r="C218" s="7" t="inlineStr">
        <is>
          <t>Project Manager</t>
        </is>
      </c>
      <c r="D218" s="7" t="inlineStr">
        <is>
          <t>PRJ014</t>
        </is>
      </c>
      <c r="E218" s="7" t="inlineStr">
        <is>
          <t>Identity Mgmt</t>
        </is>
      </c>
      <c r="F218" s="8" t="n">
        <v>45870</v>
      </c>
      <c r="G218" s="7" t="n">
        <v>50</v>
      </c>
      <c r="H218" s="7" t="n">
        <v>100</v>
      </c>
    </row>
    <row r="219" ht="15" customHeight="1" s="5">
      <c r="A219" s="7" t="inlineStr">
        <is>
          <t>Resource 09</t>
        </is>
      </c>
      <c r="B219" s="7" t="inlineStr">
        <is>
          <t>Architect</t>
        </is>
      </c>
      <c r="C219" s="7" t="inlineStr">
        <is>
          <t>Project Manager</t>
        </is>
      </c>
      <c r="D219" s="7" t="inlineStr">
        <is>
          <t>PRJ014</t>
        </is>
      </c>
      <c r="E219" s="7" t="inlineStr">
        <is>
          <t>Identity Mgmt</t>
        </is>
      </c>
      <c r="F219" s="8" t="n">
        <v>45901</v>
      </c>
      <c r="G219" s="7" t="n">
        <v>50</v>
      </c>
      <c r="H219" s="7" t="n">
        <v>100</v>
      </c>
    </row>
    <row r="220" ht="15" customHeight="1" s="5">
      <c r="A220" s="7" t="inlineStr">
        <is>
          <t>Resource 09</t>
        </is>
      </c>
      <c r="B220" s="7" t="inlineStr">
        <is>
          <t>Architect</t>
        </is>
      </c>
      <c r="C220" s="7" t="inlineStr">
        <is>
          <t>Project Manager</t>
        </is>
      </c>
      <c r="D220" s="7" t="inlineStr">
        <is>
          <t>PRJ014</t>
        </is>
      </c>
      <c r="E220" s="7" t="inlineStr">
        <is>
          <t>Identity Mgmt</t>
        </is>
      </c>
      <c r="F220" s="8" t="n">
        <v>45931</v>
      </c>
      <c r="G220" s="7" t="n">
        <v>75</v>
      </c>
      <c r="H220" s="7" t="n">
        <v>100</v>
      </c>
    </row>
    <row r="221" ht="15" customHeight="1" s="5">
      <c r="A221" s="7" t="inlineStr">
        <is>
          <t>Resource 09</t>
        </is>
      </c>
      <c r="B221" s="7" t="inlineStr">
        <is>
          <t>Architect</t>
        </is>
      </c>
      <c r="C221" s="7" t="inlineStr">
        <is>
          <t>Project Manager</t>
        </is>
      </c>
      <c r="D221" s="7" t="inlineStr">
        <is>
          <t>PRJ014</t>
        </is>
      </c>
      <c r="E221" s="7" t="inlineStr">
        <is>
          <t>Identity Mgmt</t>
        </is>
      </c>
      <c r="F221" s="8" t="n">
        <v>45962</v>
      </c>
      <c r="G221" s="7" t="n">
        <v>90</v>
      </c>
      <c r="H221" s="7" t="n">
        <v>100</v>
      </c>
    </row>
    <row r="222" ht="15" customHeight="1" s="5">
      <c r="A222" s="7" t="inlineStr">
        <is>
          <t>Resource 09</t>
        </is>
      </c>
      <c r="B222" s="7" t="inlineStr">
        <is>
          <t>Architect</t>
        </is>
      </c>
      <c r="C222" s="7" t="inlineStr">
        <is>
          <t>Project Manager</t>
        </is>
      </c>
      <c r="D222" s="7" t="inlineStr">
        <is>
          <t>PRJ014</t>
        </is>
      </c>
      <c r="E222" s="7" t="inlineStr">
        <is>
          <t>Identity Mgmt</t>
        </is>
      </c>
      <c r="F222" s="8" t="n">
        <v>45992</v>
      </c>
      <c r="G222" s="7" t="n">
        <v>75</v>
      </c>
      <c r="H222" s="7" t="n">
        <v>100</v>
      </c>
    </row>
    <row r="223" ht="15" customHeight="1" s="5">
      <c r="A223" s="7" t="inlineStr">
        <is>
          <t>Resource 09</t>
        </is>
      </c>
      <c r="B223" s="7" t="inlineStr">
        <is>
          <t>Architect</t>
        </is>
      </c>
      <c r="C223" s="7" t="inlineStr">
        <is>
          <t>Project Manager</t>
        </is>
      </c>
      <c r="D223" s="7" t="inlineStr">
        <is>
          <t>PRJ014</t>
        </is>
      </c>
      <c r="E223" s="7" t="inlineStr">
        <is>
          <t>Identity Mgmt</t>
        </is>
      </c>
      <c r="F223" s="8" t="n">
        <v>46023</v>
      </c>
      <c r="G223" s="7" t="n">
        <v>75</v>
      </c>
      <c r="H223" s="7" t="n">
        <v>100</v>
      </c>
    </row>
    <row r="224" ht="15" customHeight="1" s="5">
      <c r="A224" s="7" t="inlineStr">
        <is>
          <t>Resource 09</t>
        </is>
      </c>
      <c r="B224" s="7" t="inlineStr">
        <is>
          <t>Architect</t>
        </is>
      </c>
      <c r="C224" s="7" t="inlineStr">
        <is>
          <t>Project Manager</t>
        </is>
      </c>
      <c r="D224" s="7" t="inlineStr">
        <is>
          <t>PRJ014</t>
        </is>
      </c>
      <c r="E224" s="7" t="inlineStr">
        <is>
          <t>Identity Mgmt</t>
        </is>
      </c>
      <c r="F224" s="8" t="n">
        <v>46054</v>
      </c>
      <c r="G224" s="7" t="n">
        <v>65</v>
      </c>
      <c r="H224" s="7" t="n">
        <v>100</v>
      </c>
    </row>
    <row r="225" ht="15" customHeight="1" s="5">
      <c r="A225" s="7" t="inlineStr">
        <is>
          <t>Resource 09</t>
        </is>
      </c>
      <c r="B225" s="7" t="inlineStr">
        <is>
          <t>Architect</t>
        </is>
      </c>
      <c r="C225" s="7" t="inlineStr">
        <is>
          <t>Project Manager</t>
        </is>
      </c>
      <c r="D225" s="7" t="inlineStr">
        <is>
          <t>PRJ014</t>
        </is>
      </c>
      <c r="E225" s="7" t="inlineStr">
        <is>
          <t>Identity Mgmt</t>
        </is>
      </c>
      <c r="F225" s="8" t="n">
        <v>46082</v>
      </c>
      <c r="G225" s="7" t="n">
        <v>85</v>
      </c>
      <c r="H225" s="7" t="n">
        <v>100</v>
      </c>
    </row>
    <row r="226" ht="15" customHeight="1" s="5">
      <c r="A226" s="7" t="inlineStr">
        <is>
          <t>Resource 10</t>
        </is>
      </c>
      <c r="B226" s="7" t="inlineStr">
        <is>
          <t>UX</t>
        </is>
      </c>
      <c r="C226" s="7" t="inlineStr">
        <is>
          <t>Architect</t>
        </is>
      </c>
      <c r="D226" s="7" t="inlineStr">
        <is>
          <t>PRJ013</t>
        </is>
      </c>
      <c r="E226" s="7" t="inlineStr">
        <is>
          <t>API Gateway</t>
        </is>
      </c>
      <c r="F226" s="8" t="n">
        <v>45992</v>
      </c>
      <c r="G226" s="7" t="n">
        <v>50</v>
      </c>
      <c r="H226" s="7" t="n">
        <v>100</v>
      </c>
    </row>
    <row r="227" ht="15" customHeight="1" s="5">
      <c r="A227" s="7" t="inlineStr">
        <is>
          <t>Resource 10</t>
        </is>
      </c>
      <c r="B227" s="7" t="inlineStr">
        <is>
          <t>UX</t>
        </is>
      </c>
      <c r="C227" s="7" t="inlineStr">
        <is>
          <t>Architect</t>
        </is>
      </c>
      <c r="D227" s="7" t="inlineStr">
        <is>
          <t>PRJ013</t>
        </is>
      </c>
      <c r="E227" s="7" t="inlineStr">
        <is>
          <t>API Gateway</t>
        </is>
      </c>
      <c r="F227" s="8" t="n">
        <v>46023</v>
      </c>
      <c r="G227" s="7" t="n">
        <v>50</v>
      </c>
      <c r="H227" s="7" t="n">
        <v>100</v>
      </c>
    </row>
    <row r="228" ht="15" customHeight="1" s="5">
      <c r="A228" s="7" t="inlineStr">
        <is>
          <t>Resource 10</t>
        </is>
      </c>
      <c r="B228" s="7" t="inlineStr">
        <is>
          <t>UX</t>
        </is>
      </c>
      <c r="C228" s="7" t="inlineStr">
        <is>
          <t>Architect</t>
        </is>
      </c>
      <c r="D228" s="7" t="inlineStr">
        <is>
          <t>PRJ013</t>
        </is>
      </c>
      <c r="E228" s="7" t="inlineStr">
        <is>
          <t>API Gateway</t>
        </is>
      </c>
      <c r="F228" s="8" t="n">
        <v>46054</v>
      </c>
      <c r="G228" s="7" t="n">
        <v>60</v>
      </c>
      <c r="H228" s="7" t="n">
        <v>100</v>
      </c>
    </row>
    <row r="229" ht="15" customHeight="1" s="5">
      <c r="A229" s="7" t="inlineStr">
        <is>
          <t>Resource 10</t>
        </is>
      </c>
      <c r="B229" s="7" t="inlineStr">
        <is>
          <t>UX</t>
        </is>
      </c>
      <c r="C229" s="7" t="inlineStr">
        <is>
          <t>Architect</t>
        </is>
      </c>
      <c r="D229" s="7" t="inlineStr">
        <is>
          <t>PRJ013</t>
        </is>
      </c>
      <c r="E229" s="7" t="inlineStr">
        <is>
          <t>API Gateway</t>
        </is>
      </c>
      <c r="F229" s="8" t="n">
        <v>46082</v>
      </c>
      <c r="G229" s="7" t="n">
        <v>50</v>
      </c>
      <c r="H229" s="7" t="n">
        <v>100</v>
      </c>
    </row>
    <row r="230" ht="15" customHeight="1" s="5">
      <c r="A230" s="7" t="inlineStr">
        <is>
          <t>Resource 10</t>
        </is>
      </c>
      <c r="B230" s="7" t="inlineStr">
        <is>
          <t>UX</t>
        </is>
      </c>
      <c r="C230" s="7" t="inlineStr">
        <is>
          <t>Architect</t>
        </is>
      </c>
      <c r="D230" s="7" t="inlineStr">
        <is>
          <t>PRJ013</t>
        </is>
      </c>
      <c r="E230" s="7" t="inlineStr">
        <is>
          <t>API Gateway</t>
        </is>
      </c>
      <c r="F230" s="8" t="n">
        <v>46113</v>
      </c>
      <c r="G230" s="7" t="n">
        <v>25</v>
      </c>
      <c r="H230" s="7" t="n">
        <v>100</v>
      </c>
    </row>
    <row r="231" ht="15" customHeight="1" s="5">
      <c r="A231" s="7" t="inlineStr">
        <is>
          <t>Resource 10</t>
        </is>
      </c>
      <c r="B231" s="7" t="inlineStr">
        <is>
          <t>UX</t>
        </is>
      </c>
      <c r="C231" s="7" t="inlineStr">
        <is>
          <t>Architect</t>
        </is>
      </c>
      <c r="D231" s="7" t="inlineStr">
        <is>
          <t>PRJ013</t>
        </is>
      </c>
      <c r="E231" s="7" t="inlineStr">
        <is>
          <t>API Gateway</t>
        </is>
      </c>
      <c r="F231" s="8" t="n">
        <v>46143</v>
      </c>
      <c r="G231" s="7" t="n">
        <v>50</v>
      </c>
      <c r="H231" s="7" t="n">
        <v>100</v>
      </c>
    </row>
    <row r="232" ht="15" customHeight="1" s="5">
      <c r="A232" s="7" t="inlineStr">
        <is>
          <t>Resource 10</t>
        </is>
      </c>
      <c r="B232" s="7" t="inlineStr">
        <is>
          <t>UX</t>
        </is>
      </c>
      <c r="C232" s="7" t="inlineStr">
        <is>
          <t>Architect</t>
        </is>
      </c>
      <c r="D232" s="7" t="inlineStr">
        <is>
          <t>PRJ013</t>
        </is>
      </c>
      <c r="E232" s="7" t="inlineStr">
        <is>
          <t>API Gateway</t>
        </is>
      </c>
      <c r="F232" s="8" t="n">
        <v>46174</v>
      </c>
      <c r="G232" s="7" t="n">
        <v>60</v>
      </c>
      <c r="H232" s="7" t="n">
        <v>100</v>
      </c>
    </row>
    <row r="233" ht="15" customHeight="1" s="5">
      <c r="A233" s="7" t="inlineStr">
        <is>
          <t>Resource 10</t>
        </is>
      </c>
      <c r="B233" s="7" t="inlineStr">
        <is>
          <t>UX</t>
        </is>
      </c>
      <c r="C233" s="7" t="inlineStr">
        <is>
          <t>Architect</t>
        </is>
      </c>
      <c r="D233" s="7" t="inlineStr">
        <is>
          <t>PRJ013</t>
        </is>
      </c>
      <c r="E233" s="7" t="inlineStr">
        <is>
          <t>API Gateway</t>
        </is>
      </c>
      <c r="F233" s="8" t="n">
        <v>46204</v>
      </c>
      <c r="G233" s="7" t="n">
        <v>50</v>
      </c>
      <c r="H233" s="7" t="n">
        <v>100</v>
      </c>
    </row>
    <row r="234" ht="15" customHeight="1" s="5">
      <c r="A234" s="7" t="inlineStr">
        <is>
          <t>Resource 10</t>
        </is>
      </c>
      <c r="B234" s="7" t="inlineStr">
        <is>
          <t>UX</t>
        </is>
      </c>
      <c r="C234" s="7" t="inlineStr">
        <is>
          <t>Architect</t>
        </is>
      </c>
      <c r="D234" s="7" t="inlineStr">
        <is>
          <t>PRJ013</t>
        </is>
      </c>
      <c r="E234" s="7" t="inlineStr">
        <is>
          <t>API Gateway</t>
        </is>
      </c>
      <c r="F234" s="8" t="n">
        <v>46235</v>
      </c>
      <c r="G234" s="7" t="n">
        <v>50</v>
      </c>
      <c r="H234" s="7" t="n">
        <v>100</v>
      </c>
    </row>
    <row r="235" ht="15" customHeight="1" s="5">
      <c r="A235" s="7" t="inlineStr">
        <is>
          <t>Resource 10</t>
        </is>
      </c>
      <c r="B235" s="7" t="inlineStr">
        <is>
          <t>UX</t>
        </is>
      </c>
      <c r="C235" s="7" t="inlineStr">
        <is>
          <t>Architect</t>
        </is>
      </c>
      <c r="D235" s="7" t="inlineStr">
        <is>
          <t>PRJ013</t>
        </is>
      </c>
      <c r="E235" s="7" t="inlineStr">
        <is>
          <t>API Gateway</t>
        </is>
      </c>
      <c r="F235" s="8" t="n">
        <v>46266</v>
      </c>
      <c r="G235" s="7" t="n">
        <v>60</v>
      </c>
      <c r="H235" s="7" t="n">
        <v>100</v>
      </c>
    </row>
    <row r="236" ht="15" customHeight="1" s="5">
      <c r="A236" s="7" t="inlineStr">
        <is>
          <t>Resource 10</t>
        </is>
      </c>
      <c r="B236" s="7" t="inlineStr">
        <is>
          <t>UX</t>
        </is>
      </c>
      <c r="C236" s="7" t="inlineStr">
        <is>
          <t>Architect</t>
        </is>
      </c>
      <c r="D236" s="7" t="inlineStr">
        <is>
          <t>PRJ013</t>
        </is>
      </c>
      <c r="E236" s="7" t="inlineStr">
        <is>
          <t>API Gateway</t>
        </is>
      </c>
      <c r="F236" s="8" t="n">
        <v>46296</v>
      </c>
      <c r="G236" s="7" t="n">
        <v>65</v>
      </c>
      <c r="H236" s="7" t="n">
        <v>100</v>
      </c>
    </row>
    <row r="237" ht="15" customHeight="1" s="5">
      <c r="A237" s="7" t="inlineStr">
        <is>
          <t>Resource 10</t>
        </is>
      </c>
      <c r="B237" s="7" t="inlineStr">
        <is>
          <t>UX</t>
        </is>
      </c>
      <c r="C237" s="7" t="inlineStr">
        <is>
          <t>Architect</t>
        </is>
      </c>
      <c r="D237" s="7" t="inlineStr">
        <is>
          <t>PRJ013</t>
        </is>
      </c>
      <c r="E237" s="7" t="inlineStr">
        <is>
          <t>API Gateway</t>
        </is>
      </c>
      <c r="F237" s="8" t="n">
        <v>46327</v>
      </c>
      <c r="G237" s="7" t="n">
        <v>50</v>
      </c>
      <c r="H237" s="7" t="n">
        <v>100</v>
      </c>
    </row>
    <row r="238" ht="15" customHeight="1" s="5">
      <c r="A238" s="7" t="inlineStr">
        <is>
          <t>Resource 10</t>
        </is>
      </c>
      <c r="B238" s="7" t="inlineStr">
        <is>
          <t>UX</t>
        </is>
      </c>
      <c r="C238" s="7" t="inlineStr">
        <is>
          <t>Architect</t>
        </is>
      </c>
      <c r="D238" s="7" t="inlineStr">
        <is>
          <t>PRJ013</t>
        </is>
      </c>
      <c r="E238" s="7" t="inlineStr">
        <is>
          <t>API Gateway</t>
        </is>
      </c>
      <c r="F238" s="8" t="n">
        <v>46357</v>
      </c>
      <c r="G238" s="7" t="n">
        <v>40</v>
      </c>
      <c r="H238" s="7" t="n">
        <v>100</v>
      </c>
    </row>
    <row r="239" ht="15" customHeight="1" s="5">
      <c r="A239" s="7" t="inlineStr">
        <is>
          <t>Resource 10</t>
        </is>
      </c>
      <c r="B239" s="7" t="inlineStr">
        <is>
          <t>UX</t>
        </is>
      </c>
      <c r="C239" s="7" t="inlineStr">
        <is>
          <t>Architect</t>
        </is>
      </c>
      <c r="D239" s="7" t="inlineStr">
        <is>
          <t>PRJ013</t>
        </is>
      </c>
      <c r="E239" s="7" t="inlineStr">
        <is>
          <t>API Gateway</t>
        </is>
      </c>
      <c r="F239" s="8" t="n">
        <v>46388</v>
      </c>
      <c r="G239" s="7" t="n">
        <v>25</v>
      </c>
      <c r="H239" s="7" t="n">
        <v>100</v>
      </c>
    </row>
    <row r="240" ht="15" customHeight="1" s="5">
      <c r="A240" s="7" t="inlineStr">
        <is>
          <t>Resource 10</t>
        </is>
      </c>
      <c r="B240" s="7" t="inlineStr">
        <is>
          <t>UX</t>
        </is>
      </c>
      <c r="C240" s="7" t="inlineStr">
        <is>
          <t>Architect</t>
        </is>
      </c>
      <c r="D240" s="7" t="inlineStr">
        <is>
          <t>PRJ013</t>
        </is>
      </c>
      <c r="E240" s="7" t="inlineStr">
        <is>
          <t>API Gateway</t>
        </is>
      </c>
      <c r="F240" s="8" t="n">
        <v>46419</v>
      </c>
      <c r="G240" s="7" t="n">
        <v>25</v>
      </c>
      <c r="H240" s="7" t="n">
        <v>100</v>
      </c>
    </row>
    <row r="241" ht="15" customHeight="1" s="5">
      <c r="A241" s="7" t="inlineStr">
        <is>
          <t>Resource 10</t>
        </is>
      </c>
      <c r="B241" s="7" t="inlineStr">
        <is>
          <t>UX</t>
        </is>
      </c>
      <c r="C241" s="7" t="inlineStr">
        <is>
          <t>Architect</t>
        </is>
      </c>
      <c r="D241" s="7" t="inlineStr">
        <is>
          <t>PRJ013</t>
        </is>
      </c>
      <c r="E241" s="7" t="inlineStr">
        <is>
          <t>API Gateway</t>
        </is>
      </c>
      <c r="F241" s="8" t="n">
        <v>46447</v>
      </c>
      <c r="G241" s="7" t="n">
        <v>40</v>
      </c>
      <c r="H241" s="7" t="n">
        <v>100</v>
      </c>
    </row>
    <row r="242" ht="15" customHeight="1" s="5">
      <c r="A242" s="7" t="inlineStr">
        <is>
          <t>Resource 11</t>
        </is>
      </c>
      <c r="B242" s="7" t="inlineStr">
        <is>
          <t>DevOps</t>
        </is>
      </c>
      <c r="C242" s="7" t="inlineStr">
        <is>
          <t>Tester</t>
        </is>
      </c>
      <c r="D242" s="7" t="inlineStr">
        <is>
          <t>PRJ031</t>
        </is>
      </c>
      <c r="E242" s="7" t="inlineStr">
        <is>
          <t>Quality Mgmt</t>
        </is>
      </c>
      <c r="F242" s="8" t="n">
        <v>45870</v>
      </c>
      <c r="G242" s="7" t="n">
        <v>40</v>
      </c>
      <c r="H242" s="7" t="n">
        <v>100</v>
      </c>
    </row>
    <row r="243" ht="15" customHeight="1" s="5">
      <c r="A243" s="7" t="inlineStr">
        <is>
          <t>Resource 11</t>
        </is>
      </c>
      <c r="B243" s="7" t="inlineStr">
        <is>
          <t>DevOps</t>
        </is>
      </c>
      <c r="C243" s="7" t="inlineStr">
        <is>
          <t>Tester</t>
        </is>
      </c>
      <c r="D243" s="7" t="inlineStr">
        <is>
          <t>PRJ031</t>
        </is>
      </c>
      <c r="E243" s="7" t="inlineStr">
        <is>
          <t>Quality Mgmt</t>
        </is>
      </c>
      <c r="F243" s="8" t="n">
        <v>45901</v>
      </c>
      <c r="G243" s="7" t="n">
        <v>40</v>
      </c>
      <c r="H243" s="7" t="n">
        <v>100</v>
      </c>
    </row>
    <row r="244" ht="15" customHeight="1" s="5">
      <c r="A244" s="7" t="inlineStr">
        <is>
          <t>Resource 11</t>
        </is>
      </c>
      <c r="B244" s="7" t="inlineStr">
        <is>
          <t>DevOps</t>
        </is>
      </c>
      <c r="C244" s="7" t="inlineStr">
        <is>
          <t>Tester</t>
        </is>
      </c>
      <c r="D244" s="7" t="inlineStr">
        <is>
          <t>PRJ031</t>
        </is>
      </c>
      <c r="E244" s="7" t="inlineStr">
        <is>
          <t>Quality Mgmt</t>
        </is>
      </c>
      <c r="F244" s="8" t="n">
        <v>45931</v>
      </c>
      <c r="G244" s="7" t="n">
        <v>25</v>
      </c>
      <c r="H244" s="7" t="n">
        <v>100</v>
      </c>
    </row>
    <row r="245" ht="15" customHeight="1" s="5">
      <c r="A245" s="7" t="inlineStr">
        <is>
          <t>Resource 11</t>
        </is>
      </c>
      <c r="B245" s="7" t="inlineStr">
        <is>
          <t>DevOps</t>
        </is>
      </c>
      <c r="C245" s="7" t="inlineStr">
        <is>
          <t>Tester</t>
        </is>
      </c>
      <c r="D245" s="7" t="inlineStr">
        <is>
          <t>PRJ031</t>
        </is>
      </c>
      <c r="E245" s="7" t="inlineStr">
        <is>
          <t>Quality Mgmt</t>
        </is>
      </c>
      <c r="F245" s="8" t="n">
        <v>45962</v>
      </c>
      <c r="G245" s="7" t="n">
        <v>25</v>
      </c>
      <c r="H245" s="7" t="n">
        <v>100</v>
      </c>
    </row>
    <row r="246" ht="15" customHeight="1" s="5">
      <c r="A246" s="7" t="inlineStr">
        <is>
          <t>Resource 11</t>
        </is>
      </c>
      <c r="B246" s="7" t="inlineStr">
        <is>
          <t>DevOps</t>
        </is>
      </c>
      <c r="C246" s="7" t="inlineStr">
        <is>
          <t>Tester</t>
        </is>
      </c>
      <c r="D246" s="7" t="inlineStr">
        <is>
          <t>PRJ031</t>
        </is>
      </c>
      <c r="E246" s="7" t="inlineStr">
        <is>
          <t>Quality Mgmt</t>
        </is>
      </c>
      <c r="F246" s="8" t="n">
        <v>45992</v>
      </c>
      <c r="G246" s="7" t="n">
        <v>15</v>
      </c>
      <c r="H246" s="7" t="n">
        <v>100</v>
      </c>
    </row>
    <row r="247" ht="15" customHeight="1" s="5">
      <c r="A247" s="7" t="inlineStr">
        <is>
          <t>Resource 11</t>
        </is>
      </c>
      <c r="B247" s="7" t="inlineStr">
        <is>
          <t>DevOps</t>
        </is>
      </c>
      <c r="C247" s="7" t="inlineStr">
        <is>
          <t>Tester</t>
        </is>
      </c>
      <c r="D247" s="7" t="inlineStr">
        <is>
          <t>PRJ031</t>
        </is>
      </c>
      <c r="E247" s="7" t="inlineStr">
        <is>
          <t>Quality Mgmt</t>
        </is>
      </c>
      <c r="F247" s="8" t="n">
        <v>46023</v>
      </c>
      <c r="G247" s="7" t="n">
        <v>25</v>
      </c>
      <c r="H247" s="7" t="n">
        <v>100</v>
      </c>
    </row>
    <row r="248" ht="15" customHeight="1" s="5">
      <c r="A248" s="7" t="inlineStr">
        <is>
          <t>Resource 11</t>
        </is>
      </c>
      <c r="B248" s="7" t="inlineStr">
        <is>
          <t>DevOps</t>
        </is>
      </c>
      <c r="C248" s="7" t="inlineStr">
        <is>
          <t>Tester</t>
        </is>
      </c>
      <c r="D248" s="7" t="inlineStr">
        <is>
          <t>PRJ031</t>
        </is>
      </c>
      <c r="E248" s="7" t="inlineStr">
        <is>
          <t>Quality Mgmt</t>
        </is>
      </c>
      <c r="F248" s="8" t="n">
        <v>46054</v>
      </c>
      <c r="G248" s="7" t="n">
        <v>40</v>
      </c>
      <c r="H248" s="7" t="n">
        <v>100</v>
      </c>
    </row>
    <row r="249" ht="15" customHeight="1" s="5">
      <c r="A249" s="7" t="inlineStr">
        <is>
          <t>Resource 11</t>
        </is>
      </c>
      <c r="B249" s="7" t="inlineStr">
        <is>
          <t>DevOps</t>
        </is>
      </c>
      <c r="C249" s="7" t="inlineStr">
        <is>
          <t>Tester</t>
        </is>
      </c>
      <c r="D249" s="7" t="inlineStr">
        <is>
          <t>PRJ031</t>
        </is>
      </c>
      <c r="E249" s="7" t="inlineStr">
        <is>
          <t>Quality Mgmt</t>
        </is>
      </c>
      <c r="F249" s="8" t="n">
        <v>46082</v>
      </c>
      <c r="G249" s="7" t="n">
        <v>40</v>
      </c>
      <c r="H249" s="7" t="n">
        <v>100</v>
      </c>
    </row>
    <row r="250" ht="15" customHeight="1" s="5">
      <c r="A250" s="7" t="inlineStr">
        <is>
          <t>Resource 11</t>
        </is>
      </c>
      <c r="B250" s="7" t="inlineStr">
        <is>
          <t>DevOps</t>
        </is>
      </c>
      <c r="C250" s="7" t="inlineStr">
        <is>
          <t>Tester</t>
        </is>
      </c>
      <c r="D250" s="7" t="inlineStr">
        <is>
          <t>PRJ031</t>
        </is>
      </c>
      <c r="E250" s="7" t="inlineStr">
        <is>
          <t>Quality Mgmt</t>
        </is>
      </c>
      <c r="F250" s="8" t="n">
        <v>46113</v>
      </c>
      <c r="G250" s="7" t="n">
        <v>15</v>
      </c>
      <c r="H250" s="7" t="n">
        <v>100</v>
      </c>
    </row>
    <row r="251" ht="15" customHeight="1" s="5">
      <c r="A251" s="7" t="inlineStr">
        <is>
          <t>Resource 11</t>
        </is>
      </c>
      <c r="B251" s="7" t="inlineStr">
        <is>
          <t>DevOps</t>
        </is>
      </c>
      <c r="C251" s="7" t="inlineStr">
        <is>
          <t>Tester</t>
        </is>
      </c>
      <c r="D251" s="7" t="inlineStr">
        <is>
          <t>PRJ031</t>
        </is>
      </c>
      <c r="E251" s="7" t="inlineStr">
        <is>
          <t>Quality Mgmt</t>
        </is>
      </c>
      <c r="F251" s="8" t="n">
        <v>46143</v>
      </c>
      <c r="G251" s="7" t="n">
        <v>0</v>
      </c>
      <c r="H251" s="7" t="n">
        <v>100</v>
      </c>
    </row>
    <row r="252" ht="15" customHeight="1" s="5">
      <c r="A252" s="7" t="inlineStr">
        <is>
          <t>Resource 11</t>
        </is>
      </c>
      <c r="B252" s="7" t="inlineStr">
        <is>
          <t>DevOps</t>
        </is>
      </c>
      <c r="C252" s="7" t="inlineStr">
        <is>
          <t>Tester</t>
        </is>
      </c>
      <c r="D252" s="7" t="inlineStr">
        <is>
          <t>PRJ031</t>
        </is>
      </c>
      <c r="E252" s="7" t="inlineStr">
        <is>
          <t>Quality Mgmt</t>
        </is>
      </c>
      <c r="F252" s="8" t="n">
        <v>46174</v>
      </c>
      <c r="G252" s="7" t="n">
        <v>0</v>
      </c>
      <c r="H252" s="7" t="n">
        <v>100</v>
      </c>
    </row>
    <row r="253" ht="15" customHeight="1" s="5">
      <c r="A253" s="7" t="inlineStr">
        <is>
          <t>Resource 11</t>
        </is>
      </c>
      <c r="B253" s="7" t="inlineStr">
        <is>
          <t>DevOps</t>
        </is>
      </c>
      <c r="C253" s="7" t="inlineStr">
        <is>
          <t>Tester</t>
        </is>
      </c>
      <c r="D253" s="7" t="inlineStr">
        <is>
          <t>PRJ031</t>
        </is>
      </c>
      <c r="E253" s="7" t="inlineStr">
        <is>
          <t>Quality Mgmt</t>
        </is>
      </c>
      <c r="F253" s="8" t="n">
        <v>46204</v>
      </c>
      <c r="G253" s="7" t="n">
        <v>25</v>
      </c>
      <c r="H253" s="7" t="n">
        <v>100</v>
      </c>
    </row>
    <row r="254" ht="15" customHeight="1" s="5">
      <c r="A254" s="7" t="inlineStr">
        <is>
          <t>Resource 11</t>
        </is>
      </c>
      <c r="B254" s="7" t="inlineStr">
        <is>
          <t>DevOps</t>
        </is>
      </c>
      <c r="C254" s="7" t="inlineStr">
        <is>
          <t>Tester</t>
        </is>
      </c>
      <c r="D254" s="7" t="inlineStr">
        <is>
          <t>PRJ031</t>
        </is>
      </c>
      <c r="E254" s="7" t="inlineStr">
        <is>
          <t>Quality Mgmt</t>
        </is>
      </c>
      <c r="F254" s="8" t="n">
        <v>46235</v>
      </c>
      <c r="G254" s="7" t="n">
        <v>25</v>
      </c>
      <c r="H254" s="7" t="n">
        <v>100</v>
      </c>
    </row>
    <row r="255" ht="15" customHeight="1" s="5">
      <c r="A255" s="7" t="inlineStr">
        <is>
          <t>Resource 11</t>
        </is>
      </c>
      <c r="B255" s="7" t="inlineStr">
        <is>
          <t>DevOps</t>
        </is>
      </c>
      <c r="C255" s="7" t="inlineStr">
        <is>
          <t>Tester</t>
        </is>
      </c>
      <c r="D255" s="7" t="inlineStr">
        <is>
          <t>PRJ031</t>
        </is>
      </c>
      <c r="E255" s="7" t="inlineStr">
        <is>
          <t>Quality Mgmt</t>
        </is>
      </c>
      <c r="F255" s="8" t="n">
        <v>46266</v>
      </c>
      <c r="G255" s="7" t="n">
        <v>0</v>
      </c>
      <c r="H255" s="7" t="n">
        <v>100</v>
      </c>
    </row>
    <row r="256" ht="15" customHeight="1" s="5">
      <c r="A256" s="7" t="inlineStr">
        <is>
          <t>Resource 11</t>
        </is>
      </c>
      <c r="B256" s="7" t="inlineStr">
        <is>
          <t>DevOps</t>
        </is>
      </c>
      <c r="C256" s="7" t="inlineStr">
        <is>
          <t>Tester</t>
        </is>
      </c>
      <c r="D256" s="7" t="inlineStr">
        <is>
          <t>PRJ031</t>
        </is>
      </c>
      <c r="E256" s="7" t="inlineStr">
        <is>
          <t>Quality Mgmt</t>
        </is>
      </c>
      <c r="F256" s="8" t="n">
        <v>46296</v>
      </c>
      <c r="G256" s="7" t="n">
        <v>35</v>
      </c>
      <c r="H256" s="7" t="n">
        <v>100</v>
      </c>
    </row>
    <row r="257" ht="15" customHeight="1" s="5">
      <c r="A257" s="7" t="inlineStr">
        <is>
          <t>Resource 11</t>
        </is>
      </c>
      <c r="B257" s="7" t="inlineStr">
        <is>
          <t>DevOps</t>
        </is>
      </c>
      <c r="C257" s="7" t="inlineStr">
        <is>
          <t>Tester</t>
        </is>
      </c>
      <c r="D257" s="7" t="inlineStr">
        <is>
          <t>PRJ031</t>
        </is>
      </c>
      <c r="E257" s="7" t="inlineStr">
        <is>
          <t>Quality Mgmt</t>
        </is>
      </c>
      <c r="F257" s="8" t="n">
        <v>46327</v>
      </c>
      <c r="G257" s="7" t="n">
        <v>40</v>
      </c>
      <c r="H257" s="7" t="n">
        <v>100</v>
      </c>
    </row>
    <row r="258" ht="15" customHeight="1" s="5">
      <c r="A258" s="7" t="inlineStr">
        <is>
          <t>Resource 11</t>
        </is>
      </c>
      <c r="B258" s="7" t="inlineStr">
        <is>
          <t>DevOps</t>
        </is>
      </c>
      <c r="C258" s="7" t="inlineStr">
        <is>
          <t>Tester</t>
        </is>
      </c>
      <c r="D258" s="7" t="inlineStr">
        <is>
          <t>PRJ024</t>
        </is>
      </c>
      <c r="E258" s="7" t="inlineStr">
        <is>
          <t>Process Mining</t>
        </is>
      </c>
      <c r="F258" s="8" t="n">
        <v>45992</v>
      </c>
      <c r="G258" s="7" t="n">
        <v>100</v>
      </c>
      <c r="H258" s="7" t="n">
        <v>100</v>
      </c>
    </row>
    <row r="259" ht="15" customHeight="1" s="5">
      <c r="A259" s="7" t="inlineStr">
        <is>
          <t>Resource 11</t>
        </is>
      </c>
      <c r="B259" s="7" t="inlineStr">
        <is>
          <t>DevOps</t>
        </is>
      </c>
      <c r="C259" s="7" t="inlineStr">
        <is>
          <t>Tester</t>
        </is>
      </c>
      <c r="D259" s="7" t="inlineStr">
        <is>
          <t>PRJ024</t>
        </is>
      </c>
      <c r="E259" s="7" t="inlineStr">
        <is>
          <t>Process Mining</t>
        </is>
      </c>
      <c r="F259" s="8" t="n">
        <v>46023</v>
      </c>
      <c r="G259" s="7" t="n">
        <v>100</v>
      </c>
      <c r="H259" s="7" t="n">
        <v>100</v>
      </c>
    </row>
    <row r="260" ht="15" customHeight="1" s="5">
      <c r="A260" s="7" t="inlineStr">
        <is>
          <t>Resource 11</t>
        </is>
      </c>
      <c r="B260" s="7" t="inlineStr">
        <is>
          <t>DevOps</t>
        </is>
      </c>
      <c r="C260" s="7" t="inlineStr">
        <is>
          <t>Tester</t>
        </is>
      </c>
      <c r="D260" s="7" t="inlineStr">
        <is>
          <t>PRJ024</t>
        </is>
      </c>
      <c r="E260" s="7" t="inlineStr">
        <is>
          <t>Process Mining</t>
        </is>
      </c>
      <c r="F260" s="8" t="n">
        <v>46054</v>
      </c>
      <c r="G260" s="7" t="n">
        <v>100</v>
      </c>
      <c r="H260" s="7" t="n">
        <v>100</v>
      </c>
    </row>
    <row r="261" ht="15" customHeight="1" s="5">
      <c r="A261" s="7" t="inlineStr">
        <is>
          <t>Resource 11</t>
        </is>
      </c>
      <c r="B261" s="7" t="inlineStr">
        <is>
          <t>DevOps</t>
        </is>
      </c>
      <c r="C261" s="7" t="inlineStr">
        <is>
          <t>Tester</t>
        </is>
      </c>
      <c r="D261" s="7" t="inlineStr">
        <is>
          <t>PRJ024</t>
        </is>
      </c>
      <c r="E261" s="7" t="inlineStr">
        <is>
          <t>Process Mining</t>
        </is>
      </c>
      <c r="F261" s="8" t="n">
        <v>46082</v>
      </c>
      <c r="G261" s="7" t="n">
        <v>100</v>
      </c>
      <c r="H261" s="7" t="n">
        <v>100</v>
      </c>
    </row>
    <row r="262" ht="15" customHeight="1" s="5">
      <c r="A262" s="7" t="inlineStr">
        <is>
          <t>Resource 11</t>
        </is>
      </c>
      <c r="B262" s="7" t="inlineStr">
        <is>
          <t>DevOps</t>
        </is>
      </c>
      <c r="C262" s="7" t="inlineStr">
        <is>
          <t>Tester</t>
        </is>
      </c>
      <c r="D262" s="7" t="inlineStr">
        <is>
          <t>PRJ024</t>
        </is>
      </c>
      <c r="E262" s="7" t="inlineStr">
        <is>
          <t>Process Mining</t>
        </is>
      </c>
      <c r="F262" s="8" t="n">
        <v>46113</v>
      </c>
      <c r="G262" s="7" t="n">
        <v>100</v>
      </c>
      <c r="H262" s="7" t="n">
        <v>100</v>
      </c>
    </row>
    <row r="263" ht="15" customHeight="1" s="5">
      <c r="A263" s="7" t="inlineStr">
        <is>
          <t>Resource 11</t>
        </is>
      </c>
      <c r="B263" s="7" t="inlineStr">
        <is>
          <t>DevOps</t>
        </is>
      </c>
      <c r="C263" s="7" t="inlineStr">
        <is>
          <t>Tester</t>
        </is>
      </c>
      <c r="D263" s="7" t="inlineStr">
        <is>
          <t>PRJ024</t>
        </is>
      </c>
      <c r="E263" s="7" t="inlineStr">
        <is>
          <t>Process Mining</t>
        </is>
      </c>
      <c r="F263" s="8" t="n">
        <v>46143</v>
      </c>
      <c r="G263" s="7" t="n">
        <v>100</v>
      </c>
      <c r="H263" s="7" t="n">
        <v>100</v>
      </c>
    </row>
    <row r="264" ht="15" customHeight="1" s="5">
      <c r="A264" s="7" t="inlineStr">
        <is>
          <t>Resource 11</t>
        </is>
      </c>
      <c r="B264" s="7" t="inlineStr">
        <is>
          <t>DevOps</t>
        </is>
      </c>
      <c r="C264" s="7" t="inlineStr">
        <is>
          <t>Tester</t>
        </is>
      </c>
      <c r="D264" s="7" t="inlineStr">
        <is>
          <t>PRJ024</t>
        </is>
      </c>
      <c r="E264" s="7" t="inlineStr">
        <is>
          <t>Process Mining</t>
        </is>
      </c>
      <c r="F264" s="8" t="n">
        <v>46174</v>
      </c>
      <c r="G264" s="7" t="n">
        <v>100</v>
      </c>
      <c r="H264" s="7" t="n">
        <v>100</v>
      </c>
    </row>
    <row r="265" ht="15" customHeight="1" s="5">
      <c r="A265" s="7" t="inlineStr">
        <is>
          <t>Resource 11</t>
        </is>
      </c>
      <c r="B265" s="7" t="inlineStr">
        <is>
          <t>DevOps</t>
        </is>
      </c>
      <c r="C265" s="7" t="inlineStr">
        <is>
          <t>Tester</t>
        </is>
      </c>
      <c r="D265" s="7" t="inlineStr">
        <is>
          <t>PRJ024</t>
        </is>
      </c>
      <c r="E265" s="7" t="inlineStr">
        <is>
          <t>Process Mining</t>
        </is>
      </c>
      <c r="F265" s="8" t="n">
        <v>46204</v>
      </c>
      <c r="G265" s="7" t="n">
        <v>75</v>
      </c>
      <c r="H265" s="7" t="n">
        <v>100</v>
      </c>
    </row>
    <row r="266" ht="15" customHeight="1" s="5">
      <c r="A266" s="7" t="inlineStr">
        <is>
          <t>Resource 11</t>
        </is>
      </c>
      <c r="B266" s="7" t="inlineStr">
        <is>
          <t>DevOps</t>
        </is>
      </c>
      <c r="C266" s="7" t="inlineStr">
        <is>
          <t>Tester</t>
        </is>
      </c>
      <c r="D266" s="7" t="inlineStr">
        <is>
          <t>PRJ024</t>
        </is>
      </c>
      <c r="E266" s="7" t="inlineStr">
        <is>
          <t>Process Mining</t>
        </is>
      </c>
      <c r="F266" s="8" t="n">
        <v>46235</v>
      </c>
      <c r="G266" s="7" t="n">
        <v>100</v>
      </c>
      <c r="H266" s="7" t="n">
        <v>100</v>
      </c>
    </row>
    <row r="267" ht="15" customHeight="1" s="5">
      <c r="A267" s="7" t="inlineStr">
        <is>
          <t>Resource 11</t>
        </is>
      </c>
      <c r="B267" s="7" t="inlineStr">
        <is>
          <t>DevOps</t>
        </is>
      </c>
      <c r="C267" s="7" t="inlineStr">
        <is>
          <t>Tester</t>
        </is>
      </c>
      <c r="D267" s="7" t="inlineStr">
        <is>
          <t>PRJ024</t>
        </is>
      </c>
      <c r="E267" s="7" t="inlineStr">
        <is>
          <t>Process Mining</t>
        </is>
      </c>
      <c r="F267" s="8" t="n">
        <v>46266</v>
      </c>
      <c r="G267" s="7" t="n">
        <v>100</v>
      </c>
      <c r="H267" s="7" t="n">
        <v>100</v>
      </c>
    </row>
    <row r="268" ht="15" customHeight="1" s="5">
      <c r="A268" s="7" t="inlineStr">
        <is>
          <t>Resource 11</t>
        </is>
      </c>
      <c r="B268" s="7" t="inlineStr">
        <is>
          <t>DevOps</t>
        </is>
      </c>
      <c r="C268" s="7" t="inlineStr">
        <is>
          <t>Tester</t>
        </is>
      </c>
      <c r="D268" s="7" t="inlineStr">
        <is>
          <t>PRJ024</t>
        </is>
      </c>
      <c r="E268" s="7" t="inlineStr">
        <is>
          <t>Process Mining</t>
        </is>
      </c>
      <c r="F268" s="8" t="n">
        <v>46296</v>
      </c>
      <c r="G268" s="7" t="n">
        <v>100</v>
      </c>
      <c r="H268" s="7" t="n">
        <v>100</v>
      </c>
    </row>
    <row r="269" ht="15" customHeight="1" s="5">
      <c r="A269" s="7" t="inlineStr">
        <is>
          <t>Resource 11</t>
        </is>
      </c>
      <c r="B269" s="7" t="inlineStr">
        <is>
          <t>DevOps</t>
        </is>
      </c>
      <c r="C269" s="7" t="inlineStr">
        <is>
          <t>Tester</t>
        </is>
      </c>
      <c r="D269" s="7" t="inlineStr">
        <is>
          <t>PRJ024</t>
        </is>
      </c>
      <c r="E269" s="7" t="inlineStr">
        <is>
          <t>Process Mining</t>
        </is>
      </c>
      <c r="F269" s="8" t="n">
        <v>46327</v>
      </c>
      <c r="G269" s="7" t="n">
        <v>100</v>
      </c>
      <c r="H269" s="7" t="n">
        <v>100</v>
      </c>
    </row>
    <row r="270" ht="15" customHeight="1" s="5">
      <c r="A270" s="7" t="inlineStr">
        <is>
          <t>Resource 11</t>
        </is>
      </c>
      <c r="B270" s="7" t="inlineStr">
        <is>
          <t>DevOps</t>
        </is>
      </c>
      <c r="C270" s="7" t="inlineStr">
        <is>
          <t>Tester</t>
        </is>
      </c>
      <c r="D270" s="7" t="inlineStr">
        <is>
          <t>PRJ024</t>
        </is>
      </c>
      <c r="E270" s="7" t="inlineStr">
        <is>
          <t>Process Mining</t>
        </is>
      </c>
      <c r="F270" s="8" t="n">
        <v>46357</v>
      </c>
      <c r="G270" s="7" t="n">
        <v>75</v>
      </c>
      <c r="H270" s="7" t="n">
        <v>100</v>
      </c>
    </row>
    <row r="271" ht="15" customHeight="1" s="5">
      <c r="A271" s="7" t="inlineStr">
        <is>
          <t>Resource 11</t>
        </is>
      </c>
      <c r="B271" s="7" t="inlineStr">
        <is>
          <t>DevOps</t>
        </is>
      </c>
      <c r="C271" s="7" t="inlineStr">
        <is>
          <t>Tester</t>
        </is>
      </c>
      <c r="D271" s="7" t="inlineStr">
        <is>
          <t>PRJ024</t>
        </is>
      </c>
      <c r="E271" s="7" t="inlineStr">
        <is>
          <t>Process Mining</t>
        </is>
      </c>
      <c r="F271" s="8" t="n">
        <v>46388</v>
      </c>
      <c r="G271" s="7" t="n">
        <v>100</v>
      </c>
      <c r="H271" s="7" t="n">
        <v>100</v>
      </c>
    </row>
    <row r="272" ht="15" customHeight="1" s="5">
      <c r="A272" s="7" t="inlineStr">
        <is>
          <t>Resource 11</t>
        </is>
      </c>
      <c r="B272" s="7" t="inlineStr">
        <is>
          <t>DevOps</t>
        </is>
      </c>
      <c r="C272" s="7" t="inlineStr">
        <is>
          <t>Tester</t>
        </is>
      </c>
      <c r="D272" s="7" t="inlineStr">
        <is>
          <t>PRJ011</t>
        </is>
      </c>
      <c r="E272" s="7" t="inlineStr">
        <is>
          <t>IoT Initiative</t>
        </is>
      </c>
      <c r="F272" s="8" t="n">
        <v>45962</v>
      </c>
      <c r="G272" s="7" t="n">
        <v>15</v>
      </c>
      <c r="H272" s="7" t="n">
        <v>100</v>
      </c>
    </row>
    <row r="273" ht="15" customHeight="1" s="5">
      <c r="A273" s="7" t="inlineStr">
        <is>
          <t>Resource 11</t>
        </is>
      </c>
      <c r="B273" s="7" t="inlineStr">
        <is>
          <t>DevOps</t>
        </is>
      </c>
      <c r="C273" s="7" t="inlineStr">
        <is>
          <t>Tester</t>
        </is>
      </c>
      <c r="D273" s="7" t="inlineStr">
        <is>
          <t>PRJ011</t>
        </is>
      </c>
      <c r="E273" s="7" t="inlineStr">
        <is>
          <t>IoT Initiative</t>
        </is>
      </c>
      <c r="F273" s="8" t="n">
        <v>45992</v>
      </c>
      <c r="G273" s="7" t="n">
        <v>25</v>
      </c>
      <c r="H273" s="7" t="n">
        <v>100</v>
      </c>
    </row>
    <row r="274" ht="15" customHeight="1" s="5">
      <c r="A274" s="7" t="inlineStr">
        <is>
          <t>Resource 11</t>
        </is>
      </c>
      <c r="B274" s="7" t="inlineStr">
        <is>
          <t>DevOps</t>
        </is>
      </c>
      <c r="C274" s="7" t="inlineStr">
        <is>
          <t>Tester</t>
        </is>
      </c>
      <c r="D274" s="7" t="inlineStr">
        <is>
          <t>PRJ011</t>
        </is>
      </c>
      <c r="E274" s="7" t="inlineStr">
        <is>
          <t>IoT Initiative</t>
        </is>
      </c>
      <c r="F274" s="8" t="n">
        <v>46023</v>
      </c>
      <c r="G274" s="7" t="n">
        <v>25</v>
      </c>
      <c r="H274" s="7" t="n">
        <v>100</v>
      </c>
    </row>
    <row r="275" ht="15" customHeight="1" s="5">
      <c r="A275" s="7" t="inlineStr">
        <is>
          <t>Resource 11</t>
        </is>
      </c>
      <c r="B275" s="7" t="inlineStr">
        <is>
          <t>DevOps</t>
        </is>
      </c>
      <c r="C275" s="7" t="inlineStr">
        <is>
          <t>Tester</t>
        </is>
      </c>
      <c r="D275" s="7" t="inlineStr">
        <is>
          <t>PRJ011</t>
        </is>
      </c>
      <c r="E275" s="7" t="inlineStr">
        <is>
          <t>IoT Initiative</t>
        </is>
      </c>
      <c r="F275" s="8" t="n">
        <v>46054</v>
      </c>
      <c r="G275" s="7" t="n">
        <v>40</v>
      </c>
      <c r="H275" s="7" t="n">
        <v>100</v>
      </c>
    </row>
    <row r="276" ht="15" customHeight="1" s="5">
      <c r="A276" s="7" t="inlineStr">
        <is>
          <t>Resource 11</t>
        </is>
      </c>
      <c r="B276" s="7" t="inlineStr">
        <is>
          <t>DevOps</t>
        </is>
      </c>
      <c r="C276" s="7" t="inlineStr">
        <is>
          <t>Tester</t>
        </is>
      </c>
      <c r="D276" s="7" t="inlineStr">
        <is>
          <t>PRJ011</t>
        </is>
      </c>
      <c r="E276" s="7" t="inlineStr">
        <is>
          <t>IoT Initiative</t>
        </is>
      </c>
      <c r="F276" s="8" t="n">
        <v>46082</v>
      </c>
      <c r="G276" s="7" t="n">
        <v>15</v>
      </c>
      <c r="H276" s="7" t="n">
        <v>100</v>
      </c>
    </row>
    <row r="277" ht="15" customHeight="1" s="5">
      <c r="A277" s="7" t="inlineStr">
        <is>
          <t>Resource 11</t>
        </is>
      </c>
      <c r="B277" s="7" t="inlineStr">
        <is>
          <t>DevOps</t>
        </is>
      </c>
      <c r="C277" s="7" t="inlineStr">
        <is>
          <t>Tester</t>
        </is>
      </c>
      <c r="D277" s="7" t="inlineStr">
        <is>
          <t>PRJ011</t>
        </is>
      </c>
      <c r="E277" s="7" t="inlineStr">
        <is>
          <t>IoT Initiative</t>
        </is>
      </c>
      <c r="F277" s="8" t="n">
        <v>46113</v>
      </c>
      <c r="G277" s="7" t="n">
        <v>25</v>
      </c>
      <c r="H277" s="7" t="n">
        <v>100</v>
      </c>
    </row>
    <row r="278" ht="15" customHeight="1" s="5">
      <c r="A278" s="7" t="inlineStr">
        <is>
          <t>Resource 12</t>
        </is>
      </c>
      <c r="B278" s="7" t="inlineStr">
        <is>
          <t>Dev</t>
        </is>
      </c>
      <c r="C278" s="7" t="inlineStr">
        <is>
          <t>Project Manager</t>
        </is>
      </c>
      <c r="D278" s="7" t="inlineStr">
        <is>
          <t>PRJ024</t>
        </is>
      </c>
      <c r="E278" s="7" t="inlineStr">
        <is>
          <t>Process Mining</t>
        </is>
      </c>
      <c r="F278" s="8" t="n">
        <v>45992</v>
      </c>
      <c r="G278" s="7" t="n">
        <v>100</v>
      </c>
      <c r="H278" s="7" t="n">
        <v>100</v>
      </c>
    </row>
    <row r="279" ht="15" customHeight="1" s="5">
      <c r="A279" s="7" t="inlineStr">
        <is>
          <t>Resource 12</t>
        </is>
      </c>
      <c r="B279" s="7" t="inlineStr">
        <is>
          <t>Dev</t>
        </is>
      </c>
      <c r="C279" s="7" t="inlineStr">
        <is>
          <t>Project Manager</t>
        </is>
      </c>
      <c r="D279" s="7" t="inlineStr">
        <is>
          <t>PRJ024</t>
        </is>
      </c>
      <c r="E279" s="7" t="inlineStr">
        <is>
          <t>Process Mining</t>
        </is>
      </c>
      <c r="F279" s="8" t="n">
        <v>46023</v>
      </c>
      <c r="G279" s="7" t="n">
        <v>100</v>
      </c>
      <c r="H279" s="7" t="n">
        <v>100</v>
      </c>
    </row>
    <row r="280" ht="15" customHeight="1" s="5">
      <c r="A280" s="7" t="inlineStr">
        <is>
          <t>Resource 12</t>
        </is>
      </c>
      <c r="B280" s="7" t="inlineStr">
        <is>
          <t>Dev</t>
        </is>
      </c>
      <c r="C280" s="7" t="inlineStr">
        <is>
          <t>Project Manager</t>
        </is>
      </c>
      <c r="D280" s="7" t="inlineStr">
        <is>
          <t>PRJ024</t>
        </is>
      </c>
      <c r="E280" s="7" t="inlineStr">
        <is>
          <t>Process Mining</t>
        </is>
      </c>
      <c r="F280" s="8" t="n">
        <v>46054</v>
      </c>
      <c r="G280" s="7" t="n">
        <v>75</v>
      </c>
      <c r="H280" s="7" t="n">
        <v>100</v>
      </c>
    </row>
    <row r="281" ht="15" customHeight="1" s="5">
      <c r="A281" s="7" t="inlineStr">
        <is>
          <t>Resource 12</t>
        </is>
      </c>
      <c r="B281" s="7" t="inlineStr">
        <is>
          <t>Dev</t>
        </is>
      </c>
      <c r="C281" s="7" t="inlineStr">
        <is>
          <t>Project Manager</t>
        </is>
      </c>
      <c r="D281" s="7" t="inlineStr">
        <is>
          <t>PRJ024</t>
        </is>
      </c>
      <c r="E281" s="7" t="inlineStr">
        <is>
          <t>Process Mining</t>
        </is>
      </c>
      <c r="F281" s="8" t="n">
        <v>46082</v>
      </c>
      <c r="G281" s="7" t="n">
        <v>100</v>
      </c>
      <c r="H281" s="7" t="n">
        <v>100</v>
      </c>
    </row>
    <row r="282" ht="15" customHeight="1" s="5">
      <c r="A282" s="7" t="inlineStr">
        <is>
          <t>Resource 12</t>
        </is>
      </c>
      <c r="B282" s="7" t="inlineStr">
        <is>
          <t>Dev</t>
        </is>
      </c>
      <c r="C282" s="7" t="inlineStr">
        <is>
          <t>Project Manager</t>
        </is>
      </c>
      <c r="D282" s="7" t="inlineStr">
        <is>
          <t>PRJ024</t>
        </is>
      </c>
      <c r="E282" s="7" t="inlineStr">
        <is>
          <t>Process Mining</t>
        </is>
      </c>
      <c r="F282" s="8" t="n">
        <v>46113</v>
      </c>
      <c r="G282" s="7" t="n">
        <v>100</v>
      </c>
      <c r="H282" s="7" t="n">
        <v>100</v>
      </c>
    </row>
    <row r="283" ht="15" customHeight="1" s="5">
      <c r="A283" s="7" t="inlineStr">
        <is>
          <t>Resource 12</t>
        </is>
      </c>
      <c r="B283" s="7" t="inlineStr">
        <is>
          <t>Dev</t>
        </is>
      </c>
      <c r="C283" s="7" t="inlineStr">
        <is>
          <t>Project Manager</t>
        </is>
      </c>
      <c r="D283" s="7" t="inlineStr">
        <is>
          <t>PRJ024</t>
        </is>
      </c>
      <c r="E283" s="7" t="inlineStr">
        <is>
          <t>Process Mining</t>
        </is>
      </c>
      <c r="F283" s="8" t="n">
        <v>46143</v>
      </c>
      <c r="G283" s="7" t="n">
        <v>100</v>
      </c>
      <c r="H283" s="7" t="n">
        <v>100</v>
      </c>
    </row>
    <row r="284" ht="15" customHeight="1" s="5">
      <c r="A284" s="7" t="inlineStr">
        <is>
          <t>Resource 12</t>
        </is>
      </c>
      <c r="B284" s="7" t="inlineStr">
        <is>
          <t>Dev</t>
        </is>
      </c>
      <c r="C284" s="7" t="inlineStr">
        <is>
          <t>Project Manager</t>
        </is>
      </c>
      <c r="D284" s="7" t="inlineStr">
        <is>
          <t>PRJ024</t>
        </is>
      </c>
      <c r="E284" s="7" t="inlineStr">
        <is>
          <t>Process Mining</t>
        </is>
      </c>
      <c r="F284" s="8" t="n">
        <v>46174</v>
      </c>
      <c r="G284" s="7" t="n">
        <v>100</v>
      </c>
      <c r="H284" s="7" t="n">
        <v>100</v>
      </c>
    </row>
    <row r="285" ht="15" customHeight="1" s="5">
      <c r="A285" s="7" t="inlineStr">
        <is>
          <t>Resource 12</t>
        </is>
      </c>
      <c r="B285" s="7" t="inlineStr">
        <is>
          <t>Dev</t>
        </is>
      </c>
      <c r="C285" s="7" t="inlineStr">
        <is>
          <t>Project Manager</t>
        </is>
      </c>
      <c r="D285" s="7" t="inlineStr">
        <is>
          <t>PRJ024</t>
        </is>
      </c>
      <c r="E285" s="7" t="inlineStr">
        <is>
          <t>Process Mining</t>
        </is>
      </c>
      <c r="F285" s="8" t="n">
        <v>46204</v>
      </c>
      <c r="G285" s="7" t="n">
        <v>75</v>
      </c>
      <c r="H285" s="7" t="n">
        <v>100</v>
      </c>
    </row>
    <row r="286" ht="15" customHeight="1" s="5">
      <c r="A286" s="7" t="inlineStr">
        <is>
          <t>Resource 12</t>
        </is>
      </c>
      <c r="B286" s="7" t="inlineStr">
        <is>
          <t>Dev</t>
        </is>
      </c>
      <c r="C286" s="7" t="inlineStr">
        <is>
          <t>Project Manager</t>
        </is>
      </c>
      <c r="D286" s="7" t="inlineStr">
        <is>
          <t>PRJ024</t>
        </is>
      </c>
      <c r="E286" s="7" t="inlineStr">
        <is>
          <t>Process Mining</t>
        </is>
      </c>
      <c r="F286" s="8" t="n">
        <v>46235</v>
      </c>
      <c r="G286" s="7" t="n">
        <v>100</v>
      </c>
      <c r="H286" s="7" t="n">
        <v>100</v>
      </c>
    </row>
    <row r="287" ht="15" customHeight="1" s="5">
      <c r="A287" s="7" t="inlineStr">
        <is>
          <t>Resource 12</t>
        </is>
      </c>
      <c r="B287" s="7" t="inlineStr">
        <is>
          <t>Dev</t>
        </is>
      </c>
      <c r="C287" s="7" t="inlineStr">
        <is>
          <t>Project Manager</t>
        </is>
      </c>
      <c r="D287" s="7" t="inlineStr">
        <is>
          <t>PRJ024</t>
        </is>
      </c>
      <c r="E287" s="7" t="inlineStr">
        <is>
          <t>Process Mining</t>
        </is>
      </c>
      <c r="F287" s="8" t="n">
        <v>46266</v>
      </c>
      <c r="G287" s="7" t="n">
        <v>90</v>
      </c>
      <c r="H287" s="7" t="n">
        <v>100</v>
      </c>
    </row>
    <row r="288" ht="15" customHeight="1" s="5">
      <c r="A288" s="7" t="inlineStr">
        <is>
          <t>Resource 12</t>
        </is>
      </c>
      <c r="B288" s="7" t="inlineStr">
        <is>
          <t>Dev</t>
        </is>
      </c>
      <c r="C288" s="7" t="inlineStr">
        <is>
          <t>Project Manager</t>
        </is>
      </c>
      <c r="D288" s="7" t="inlineStr">
        <is>
          <t>PRJ024</t>
        </is>
      </c>
      <c r="E288" s="7" t="inlineStr">
        <is>
          <t>Process Mining</t>
        </is>
      </c>
      <c r="F288" s="8" t="n">
        <v>46296</v>
      </c>
      <c r="G288" s="7" t="n">
        <v>100</v>
      </c>
      <c r="H288" s="7" t="n">
        <v>100</v>
      </c>
    </row>
    <row r="289" ht="15" customHeight="1" s="5">
      <c r="A289" s="7" t="inlineStr">
        <is>
          <t>Resource 12</t>
        </is>
      </c>
      <c r="B289" s="7" t="inlineStr">
        <is>
          <t>Dev</t>
        </is>
      </c>
      <c r="C289" s="7" t="inlineStr">
        <is>
          <t>Project Manager</t>
        </is>
      </c>
      <c r="D289" s="7" t="inlineStr">
        <is>
          <t>PRJ024</t>
        </is>
      </c>
      <c r="E289" s="7" t="inlineStr">
        <is>
          <t>Process Mining</t>
        </is>
      </c>
      <c r="F289" s="8" t="n">
        <v>46327</v>
      </c>
      <c r="G289" s="7" t="n">
        <v>90</v>
      </c>
      <c r="H289" s="7" t="n">
        <v>100</v>
      </c>
    </row>
    <row r="290" ht="15" customHeight="1" s="5">
      <c r="A290" s="7" t="inlineStr">
        <is>
          <t>Resource 12</t>
        </is>
      </c>
      <c r="B290" s="7" t="inlineStr">
        <is>
          <t>Dev</t>
        </is>
      </c>
      <c r="C290" s="7" t="inlineStr">
        <is>
          <t>Project Manager</t>
        </is>
      </c>
      <c r="D290" s="7" t="inlineStr">
        <is>
          <t>PRJ024</t>
        </is>
      </c>
      <c r="E290" s="7" t="inlineStr">
        <is>
          <t>Process Mining</t>
        </is>
      </c>
      <c r="F290" s="8" t="n">
        <v>46357</v>
      </c>
      <c r="G290" s="7" t="n">
        <v>75</v>
      </c>
      <c r="H290" s="7" t="n">
        <v>100</v>
      </c>
    </row>
    <row r="291" ht="15" customHeight="1" s="5">
      <c r="A291" s="7" t="inlineStr">
        <is>
          <t>Resource 12</t>
        </is>
      </c>
      <c r="B291" s="7" t="inlineStr">
        <is>
          <t>Dev</t>
        </is>
      </c>
      <c r="C291" s="7" t="inlineStr">
        <is>
          <t>Project Manager</t>
        </is>
      </c>
      <c r="D291" s="7" t="inlineStr">
        <is>
          <t>PRJ024</t>
        </is>
      </c>
      <c r="E291" s="7" t="inlineStr">
        <is>
          <t>Process Mining</t>
        </is>
      </c>
      <c r="F291" s="8" t="n">
        <v>46388</v>
      </c>
      <c r="G291" s="7" t="n">
        <v>100</v>
      </c>
      <c r="H291" s="7" t="n">
        <v>100</v>
      </c>
    </row>
    <row r="292" ht="15" customHeight="1" s="5">
      <c r="A292" s="7" t="inlineStr">
        <is>
          <t>Resource 12</t>
        </is>
      </c>
      <c r="B292" s="7" t="inlineStr">
        <is>
          <t>Dev</t>
        </is>
      </c>
      <c r="C292" s="7" t="inlineStr">
        <is>
          <t>Project Manager</t>
        </is>
      </c>
      <c r="D292" s="7" t="inlineStr">
        <is>
          <t>PRJ011</t>
        </is>
      </c>
      <c r="E292" s="7" t="inlineStr">
        <is>
          <t>IoT Initiative</t>
        </is>
      </c>
      <c r="F292" s="8" t="n">
        <v>45962</v>
      </c>
      <c r="G292" s="7" t="n">
        <v>75</v>
      </c>
      <c r="H292" s="7" t="n">
        <v>100</v>
      </c>
    </row>
    <row r="293" ht="15" customHeight="1" s="5">
      <c r="A293" s="7" t="inlineStr">
        <is>
          <t>Resource 12</t>
        </is>
      </c>
      <c r="B293" s="7" t="inlineStr">
        <is>
          <t>Dev</t>
        </is>
      </c>
      <c r="C293" s="7" t="inlineStr">
        <is>
          <t>Project Manager</t>
        </is>
      </c>
      <c r="D293" s="7" t="inlineStr">
        <is>
          <t>PRJ011</t>
        </is>
      </c>
      <c r="E293" s="7" t="inlineStr">
        <is>
          <t>IoT Initiative</t>
        </is>
      </c>
      <c r="F293" s="8" t="n">
        <v>45992</v>
      </c>
      <c r="G293" s="7" t="n">
        <v>90</v>
      </c>
      <c r="H293" s="7" t="n">
        <v>100</v>
      </c>
    </row>
    <row r="294" ht="15" customHeight="1" s="5">
      <c r="A294" s="7" t="inlineStr">
        <is>
          <t>Resource 12</t>
        </is>
      </c>
      <c r="B294" s="7" t="inlineStr">
        <is>
          <t>Dev</t>
        </is>
      </c>
      <c r="C294" s="7" t="inlineStr">
        <is>
          <t>Project Manager</t>
        </is>
      </c>
      <c r="D294" s="7" t="inlineStr">
        <is>
          <t>PRJ011</t>
        </is>
      </c>
      <c r="E294" s="7" t="inlineStr">
        <is>
          <t>IoT Initiative</t>
        </is>
      </c>
      <c r="F294" s="8" t="n">
        <v>46023</v>
      </c>
      <c r="G294" s="7" t="n">
        <v>75</v>
      </c>
      <c r="H294" s="7" t="n">
        <v>100</v>
      </c>
    </row>
    <row r="295" ht="15" customHeight="1" s="5">
      <c r="A295" s="7" t="inlineStr">
        <is>
          <t>Resource 12</t>
        </is>
      </c>
      <c r="B295" s="7" t="inlineStr">
        <is>
          <t>Dev</t>
        </is>
      </c>
      <c r="C295" s="7" t="inlineStr">
        <is>
          <t>Project Manager</t>
        </is>
      </c>
      <c r="D295" s="7" t="inlineStr">
        <is>
          <t>PRJ011</t>
        </is>
      </c>
      <c r="E295" s="7" t="inlineStr">
        <is>
          <t>IoT Initiative</t>
        </is>
      </c>
      <c r="F295" s="8" t="n">
        <v>46054</v>
      </c>
      <c r="G295" s="7" t="n">
        <v>75</v>
      </c>
      <c r="H295" s="7" t="n">
        <v>100</v>
      </c>
    </row>
    <row r="296" ht="15" customHeight="1" s="5">
      <c r="A296" s="7" t="inlineStr">
        <is>
          <t>Resource 12</t>
        </is>
      </c>
      <c r="B296" s="7" t="inlineStr">
        <is>
          <t>Dev</t>
        </is>
      </c>
      <c r="C296" s="7" t="inlineStr">
        <is>
          <t>Project Manager</t>
        </is>
      </c>
      <c r="D296" s="7" t="inlineStr">
        <is>
          <t>PRJ011</t>
        </is>
      </c>
      <c r="E296" s="7" t="inlineStr">
        <is>
          <t>IoT Initiative</t>
        </is>
      </c>
      <c r="F296" s="8" t="n">
        <v>46082</v>
      </c>
      <c r="G296" s="7" t="n">
        <v>90</v>
      </c>
      <c r="H296" s="7" t="n">
        <v>100</v>
      </c>
    </row>
    <row r="297" ht="15" customHeight="1" s="5">
      <c r="A297" s="7" t="inlineStr">
        <is>
          <t>Resource 12</t>
        </is>
      </c>
      <c r="B297" s="7" t="inlineStr">
        <is>
          <t>Dev</t>
        </is>
      </c>
      <c r="C297" s="7" t="inlineStr">
        <is>
          <t>Project Manager</t>
        </is>
      </c>
      <c r="D297" s="7" t="inlineStr">
        <is>
          <t>PRJ011</t>
        </is>
      </c>
      <c r="E297" s="7" t="inlineStr">
        <is>
          <t>IoT Initiative</t>
        </is>
      </c>
      <c r="F297" s="8" t="n">
        <v>46113</v>
      </c>
      <c r="G297" s="7" t="n">
        <v>90</v>
      </c>
      <c r="H297" s="7" t="n">
        <v>100</v>
      </c>
    </row>
    <row r="298" ht="15" customHeight="1" s="5">
      <c r="A298" s="7" t="inlineStr">
        <is>
          <t>Resource 13</t>
        </is>
      </c>
      <c r="B298" s="7" t="inlineStr">
        <is>
          <t>Data</t>
        </is>
      </c>
      <c r="C298" s="7" t="inlineStr">
        <is>
          <t>Project Manager</t>
        </is>
      </c>
      <c r="D298" s="7" t="inlineStr">
        <is>
          <t>PRJ038</t>
        </is>
      </c>
      <c r="E298" s="7" t="inlineStr">
        <is>
          <t>Salesforce CRM</t>
        </is>
      </c>
      <c r="F298" s="8" t="n">
        <v>45901</v>
      </c>
      <c r="G298" s="7" t="n">
        <v>65</v>
      </c>
      <c r="H298" s="7" t="n">
        <v>100</v>
      </c>
    </row>
    <row r="299" ht="15" customHeight="1" s="5">
      <c r="A299" s="7" t="inlineStr">
        <is>
          <t>Resource 13</t>
        </is>
      </c>
      <c r="B299" s="7" t="inlineStr">
        <is>
          <t>Data</t>
        </is>
      </c>
      <c r="C299" s="7" t="inlineStr">
        <is>
          <t>Project Manager</t>
        </is>
      </c>
      <c r="D299" s="7" t="inlineStr">
        <is>
          <t>PRJ038</t>
        </is>
      </c>
      <c r="E299" s="7" t="inlineStr">
        <is>
          <t>Salesforce CRM</t>
        </is>
      </c>
      <c r="F299" s="8" t="n">
        <v>45931</v>
      </c>
      <c r="G299" s="7" t="n">
        <v>50</v>
      </c>
      <c r="H299" s="7" t="n">
        <v>100</v>
      </c>
    </row>
    <row r="300" ht="15" customHeight="1" s="5">
      <c r="A300" s="7" t="inlineStr">
        <is>
          <t>Resource 13</t>
        </is>
      </c>
      <c r="B300" s="7" t="inlineStr">
        <is>
          <t>Data</t>
        </is>
      </c>
      <c r="C300" s="7" t="inlineStr">
        <is>
          <t>Project Manager</t>
        </is>
      </c>
      <c r="D300" s="7" t="inlineStr">
        <is>
          <t>PRJ038</t>
        </is>
      </c>
      <c r="E300" s="7" t="inlineStr">
        <is>
          <t>Salesforce CRM</t>
        </is>
      </c>
      <c r="F300" s="8" t="n">
        <v>45962</v>
      </c>
      <c r="G300" s="7" t="n">
        <v>65</v>
      </c>
      <c r="H300" s="7" t="n">
        <v>100</v>
      </c>
    </row>
    <row r="301" ht="15" customHeight="1" s="5">
      <c r="A301" s="7" t="inlineStr">
        <is>
          <t>Resource 13</t>
        </is>
      </c>
      <c r="B301" s="7" t="inlineStr">
        <is>
          <t>Data</t>
        </is>
      </c>
      <c r="C301" s="7" t="inlineStr">
        <is>
          <t>Project Manager</t>
        </is>
      </c>
      <c r="D301" s="7" t="inlineStr">
        <is>
          <t>PRJ038</t>
        </is>
      </c>
      <c r="E301" s="7" t="inlineStr">
        <is>
          <t>Salesforce CRM</t>
        </is>
      </c>
      <c r="F301" s="8" t="n">
        <v>45992</v>
      </c>
      <c r="G301" s="7" t="n">
        <v>85</v>
      </c>
      <c r="H301" s="7" t="n">
        <v>100</v>
      </c>
    </row>
    <row r="302" ht="15" customHeight="1" s="5">
      <c r="A302" s="7" t="inlineStr">
        <is>
          <t>Resource 13</t>
        </is>
      </c>
      <c r="B302" s="7" t="inlineStr">
        <is>
          <t>Data</t>
        </is>
      </c>
      <c r="C302" s="7" t="inlineStr">
        <is>
          <t>Project Manager</t>
        </is>
      </c>
      <c r="D302" s="7" t="inlineStr">
        <is>
          <t>PRJ038</t>
        </is>
      </c>
      <c r="E302" s="7" t="inlineStr">
        <is>
          <t>Salesforce CRM</t>
        </is>
      </c>
      <c r="F302" s="8" t="n">
        <v>46023</v>
      </c>
      <c r="G302" s="7" t="n">
        <v>75</v>
      </c>
      <c r="H302" s="7" t="n">
        <v>100</v>
      </c>
    </row>
    <row r="303" ht="15" customHeight="1" s="5">
      <c r="A303" s="7" t="inlineStr">
        <is>
          <t>Resource 13</t>
        </is>
      </c>
      <c r="B303" s="7" t="inlineStr">
        <is>
          <t>Data</t>
        </is>
      </c>
      <c r="C303" s="7" t="inlineStr">
        <is>
          <t>Project Manager</t>
        </is>
      </c>
      <c r="D303" s="7" t="inlineStr">
        <is>
          <t>PRJ024</t>
        </is>
      </c>
      <c r="E303" s="7" t="inlineStr">
        <is>
          <t>Process Mining</t>
        </is>
      </c>
      <c r="F303" s="8" t="n">
        <v>45992</v>
      </c>
      <c r="G303" s="7" t="n">
        <v>100</v>
      </c>
      <c r="H303" s="7" t="n">
        <v>100</v>
      </c>
    </row>
    <row r="304" ht="15" customHeight="1" s="5">
      <c r="A304" s="7" t="inlineStr">
        <is>
          <t>Resource 13</t>
        </is>
      </c>
      <c r="B304" s="7" t="inlineStr">
        <is>
          <t>Data</t>
        </is>
      </c>
      <c r="C304" s="7" t="inlineStr">
        <is>
          <t>Project Manager</t>
        </is>
      </c>
      <c r="D304" s="7" t="inlineStr">
        <is>
          <t>PRJ024</t>
        </is>
      </c>
      <c r="E304" s="7" t="inlineStr">
        <is>
          <t>Process Mining</t>
        </is>
      </c>
      <c r="F304" s="8" t="n">
        <v>46023</v>
      </c>
      <c r="G304" s="7" t="n">
        <v>100</v>
      </c>
      <c r="H304" s="7" t="n">
        <v>100</v>
      </c>
    </row>
    <row r="305" ht="15" customHeight="1" s="5">
      <c r="A305" s="7" t="inlineStr">
        <is>
          <t>Resource 13</t>
        </is>
      </c>
      <c r="B305" s="7" t="inlineStr">
        <is>
          <t>Data</t>
        </is>
      </c>
      <c r="C305" s="7" t="inlineStr">
        <is>
          <t>Project Manager</t>
        </is>
      </c>
      <c r="D305" s="7" t="inlineStr">
        <is>
          <t>PRJ024</t>
        </is>
      </c>
      <c r="E305" s="7" t="inlineStr">
        <is>
          <t>Process Mining</t>
        </is>
      </c>
      <c r="F305" s="8" t="n">
        <v>46054</v>
      </c>
      <c r="G305" s="7" t="n">
        <v>90</v>
      </c>
      <c r="H305" s="7" t="n">
        <v>100</v>
      </c>
    </row>
    <row r="306" ht="15" customHeight="1" s="5">
      <c r="A306" s="7" t="inlineStr">
        <is>
          <t>Resource 13</t>
        </is>
      </c>
      <c r="B306" s="7" t="inlineStr">
        <is>
          <t>Data</t>
        </is>
      </c>
      <c r="C306" s="7" t="inlineStr">
        <is>
          <t>Project Manager</t>
        </is>
      </c>
      <c r="D306" s="7" t="inlineStr">
        <is>
          <t>PRJ024</t>
        </is>
      </c>
      <c r="E306" s="7" t="inlineStr">
        <is>
          <t>Process Mining</t>
        </is>
      </c>
      <c r="F306" s="8" t="n">
        <v>46082</v>
      </c>
      <c r="G306" s="7" t="n">
        <v>75</v>
      </c>
      <c r="H306" s="7" t="n">
        <v>100</v>
      </c>
    </row>
    <row r="307" ht="15" customHeight="1" s="5">
      <c r="A307" s="7" t="inlineStr">
        <is>
          <t>Resource 13</t>
        </is>
      </c>
      <c r="B307" s="7" t="inlineStr">
        <is>
          <t>Data</t>
        </is>
      </c>
      <c r="C307" s="7" t="inlineStr">
        <is>
          <t>Project Manager</t>
        </is>
      </c>
      <c r="D307" s="7" t="inlineStr">
        <is>
          <t>PRJ024</t>
        </is>
      </c>
      <c r="E307" s="7" t="inlineStr">
        <is>
          <t>Process Mining</t>
        </is>
      </c>
      <c r="F307" s="8" t="n">
        <v>46113</v>
      </c>
      <c r="G307" s="7" t="n">
        <v>90</v>
      </c>
      <c r="H307" s="7" t="n">
        <v>100</v>
      </c>
    </row>
    <row r="308" ht="15" customHeight="1" s="5">
      <c r="A308" s="7" t="inlineStr">
        <is>
          <t>Resource 13</t>
        </is>
      </c>
      <c r="B308" s="7" t="inlineStr">
        <is>
          <t>Data</t>
        </is>
      </c>
      <c r="C308" s="7" t="inlineStr">
        <is>
          <t>Project Manager</t>
        </is>
      </c>
      <c r="D308" s="7" t="inlineStr">
        <is>
          <t>PRJ024</t>
        </is>
      </c>
      <c r="E308" s="7" t="inlineStr">
        <is>
          <t>Process Mining</t>
        </is>
      </c>
      <c r="F308" s="8" t="n">
        <v>46143</v>
      </c>
      <c r="G308" s="7" t="n">
        <v>90</v>
      </c>
      <c r="H308" s="7" t="n">
        <v>100</v>
      </c>
    </row>
    <row r="309" ht="15" customHeight="1" s="5">
      <c r="A309" s="7" t="inlineStr">
        <is>
          <t>Resource 13</t>
        </is>
      </c>
      <c r="B309" s="7" t="inlineStr">
        <is>
          <t>Data</t>
        </is>
      </c>
      <c r="C309" s="7" t="inlineStr">
        <is>
          <t>Project Manager</t>
        </is>
      </c>
      <c r="D309" s="7" t="inlineStr">
        <is>
          <t>PRJ024</t>
        </is>
      </c>
      <c r="E309" s="7" t="inlineStr">
        <is>
          <t>Process Mining</t>
        </is>
      </c>
      <c r="F309" s="8" t="n">
        <v>46174</v>
      </c>
      <c r="G309" s="7" t="n">
        <v>100</v>
      </c>
      <c r="H309" s="7" t="n">
        <v>100</v>
      </c>
    </row>
    <row r="310" ht="15" customHeight="1" s="5">
      <c r="A310" s="7" t="inlineStr">
        <is>
          <t>Resource 13</t>
        </is>
      </c>
      <c r="B310" s="7" t="inlineStr">
        <is>
          <t>Data</t>
        </is>
      </c>
      <c r="C310" s="7" t="inlineStr">
        <is>
          <t>Project Manager</t>
        </is>
      </c>
      <c r="D310" s="7" t="inlineStr">
        <is>
          <t>PRJ024</t>
        </is>
      </c>
      <c r="E310" s="7" t="inlineStr">
        <is>
          <t>Process Mining</t>
        </is>
      </c>
      <c r="F310" s="8" t="n">
        <v>46204</v>
      </c>
      <c r="G310" s="7" t="n">
        <v>90</v>
      </c>
      <c r="H310" s="7" t="n">
        <v>100</v>
      </c>
    </row>
    <row r="311" ht="15" customHeight="1" s="5">
      <c r="A311" s="7" t="inlineStr">
        <is>
          <t>Resource 13</t>
        </is>
      </c>
      <c r="B311" s="7" t="inlineStr">
        <is>
          <t>Data</t>
        </is>
      </c>
      <c r="C311" s="7" t="inlineStr">
        <is>
          <t>Project Manager</t>
        </is>
      </c>
      <c r="D311" s="7" t="inlineStr">
        <is>
          <t>PRJ024</t>
        </is>
      </c>
      <c r="E311" s="7" t="inlineStr">
        <is>
          <t>Process Mining</t>
        </is>
      </c>
      <c r="F311" s="8" t="n">
        <v>46235</v>
      </c>
      <c r="G311" s="7" t="n">
        <v>90</v>
      </c>
      <c r="H311" s="7" t="n">
        <v>100</v>
      </c>
    </row>
    <row r="312" ht="15" customHeight="1" s="5">
      <c r="A312" s="7" t="inlineStr">
        <is>
          <t>Resource 13</t>
        </is>
      </c>
      <c r="B312" s="7" t="inlineStr">
        <is>
          <t>Data</t>
        </is>
      </c>
      <c r="C312" s="7" t="inlineStr">
        <is>
          <t>Project Manager</t>
        </is>
      </c>
      <c r="D312" s="7" t="inlineStr">
        <is>
          <t>PRJ024</t>
        </is>
      </c>
      <c r="E312" s="7" t="inlineStr">
        <is>
          <t>Process Mining</t>
        </is>
      </c>
      <c r="F312" s="8" t="n">
        <v>46266</v>
      </c>
      <c r="G312" s="7" t="n">
        <v>100</v>
      </c>
      <c r="H312" s="7" t="n">
        <v>100</v>
      </c>
    </row>
    <row r="313" ht="15" customHeight="1" s="5">
      <c r="A313" s="7" t="inlineStr">
        <is>
          <t>Resource 13</t>
        </is>
      </c>
      <c r="B313" s="7" t="inlineStr">
        <is>
          <t>Data</t>
        </is>
      </c>
      <c r="C313" s="7" t="inlineStr">
        <is>
          <t>Project Manager</t>
        </is>
      </c>
      <c r="D313" s="7" t="inlineStr">
        <is>
          <t>PRJ024</t>
        </is>
      </c>
      <c r="E313" s="7" t="inlineStr">
        <is>
          <t>Process Mining</t>
        </is>
      </c>
      <c r="F313" s="8" t="n">
        <v>46296</v>
      </c>
      <c r="G313" s="7" t="n">
        <v>100</v>
      </c>
      <c r="H313" s="7" t="n">
        <v>100</v>
      </c>
    </row>
    <row r="314" ht="15" customHeight="1" s="5">
      <c r="A314" s="7" t="inlineStr">
        <is>
          <t>Resource 13</t>
        </is>
      </c>
      <c r="B314" s="7" t="inlineStr">
        <is>
          <t>Data</t>
        </is>
      </c>
      <c r="C314" s="7" t="inlineStr">
        <is>
          <t>Project Manager</t>
        </is>
      </c>
      <c r="D314" s="7" t="inlineStr">
        <is>
          <t>PRJ024</t>
        </is>
      </c>
      <c r="E314" s="7" t="inlineStr">
        <is>
          <t>Process Mining</t>
        </is>
      </c>
      <c r="F314" s="8" t="n">
        <v>46327</v>
      </c>
      <c r="G314" s="7" t="n">
        <v>100</v>
      </c>
      <c r="H314" s="7" t="n">
        <v>100</v>
      </c>
    </row>
    <row r="315" ht="15" customHeight="1" s="5">
      <c r="A315" s="7" t="inlineStr">
        <is>
          <t>Resource 13</t>
        </is>
      </c>
      <c r="B315" s="7" t="inlineStr">
        <is>
          <t>Data</t>
        </is>
      </c>
      <c r="C315" s="7" t="inlineStr">
        <is>
          <t>Project Manager</t>
        </is>
      </c>
      <c r="D315" s="7" t="inlineStr">
        <is>
          <t>PRJ024</t>
        </is>
      </c>
      <c r="E315" s="7" t="inlineStr">
        <is>
          <t>Process Mining</t>
        </is>
      </c>
      <c r="F315" s="8" t="n">
        <v>46357</v>
      </c>
      <c r="G315" s="7" t="n">
        <v>100</v>
      </c>
      <c r="H315" s="7" t="n">
        <v>100</v>
      </c>
    </row>
    <row r="316" ht="15" customHeight="1" s="5">
      <c r="A316" s="7" t="inlineStr">
        <is>
          <t>Resource 13</t>
        </is>
      </c>
      <c r="B316" s="7" t="inlineStr">
        <is>
          <t>Data</t>
        </is>
      </c>
      <c r="C316" s="7" t="inlineStr">
        <is>
          <t>Project Manager</t>
        </is>
      </c>
      <c r="D316" s="7" t="inlineStr">
        <is>
          <t>PRJ024</t>
        </is>
      </c>
      <c r="E316" s="7" t="inlineStr">
        <is>
          <t>Process Mining</t>
        </is>
      </c>
      <c r="F316" s="8" t="n">
        <v>46388</v>
      </c>
      <c r="G316" s="7" t="n">
        <v>100</v>
      </c>
      <c r="H316" s="7" t="n">
        <v>100</v>
      </c>
    </row>
    <row r="317" ht="15" customHeight="1" s="5">
      <c r="A317" s="7" t="inlineStr">
        <is>
          <t>Resource 13</t>
        </is>
      </c>
      <c r="B317" s="7" t="inlineStr">
        <is>
          <t>Data</t>
        </is>
      </c>
      <c r="C317" s="7" t="inlineStr">
        <is>
          <t>Project Manager</t>
        </is>
      </c>
      <c r="D317" s="7" t="inlineStr">
        <is>
          <t>PRJ036</t>
        </is>
      </c>
      <c r="E317" s="7" t="inlineStr">
        <is>
          <t>HR Self-Service</t>
        </is>
      </c>
      <c r="F317" s="8" t="n">
        <v>45778</v>
      </c>
      <c r="G317" s="7" t="n">
        <v>25</v>
      </c>
      <c r="H317" s="7" t="n">
        <v>100</v>
      </c>
    </row>
    <row r="318" ht="15" customHeight="1" s="5">
      <c r="A318" s="7" t="inlineStr">
        <is>
          <t>Resource 13</t>
        </is>
      </c>
      <c r="B318" s="7" t="inlineStr">
        <is>
          <t>Data</t>
        </is>
      </c>
      <c r="C318" s="7" t="inlineStr">
        <is>
          <t>Project Manager</t>
        </is>
      </c>
      <c r="D318" s="7" t="inlineStr">
        <is>
          <t>PRJ036</t>
        </is>
      </c>
      <c r="E318" s="7" t="inlineStr">
        <is>
          <t>HR Self-Service</t>
        </is>
      </c>
      <c r="F318" s="8" t="n">
        <v>45809</v>
      </c>
      <c r="G318" s="7" t="n">
        <v>25</v>
      </c>
      <c r="H318" s="7" t="n">
        <v>100</v>
      </c>
    </row>
    <row r="319" ht="15" customHeight="1" s="5">
      <c r="A319" s="7" t="inlineStr">
        <is>
          <t>Resource 13</t>
        </is>
      </c>
      <c r="B319" s="7" t="inlineStr">
        <is>
          <t>Data</t>
        </is>
      </c>
      <c r="C319" s="7" t="inlineStr">
        <is>
          <t>Project Manager</t>
        </is>
      </c>
      <c r="D319" s="7" t="inlineStr">
        <is>
          <t>PRJ036</t>
        </is>
      </c>
      <c r="E319" s="7" t="inlineStr">
        <is>
          <t>HR Self-Service</t>
        </is>
      </c>
      <c r="F319" s="8" t="n">
        <v>45839</v>
      </c>
      <c r="G319" s="7" t="n">
        <v>0</v>
      </c>
      <c r="H319" s="7" t="n">
        <v>100</v>
      </c>
    </row>
    <row r="320" ht="15" customHeight="1" s="5">
      <c r="A320" s="7" t="inlineStr">
        <is>
          <t>Resource 13</t>
        </is>
      </c>
      <c r="B320" s="7" t="inlineStr">
        <is>
          <t>Data</t>
        </is>
      </c>
      <c r="C320" s="7" t="inlineStr">
        <is>
          <t>Project Manager</t>
        </is>
      </c>
      <c r="D320" s="7" t="inlineStr">
        <is>
          <t>PRJ036</t>
        </is>
      </c>
      <c r="E320" s="7" t="inlineStr">
        <is>
          <t>HR Self-Service</t>
        </is>
      </c>
      <c r="F320" s="8" t="n">
        <v>45870</v>
      </c>
      <c r="G320" s="7" t="n">
        <v>0</v>
      </c>
      <c r="H320" s="7" t="n">
        <v>100</v>
      </c>
    </row>
    <row r="321" ht="15" customHeight="1" s="5">
      <c r="A321" s="7" t="inlineStr">
        <is>
          <t>Resource 13</t>
        </is>
      </c>
      <c r="B321" s="7" t="inlineStr">
        <is>
          <t>Data</t>
        </is>
      </c>
      <c r="C321" s="7" t="inlineStr">
        <is>
          <t>Project Manager</t>
        </is>
      </c>
      <c r="D321" s="7" t="inlineStr">
        <is>
          <t>PRJ036</t>
        </is>
      </c>
      <c r="E321" s="7" t="inlineStr">
        <is>
          <t>HR Self-Service</t>
        </is>
      </c>
      <c r="F321" s="8" t="n">
        <v>45901</v>
      </c>
      <c r="G321" s="7" t="n">
        <v>15</v>
      </c>
      <c r="H321" s="7" t="n">
        <v>100</v>
      </c>
    </row>
    <row r="322" ht="15" customHeight="1" s="5">
      <c r="A322" s="7" t="inlineStr">
        <is>
          <t>Resource 13</t>
        </is>
      </c>
      <c r="B322" s="7" t="inlineStr">
        <is>
          <t>Data</t>
        </is>
      </c>
      <c r="C322" s="7" t="inlineStr">
        <is>
          <t>Project Manager</t>
        </is>
      </c>
      <c r="D322" s="7" t="inlineStr">
        <is>
          <t>PRJ036</t>
        </is>
      </c>
      <c r="E322" s="7" t="inlineStr">
        <is>
          <t>HR Self-Service</t>
        </is>
      </c>
      <c r="F322" s="8" t="n">
        <v>45931</v>
      </c>
      <c r="G322" s="7" t="n">
        <v>0</v>
      </c>
      <c r="H322" s="7" t="n">
        <v>100</v>
      </c>
    </row>
    <row r="323" ht="15" customHeight="1" s="5">
      <c r="A323" s="7" t="inlineStr">
        <is>
          <t>Resource 13</t>
        </is>
      </c>
      <c r="B323" s="7" t="inlineStr">
        <is>
          <t>Data</t>
        </is>
      </c>
      <c r="C323" s="7" t="inlineStr">
        <is>
          <t>Project Manager</t>
        </is>
      </c>
      <c r="D323" s="7" t="inlineStr">
        <is>
          <t>PRJ036</t>
        </is>
      </c>
      <c r="E323" s="7" t="inlineStr">
        <is>
          <t>HR Self-Service</t>
        </is>
      </c>
      <c r="F323" s="8" t="n">
        <v>45962</v>
      </c>
      <c r="G323" s="7" t="n">
        <v>25</v>
      </c>
      <c r="H323" s="7" t="n">
        <v>100</v>
      </c>
    </row>
    <row r="324" ht="15" customHeight="1" s="5">
      <c r="A324" s="7" t="inlineStr">
        <is>
          <t>Resource 13</t>
        </is>
      </c>
      <c r="B324" s="7" t="inlineStr">
        <is>
          <t>Data</t>
        </is>
      </c>
      <c r="C324" s="7" t="inlineStr">
        <is>
          <t>Project Manager</t>
        </is>
      </c>
      <c r="D324" s="7" t="inlineStr">
        <is>
          <t>PRJ036</t>
        </is>
      </c>
      <c r="E324" s="7" t="inlineStr">
        <is>
          <t>HR Self-Service</t>
        </is>
      </c>
      <c r="F324" s="8" t="n">
        <v>45992</v>
      </c>
      <c r="G324" s="7" t="n">
        <v>25</v>
      </c>
      <c r="H324" s="7" t="n">
        <v>100</v>
      </c>
    </row>
    <row r="325" ht="15" customHeight="1" s="5">
      <c r="A325" s="7" t="inlineStr">
        <is>
          <t>Resource 14</t>
        </is>
      </c>
      <c r="B325" s="7" t="inlineStr">
        <is>
          <t>DevOps</t>
        </is>
      </c>
      <c r="C325" s="7" t="inlineStr">
        <is>
          <t>Tester</t>
        </is>
      </c>
      <c r="D325" s="7" t="inlineStr">
        <is>
          <t>PRJ029</t>
        </is>
      </c>
      <c r="E325" s="7" t="inlineStr">
        <is>
          <t>Analytics Platform 2</t>
        </is>
      </c>
      <c r="F325" s="8" t="n">
        <v>45962</v>
      </c>
      <c r="G325" s="7" t="n">
        <v>65</v>
      </c>
      <c r="H325" s="7" t="n">
        <v>100</v>
      </c>
    </row>
    <row r="326" ht="15" customHeight="1" s="5">
      <c r="A326" s="7" t="inlineStr">
        <is>
          <t>Resource 14</t>
        </is>
      </c>
      <c r="B326" s="7" t="inlineStr">
        <is>
          <t>DevOps</t>
        </is>
      </c>
      <c r="C326" s="7" t="inlineStr">
        <is>
          <t>Tester</t>
        </is>
      </c>
      <c r="D326" s="7" t="inlineStr">
        <is>
          <t>PRJ029</t>
        </is>
      </c>
      <c r="E326" s="7" t="inlineStr">
        <is>
          <t>Analytics Platform 2</t>
        </is>
      </c>
      <c r="F326" s="8" t="n">
        <v>45992</v>
      </c>
      <c r="G326" s="7" t="n">
        <v>90</v>
      </c>
      <c r="H326" s="7" t="n">
        <v>100</v>
      </c>
    </row>
    <row r="327" ht="15" customHeight="1" s="5">
      <c r="A327" s="7" t="inlineStr">
        <is>
          <t>Resource 14</t>
        </is>
      </c>
      <c r="B327" s="7" t="inlineStr">
        <is>
          <t>DevOps</t>
        </is>
      </c>
      <c r="C327" s="7" t="inlineStr">
        <is>
          <t>Tester</t>
        </is>
      </c>
      <c r="D327" s="7" t="inlineStr">
        <is>
          <t>PRJ029</t>
        </is>
      </c>
      <c r="E327" s="7" t="inlineStr">
        <is>
          <t>Analytics Platform 2</t>
        </is>
      </c>
      <c r="F327" s="8" t="n">
        <v>46023</v>
      </c>
      <c r="G327" s="7" t="n">
        <v>75</v>
      </c>
      <c r="H327" s="7" t="n">
        <v>100</v>
      </c>
    </row>
    <row r="328" ht="15" customHeight="1" s="5">
      <c r="A328" s="7" t="inlineStr">
        <is>
          <t>Resource 14</t>
        </is>
      </c>
      <c r="B328" s="7" t="inlineStr">
        <is>
          <t>DevOps</t>
        </is>
      </c>
      <c r="C328" s="7" t="inlineStr">
        <is>
          <t>Tester</t>
        </is>
      </c>
      <c r="D328" s="7" t="inlineStr">
        <is>
          <t>PRJ029</t>
        </is>
      </c>
      <c r="E328" s="7" t="inlineStr">
        <is>
          <t>Analytics Platform 2</t>
        </is>
      </c>
      <c r="F328" s="8" t="n">
        <v>46054</v>
      </c>
      <c r="G328" s="7" t="n">
        <v>50</v>
      </c>
      <c r="H328" s="7" t="n">
        <v>100</v>
      </c>
    </row>
    <row r="329" ht="15" customHeight="1" s="5">
      <c r="A329" s="7" t="inlineStr">
        <is>
          <t>Resource 14</t>
        </is>
      </c>
      <c r="B329" s="7" t="inlineStr">
        <is>
          <t>DevOps</t>
        </is>
      </c>
      <c r="C329" s="7" t="inlineStr">
        <is>
          <t>Tester</t>
        </is>
      </c>
      <c r="D329" s="7" t="inlineStr">
        <is>
          <t>PRJ029</t>
        </is>
      </c>
      <c r="E329" s="7" t="inlineStr">
        <is>
          <t>Analytics Platform 2</t>
        </is>
      </c>
      <c r="F329" s="8" t="n">
        <v>46082</v>
      </c>
      <c r="G329" s="7" t="n">
        <v>90</v>
      </c>
      <c r="H329" s="7" t="n">
        <v>100</v>
      </c>
    </row>
    <row r="330" ht="15" customHeight="1" s="5">
      <c r="A330" s="7" t="inlineStr">
        <is>
          <t>Resource 14</t>
        </is>
      </c>
      <c r="B330" s="7" t="inlineStr">
        <is>
          <t>DevOps</t>
        </is>
      </c>
      <c r="C330" s="7" t="inlineStr">
        <is>
          <t>Tester</t>
        </is>
      </c>
      <c r="D330" s="7" t="inlineStr">
        <is>
          <t>PRJ029</t>
        </is>
      </c>
      <c r="E330" s="7" t="inlineStr">
        <is>
          <t>Analytics Platform 2</t>
        </is>
      </c>
      <c r="F330" s="8" t="n">
        <v>46113</v>
      </c>
      <c r="G330" s="7" t="n">
        <v>50</v>
      </c>
      <c r="H330" s="7" t="n">
        <v>100</v>
      </c>
    </row>
    <row r="331" ht="15" customHeight="1" s="5">
      <c r="A331" s="7" t="inlineStr">
        <is>
          <t>Resource 14</t>
        </is>
      </c>
      <c r="B331" s="7" t="inlineStr">
        <is>
          <t>DevOps</t>
        </is>
      </c>
      <c r="C331" s="7" t="inlineStr">
        <is>
          <t>Tester</t>
        </is>
      </c>
      <c r="D331" s="7" t="inlineStr">
        <is>
          <t>PRJ029</t>
        </is>
      </c>
      <c r="E331" s="7" t="inlineStr">
        <is>
          <t>Analytics Platform 2</t>
        </is>
      </c>
      <c r="F331" s="8" t="n">
        <v>46143</v>
      </c>
      <c r="G331" s="7" t="n">
        <v>65</v>
      </c>
      <c r="H331" s="7" t="n">
        <v>100</v>
      </c>
    </row>
    <row r="332" ht="15" customHeight="1" s="5">
      <c r="A332" s="7" t="inlineStr">
        <is>
          <t>Resource 14</t>
        </is>
      </c>
      <c r="B332" s="7" t="inlineStr">
        <is>
          <t>DevOps</t>
        </is>
      </c>
      <c r="C332" s="7" t="inlineStr">
        <is>
          <t>Tester</t>
        </is>
      </c>
      <c r="D332" s="7" t="inlineStr">
        <is>
          <t>PRJ029</t>
        </is>
      </c>
      <c r="E332" s="7" t="inlineStr">
        <is>
          <t>Analytics Platform 2</t>
        </is>
      </c>
      <c r="F332" s="8" t="n">
        <v>46174</v>
      </c>
      <c r="G332" s="7" t="n">
        <v>65</v>
      </c>
      <c r="H332" s="7" t="n">
        <v>100</v>
      </c>
    </row>
    <row r="333" ht="15" customHeight="1" s="5">
      <c r="A333" s="7" t="inlineStr">
        <is>
          <t>Resource 14</t>
        </is>
      </c>
      <c r="B333" s="7" t="inlineStr">
        <is>
          <t>DevOps</t>
        </is>
      </c>
      <c r="C333" s="7" t="inlineStr">
        <is>
          <t>Tester</t>
        </is>
      </c>
      <c r="D333" s="7" t="inlineStr">
        <is>
          <t>PRJ029</t>
        </is>
      </c>
      <c r="E333" s="7" t="inlineStr">
        <is>
          <t>Analytics Platform 2</t>
        </is>
      </c>
      <c r="F333" s="8" t="n">
        <v>46204</v>
      </c>
      <c r="G333" s="7" t="n">
        <v>90</v>
      </c>
      <c r="H333" s="7" t="n">
        <v>100</v>
      </c>
    </row>
    <row r="334" ht="15" customHeight="1" s="5">
      <c r="A334" s="7" t="inlineStr">
        <is>
          <t>Resource 14</t>
        </is>
      </c>
      <c r="B334" s="7" t="inlineStr">
        <is>
          <t>DevOps</t>
        </is>
      </c>
      <c r="C334" s="7" t="inlineStr">
        <is>
          <t>Tester</t>
        </is>
      </c>
      <c r="D334" s="7" t="inlineStr">
        <is>
          <t>PRJ029</t>
        </is>
      </c>
      <c r="E334" s="7" t="inlineStr">
        <is>
          <t>Analytics Platform 2</t>
        </is>
      </c>
      <c r="F334" s="8" t="n">
        <v>46235</v>
      </c>
      <c r="G334" s="7" t="n">
        <v>65</v>
      </c>
      <c r="H334" s="7" t="n">
        <v>100</v>
      </c>
    </row>
    <row r="335" ht="15" customHeight="1" s="5">
      <c r="A335" s="7" t="inlineStr">
        <is>
          <t>Resource 14</t>
        </is>
      </c>
      <c r="B335" s="7" t="inlineStr">
        <is>
          <t>DevOps</t>
        </is>
      </c>
      <c r="C335" s="7" t="inlineStr">
        <is>
          <t>Tester</t>
        </is>
      </c>
      <c r="D335" s="7" t="inlineStr">
        <is>
          <t>PRJ029</t>
        </is>
      </c>
      <c r="E335" s="7" t="inlineStr">
        <is>
          <t>Analytics Platform 2</t>
        </is>
      </c>
      <c r="F335" s="8" t="n">
        <v>46266</v>
      </c>
      <c r="G335" s="7" t="n">
        <v>90</v>
      </c>
      <c r="H335" s="7" t="n">
        <v>100</v>
      </c>
    </row>
    <row r="336" ht="15" customHeight="1" s="5">
      <c r="A336" s="7" t="inlineStr">
        <is>
          <t>Resource 14</t>
        </is>
      </c>
      <c r="B336" s="7" t="inlineStr">
        <is>
          <t>DevOps</t>
        </is>
      </c>
      <c r="C336" s="7" t="inlineStr">
        <is>
          <t>Tester</t>
        </is>
      </c>
      <c r="D336" s="7" t="inlineStr">
        <is>
          <t>PRJ029</t>
        </is>
      </c>
      <c r="E336" s="7" t="inlineStr">
        <is>
          <t>Analytics Platform 2</t>
        </is>
      </c>
      <c r="F336" s="8" t="n">
        <v>46296</v>
      </c>
      <c r="G336" s="7" t="n">
        <v>65</v>
      </c>
      <c r="H336" s="7" t="n">
        <v>100</v>
      </c>
    </row>
    <row r="337" ht="15" customHeight="1" s="5">
      <c r="A337" s="7" t="inlineStr">
        <is>
          <t>Resource 14</t>
        </is>
      </c>
      <c r="B337" s="7" t="inlineStr">
        <is>
          <t>DevOps</t>
        </is>
      </c>
      <c r="C337" s="7" t="inlineStr">
        <is>
          <t>Tester</t>
        </is>
      </c>
      <c r="D337" s="7" t="inlineStr">
        <is>
          <t>PRJ029</t>
        </is>
      </c>
      <c r="E337" s="7" t="inlineStr">
        <is>
          <t>Analytics Platform 2</t>
        </is>
      </c>
      <c r="F337" s="8" t="n">
        <v>46327</v>
      </c>
      <c r="G337" s="7" t="n">
        <v>75</v>
      </c>
      <c r="H337" s="7" t="n">
        <v>100</v>
      </c>
    </row>
    <row r="338" ht="15" customHeight="1" s="5">
      <c r="A338" s="7" t="inlineStr">
        <is>
          <t>Resource 15</t>
        </is>
      </c>
      <c r="B338" s="7" t="inlineStr">
        <is>
          <t>Dev</t>
        </is>
      </c>
      <c r="C338" s="7" t="inlineStr">
        <is>
          <t>Developer</t>
        </is>
      </c>
      <c r="D338" s="7" t="inlineStr">
        <is>
          <t>PRJ006</t>
        </is>
      </c>
      <c r="E338" s="7" t="inlineStr">
        <is>
          <t>Cyber Security Program</t>
        </is>
      </c>
      <c r="F338" s="8" t="n">
        <v>45717</v>
      </c>
      <c r="G338" s="7" t="n">
        <v>100</v>
      </c>
      <c r="H338" s="7" t="n">
        <v>100</v>
      </c>
    </row>
    <row r="339" ht="15" customHeight="1" s="5">
      <c r="A339" s="7" t="inlineStr">
        <is>
          <t>Resource 15</t>
        </is>
      </c>
      <c r="B339" s="7" t="inlineStr">
        <is>
          <t>Dev</t>
        </is>
      </c>
      <c r="C339" s="7" t="inlineStr">
        <is>
          <t>Developer</t>
        </is>
      </c>
      <c r="D339" s="7" t="inlineStr">
        <is>
          <t>PRJ006</t>
        </is>
      </c>
      <c r="E339" s="7" t="inlineStr">
        <is>
          <t>Cyber Security Program</t>
        </is>
      </c>
      <c r="F339" s="8" t="n">
        <v>45748</v>
      </c>
      <c r="G339" s="7" t="n">
        <v>75</v>
      </c>
      <c r="H339" s="7" t="n">
        <v>100</v>
      </c>
    </row>
    <row r="340" ht="15" customHeight="1" s="5">
      <c r="A340" s="7" t="inlineStr">
        <is>
          <t>Resource 15</t>
        </is>
      </c>
      <c r="B340" s="7" t="inlineStr">
        <is>
          <t>Dev</t>
        </is>
      </c>
      <c r="C340" s="7" t="inlineStr">
        <is>
          <t>Developer</t>
        </is>
      </c>
      <c r="D340" s="7" t="inlineStr">
        <is>
          <t>PRJ006</t>
        </is>
      </c>
      <c r="E340" s="7" t="inlineStr">
        <is>
          <t>Cyber Security Program</t>
        </is>
      </c>
      <c r="F340" s="8" t="n">
        <v>45778</v>
      </c>
      <c r="G340" s="7" t="n">
        <v>75</v>
      </c>
      <c r="H340" s="7" t="n">
        <v>100</v>
      </c>
    </row>
    <row r="341" ht="15" customHeight="1" s="5">
      <c r="A341" s="7" t="inlineStr">
        <is>
          <t>Resource 15</t>
        </is>
      </c>
      <c r="B341" s="7" t="inlineStr">
        <is>
          <t>Dev</t>
        </is>
      </c>
      <c r="C341" s="7" t="inlineStr">
        <is>
          <t>Developer</t>
        </is>
      </c>
      <c r="D341" s="7" t="inlineStr">
        <is>
          <t>PRJ006</t>
        </is>
      </c>
      <c r="E341" s="7" t="inlineStr">
        <is>
          <t>Cyber Security Program</t>
        </is>
      </c>
      <c r="F341" s="8" t="n">
        <v>45809</v>
      </c>
      <c r="G341" s="7" t="n">
        <v>75</v>
      </c>
      <c r="H341" s="7" t="n">
        <v>100</v>
      </c>
    </row>
    <row r="342" ht="15" customHeight="1" s="5">
      <c r="A342" s="7" t="inlineStr">
        <is>
          <t>Resource 15</t>
        </is>
      </c>
      <c r="B342" s="7" t="inlineStr">
        <is>
          <t>Dev</t>
        </is>
      </c>
      <c r="C342" s="7" t="inlineStr">
        <is>
          <t>Developer</t>
        </is>
      </c>
      <c r="D342" s="7" t="inlineStr">
        <is>
          <t>PRJ006</t>
        </is>
      </c>
      <c r="E342" s="7" t="inlineStr">
        <is>
          <t>Cyber Security Program</t>
        </is>
      </c>
      <c r="F342" s="8" t="n">
        <v>45839</v>
      </c>
      <c r="G342" s="7" t="n">
        <v>100</v>
      </c>
      <c r="H342" s="7" t="n">
        <v>100</v>
      </c>
    </row>
    <row r="343" ht="15" customHeight="1" s="5">
      <c r="A343" s="7" t="inlineStr">
        <is>
          <t>Resource 15</t>
        </is>
      </c>
      <c r="B343" s="7" t="inlineStr">
        <is>
          <t>Dev</t>
        </is>
      </c>
      <c r="C343" s="7" t="inlineStr">
        <is>
          <t>Developer</t>
        </is>
      </c>
      <c r="D343" s="7" t="inlineStr">
        <is>
          <t>PRJ006</t>
        </is>
      </c>
      <c r="E343" s="7" t="inlineStr">
        <is>
          <t>Cyber Security Program</t>
        </is>
      </c>
      <c r="F343" s="8" t="n">
        <v>45870</v>
      </c>
      <c r="G343" s="7" t="n">
        <v>100</v>
      </c>
      <c r="H343" s="7" t="n">
        <v>100</v>
      </c>
    </row>
    <row r="344" ht="15" customHeight="1" s="5">
      <c r="A344" s="7" t="inlineStr">
        <is>
          <t>Resource 15</t>
        </is>
      </c>
      <c r="B344" s="7" t="inlineStr">
        <is>
          <t>Dev</t>
        </is>
      </c>
      <c r="C344" s="7" t="inlineStr">
        <is>
          <t>Developer</t>
        </is>
      </c>
      <c r="D344" s="7" t="inlineStr">
        <is>
          <t>PRJ006</t>
        </is>
      </c>
      <c r="E344" s="7" t="inlineStr">
        <is>
          <t>Cyber Security Program</t>
        </is>
      </c>
      <c r="F344" s="8" t="n">
        <v>45901</v>
      </c>
      <c r="G344" s="7" t="n">
        <v>75</v>
      </c>
      <c r="H344" s="7" t="n">
        <v>100</v>
      </c>
    </row>
    <row r="345" ht="15" customHeight="1" s="5">
      <c r="A345" s="7" t="inlineStr">
        <is>
          <t>Resource 15</t>
        </is>
      </c>
      <c r="B345" s="7" t="inlineStr">
        <is>
          <t>Dev</t>
        </is>
      </c>
      <c r="C345" s="7" t="inlineStr">
        <is>
          <t>Developer</t>
        </is>
      </c>
      <c r="D345" s="7" t="inlineStr">
        <is>
          <t>PRJ006</t>
        </is>
      </c>
      <c r="E345" s="7" t="inlineStr">
        <is>
          <t>Cyber Security Program</t>
        </is>
      </c>
      <c r="F345" s="8" t="n">
        <v>45931</v>
      </c>
      <c r="G345" s="7" t="n">
        <v>90</v>
      </c>
      <c r="H345" s="7" t="n">
        <v>100</v>
      </c>
    </row>
    <row r="346" ht="15" customHeight="1" s="5">
      <c r="A346" s="7" t="inlineStr">
        <is>
          <t>Resource 15</t>
        </is>
      </c>
      <c r="B346" s="7" t="inlineStr">
        <is>
          <t>Dev</t>
        </is>
      </c>
      <c r="C346" s="7" t="inlineStr">
        <is>
          <t>Developer</t>
        </is>
      </c>
      <c r="D346" s="7" t="inlineStr">
        <is>
          <t>PRJ006</t>
        </is>
      </c>
      <c r="E346" s="7" t="inlineStr">
        <is>
          <t>Cyber Security Program</t>
        </is>
      </c>
      <c r="F346" s="8" t="n">
        <v>45962</v>
      </c>
      <c r="G346" s="7" t="n">
        <v>75</v>
      </c>
      <c r="H346" s="7" t="n">
        <v>100</v>
      </c>
    </row>
    <row r="347" ht="15" customHeight="1" s="5">
      <c r="A347" s="7" t="inlineStr">
        <is>
          <t>Resource 15</t>
        </is>
      </c>
      <c r="B347" s="7" t="inlineStr">
        <is>
          <t>Dev</t>
        </is>
      </c>
      <c r="C347" s="7" t="inlineStr">
        <is>
          <t>Developer</t>
        </is>
      </c>
      <c r="D347" s="7" t="inlineStr">
        <is>
          <t>PRJ006</t>
        </is>
      </c>
      <c r="E347" s="7" t="inlineStr">
        <is>
          <t>Cyber Security Program</t>
        </is>
      </c>
      <c r="F347" s="8" t="n">
        <v>45992</v>
      </c>
      <c r="G347" s="7" t="n">
        <v>75</v>
      </c>
      <c r="H347" s="7" t="n">
        <v>100</v>
      </c>
    </row>
    <row r="348" ht="15" customHeight="1" s="5">
      <c r="A348" s="7" t="inlineStr">
        <is>
          <t>Resource 15</t>
        </is>
      </c>
      <c r="B348" s="7" t="inlineStr">
        <is>
          <t>Dev</t>
        </is>
      </c>
      <c r="C348" s="7" t="inlineStr">
        <is>
          <t>Developer</t>
        </is>
      </c>
      <c r="D348" s="7" t="inlineStr">
        <is>
          <t>PRJ006</t>
        </is>
      </c>
      <c r="E348" s="7" t="inlineStr">
        <is>
          <t>Cyber Security Program</t>
        </is>
      </c>
      <c r="F348" s="8" t="n">
        <v>46023</v>
      </c>
      <c r="G348" s="7" t="n">
        <v>100</v>
      </c>
      <c r="H348" s="7" t="n">
        <v>100</v>
      </c>
    </row>
    <row r="349" ht="15" customHeight="1" s="5">
      <c r="A349" s="7" t="inlineStr">
        <is>
          <t>Resource 15</t>
        </is>
      </c>
      <c r="B349" s="7" t="inlineStr">
        <is>
          <t>Dev</t>
        </is>
      </c>
      <c r="C349" s="7" t="inlineStr">
        <is>
          <t>Developer</t>
        </is>
      </c>
      <c r="D349" s="7" t="inlineStr">
        <is>
          <t>PRJ006</t>
        </is>
      </c>
      <c r="E349" s="7" t="inlineStr">
        <is>
          <t>Cyber Security Program</t>
        </is>
      </c>
      <c r="F349" s="8" t="n">
        <v>46054</v>
      </c>
      <c r="G349" s="7" t="n">
        <v>100</v>
      </c>
      <c r="H349" s="7" t="n">
        <v>100</v>
      </c>
    </row>
    <row r="350" ht="15" customHeight="1" s="5">
      <c r="A350" s="7" t="inlineStr">
        <is>
          <t>Resource 15</t>
        </is>
      </c>
      <c r="B350" s="7" t="inlineStr">
        <is>
          <t>Dev</t>
        </is>
      </c>
      <c r="C350" s="7" t="inlineStr">
        <is>
          <t>Developer</t>
        </is>
      </c>
      <c r="D350" s="7" t="inlineStr">
        <is>
          <t>PRJ006</t>
        </is>
      </c>
      <c r="E350" s="7" t="inlineStr">
        <is>
          <t>Cyber Security Program</t>
        </is>
      </c>
      <c r="F350" s="8" t="n">
        <v>46082</v>
      </c>
      <c r="G350" s="7" t="n">
        <v>100</v>
      </c>
      <c r="H350" s="7" t="n">
        <v>100</v>
      </c>
    </row>
    <row r="351" ht="15" customHeight="1" s="5">
      <c r="A351" s="7" t="inlineStr">
        <is>
          <t>Resource 15</t>
        </is>
      </c>
      <c r="B351" s="7" t="inlineStr">
        <is>
          <t>Dev</t>
        </is>
      </c>
      <c r="C351" s="7" t="inlineStr">
        <is>
          <t>Developer</t>
        </is>
      </c>
      <c r="D351" s="7" t="inlineStr">
        <is>
          <t>PRJ006</t>
        </is>
      </c>
      <c r="E351" s="7" t="inlineStr">
        <is>
          <t>Cyber Security Program</t>
        </is>
      </c>
      <c r="F351" s="8" t="n">
        <v>46113</v>
      </c>
      <c r="G351" s="7" t="n">
        <v>75</v>
      </c>
      <c r="H351" s="7" t="n">
        <v>100</v>
      </c>
    </row>
    <row r="352" ht="15" customHeight="1" s="5">
      <c r="A352" s="7" t="inlineStr">
        <is>
          <t>Resource 15</t>
        </is>
      </c>
      <c r="B352" s="7" t="inlineStr">
        <is>
          <t>Dev</t>
        </is>
      </c>
      <c r="C352" s="7" t="inlineStr">
        <is>
          <t>Developer</t>
        </is>
      </c>
      <c r="D352" s="7" t="inlineStr">
        <is>
          <t>PRJ006</t>
        </is>
      </c>
      <c r="E352" s="7" t="inlineStr">
        <is>
          <t>Cyber Security Program</t>
        </is>
      </c>
      <c r="F352" s="8" t="n">
        <v>46143</v>
      </c>
      <c r="G352" s="7" t="n">
        <v>100</v>
      </c>
      <c r="H352" s="7" t="n">
        <v>100</v>
      </c>
    </row>
    <row r="353" ht="15" customHeight="1" s="5">
      <c r="A353" s="7" t="inlineStr">
        <is>
          <t>Resource 16</t>
        </is>
      </c>
      <c r="B353" s="7" t="inlineStr">
        <is>
          <t>BA</t>
        </is>
      </c>
      <c r="C353" s="7" t="inlineStr">
        <is>
          <t>Tester</t>
        </is>
      </c>
      <c r="D353" s="7" t="inlineStr">
        <is>
          <t>PRJ005</t>
        </is>
      </c>
      <c r="E353" s="7" t="inlineStr">
        <is>
          <t>Network Refresh</t>
        </is>
      </c>
      <c r="F353" s="8" t="n">
        <v>45839</v>
      </c>
      <c r="G353" s="7" t="n">
        <v>90</v>
      </c>
      <c r="H353" s="7" t="n">
        <v>100</v>
      </c>
    </row>
    <row r="354" ht="15" customHeight="1" s="5">
      <c r="A354" s="7" t="inlineStr">
        <is>
          <t>Resource 16</t>
        </is>
      </c>
      <c r="B354" s="7" t="inlineStr">
        <is>
          <t>BA</t>
        </is>
      </c>
      <c r="C354" s="7" t="inlineStr">
        <is>
          <t>Tester</t>
        </is>
      </c>
      <c r="D354" s="7" t="inlineStr">
        <is>
          <t>PRJ005</t>
        </is>
      </c>
      <c r="E354" s="7" t="inlineStr">
        <is>
          <t>Network Refresh</t>
        </is>
      </c>
      <c r="F354" s="8" t="n">
        <v>45870</v>
      </c>
      <c r="G354" s="7" t="n">
        <v>50</v>
      </c>
      <c r="H354" s="7" t="n">
        <v>100</v>
      </c>
    </row>
    <row r="355" ht="15" customHeight="1" s="5">
      <c r="A355" s="7" t="inlineStr">
        <is>
          <t>Resource 16</t>
        </is>
      </c>
      <c r="B355" s="7" t="inlineStr">
        <is>
          <t>BA</t>
        </is>
      </c>
      <c r="C355" s="7" t="inlineStr">
        <is>
          <t>Tester</t>
        </is>
      </c>
      <c r="D355" s="7" t="inlineStr">
        <is>
          <t>PRJ005</t>
        </is>
      </c>
      <c r="E355" s="7" t="inlineStr">
        <is>
          <t>Network Refresh</t>
        </is>
      </c>
      <c r="F355" s="8" t="n">
        <v>45901</v>
      </c>
      <c r="G355" s="7" t="n">
        <v>50</v>
      </c>
      <c r="H355" s="7" t="n">
        <v>100</v>
      </c>
    </row>
    <row r="356" ht="15" customHeight="1" s="5">
      <c r="A356" s="7" t="inlineStr">
        <is>
          <t>Resource 16</t>
        </is>
      </c>
      <c r="B356" s="7" t="inlineStr">
        <is>
          <t>BA</t>
        </is>
      </c>
      <c r="C356" s="7" t="inlineStr">
        <is>
          <t>Tester</t>
        </is>
      </c>
      <c r="D356" s="7" t="inlineStr">
        <is>
          <t>PRJ005</t>
        </is>
      </c>
      <c r="E356" s="7" t="inlineStr">
        <is>
          <t>Network Refresh</t>
        </is>
      </c>
      <c r="F356" s="8" t="n">
        <v>45931</v>
      </c>
      <c r="G356" s="7" t="n">
        <v>50</v>
      </c>
      <c r="H356" s="7" t="n">
        <v>100</v>
      </c>
    </row>
    <row r="357" ht="15" customHeight="1" s="5">
      <c r="A357" s="7" t="inlineStr">
        <is>
          <t>Resource 16</t>
        </is>
      </c>
      <c r="B357" s="7" t="inlineStr">
        <is>
          <t>BA</t>
        </is>
      </c>
      <c r="C357" s="7" t="inlineStr">
        <is>
          <t>Tester</t>
        </is>
      </c>
      <c r="D357" s="7" t="inlineStr">
        <is>
          <t>PRJ005</t>
        </is>
      </c>
      <c r="E357" s="7" t="inlineStr">
        <is>
          <t>Network Refresh</t>
        </is>
      </c>
      <c r="F357" s="8" t="n">
        <v>45962</v>
      </c>
      <c r="G357" s="7" t="n">
        <v>85</v>
      </c>
      <c r="H357" s="7" t="n">
        <v>100</v>
      </c>
    </row>
    <row r="358" ht="15" customHeight="1" s="5">
      <c r="A358" s="7" t="inlineStr">
        <is>
          <t>Resource 16</t>
        </is>
      </c>
      <c r="B358" s="7" t="inlineStr">
        <is>
          <t>BA</t>
        </is>
      </c>
      <c r="C358" s="7" t="inlineStr">
        <is>
          <t>Tester</t>
        </is>
      </c>
      <c r="D358" s="7" t="inlineStr">
        <is>
          <t>PRJ005</t>
        </is>
      </c>
      <c r="E358" s="7" t="inlineStr">
        <is>
          <t>Network Refresh</t>
        </is>
      </c>
      <c r="F358" s="8" t="n">
        <v>45992</v>
      </c>
      <c r="G358" s="7" t="n">
        <v>65</v>
      </c>
      <c r="H358" s="7" t="n">
        <v>100</v>
      </c>
    </row>
    <row r="359" ht="15" customHeight="1" s="5">
      <c r="A359" s="7" t="inlineStr">
        <is>
          <t>Resource 16</t>
        </is>
      </c>
      <c r="B359" s="7" t="inlineStr">
        <is>
          <t>BA</t>
        </is>
      </c>
      <c r="C359" s="7" t="inlineStr">
        <is>
          <t>Tester</t>
        </is>
      </c>
      <c r="D359" s="7" t="inlineStr">
        <is>
          <t>PRJ005</t>
        </is>
      </c>
      <c r="E359" s="7" t="inlineStr">
        <is>
          <t>Network Refresh</t>
        </is>
      </c>
      <c r="F359" s="8" t="n">
        <v>46023</v>
      </c>
      <c r="G359" s="7" t="n">
        <v>85</v>
      </c>
      <c r="H359" s="7" t="n">
        <v>100</v>
      </c>
    </row>
    <row r="360" ht="15" customHeight="1" s="5">
      <c r="A360" s="7" t="inlineStr">
        <is>
          <t>Resource 16</t>
        </is>
      </c>
      <c r="B360" s="7" t="inlineStr">
        <is>
          <t>BA</t>
        </is>
      </c>
      <c r="C360" s="7" t="inlineStr">
        <is>
          <t>Tester</t>
        </is>
      </c>
      <c r="D360" s="7" t="inlineStr">
        <is>
          <t>PRJ005</t>
        </is>
      </c>
      <c r="E360" s="7" t="inlineStr">
        <is>
          <t>Network Refresh</t>
        </is>
      </c>
      <c r="F360" s="8" t="n">
        <v>46054</v>
      </c>
      <c r="G360" s="7" t="n">
        <v>65</v>
      </c>
      <c r="H360" s="7" t="n">
        <v>100</v>
      </c>
    </row>
    <row r="361" ht="15" customHeight="1" s="5">
      <c r="A361" s="7" t="inlineStr">
        <is>
          <t>Resource 16</t>
        </is>
      </c>
      <c r="B361" s="7" t="inlineStr">
        <is>
          <t>BA</t>
        </is>
      </c>
      <c r="C361" s="7" t="inlineStr">
        <is>
          <t>Tester</t>
        </is>
      </c>
      <c r="D361" s="7" t="inlineStr">
        <is>
          <t>PRJ005</t>
        </is>
      </c>
      <c r="E361" s="7" t="inlineStr">
        <is>
          <t>Network Refresh</t>
        </is>
      </c>
      <c r="F361" s="8" t="n">
        <v>46082</v>
      </c>
      <c r="G361" s="7" t="n">
        <v>65</v>
      </c>
      <c r="H361" s="7" t="n">
        <v>100</v>
      </c>
    </row>
    <row r="362" ht="15" customHeight="1" s="5">
      <c r="A362" s="7" t="inlineStr">
        <is>
          <t>Resource 16</t>
        </is>
      </c>
      <c r="B362" s="7" t="inlineStr">
        <is>
          <t>BA</t>
        </is>
      </c>
      <c r="C362" s="7" t="inlineStr">
        <is>
          <t>Tester</t>
        </is>
      </c>
      <c r="D362" s="7" t="inlineStr">
        <is>
          <t>PRJ005</t>
        </is>
      </c>
      <c r="E362" s="7" t="inlineStr">
        <is>
          <t>Network Refresh</t>
        </is>
      </c>
      <c r="F362" s="8" t="n">
        <v>46113</v>
      </c>
      <c r="G362" s="7" t="n">
        <v>90</v>
      </c>
      <c r="H362" s="7" t="n">
        <v>100</v>
      </c>
    </row>
    <row r="363" ht="15" customHeight="1" s="5">
      <c r="A363" s="7" t="inlineStr">
        <is>
          <t>Resource 16</t>
        </is>
      </c>
      <c r="B363" s="7" t="inlineStr">
        <is>
          <t>BA</t>
        </is>
      </c>
      <c r="C363" s="7" t="inlineStr">
        <is>
          <t>Tester</t>
        </is>
      </c>
      <c r="D363" s="7" t="inlineStr">
        <is>
          <t>PRJ005</t>
        </is>
      </c>
      <c r="E363" s="7" t="inlineStr">
        <is>
          <t>Network Refresh</t>
        </is>
      </c>
      <c r="F363" s="8" t="n">
        <v>46143</v>
      </c>
      <c r="G363" s="7" t="n">
        <v>75</v>
      </c>
      <c r="H363" s="7" t="n">
        <v>100</v>
      </c>
    </row>
    <row r="364" ht="15" customHeight="1" s="5">
      <c r="A364" s="7" t="inlineStr">
        <is>
          <t>Resource 16</t>
        </is>
      </c>
      <c r="B364" s="7" t="inlineStr">
        <is>
          <t>BA</t>
        </is>
      </c>
      <c r="C364" s="7" t="inlineStr">
        <is>
          <t>Tester</t>
        </is>
      </c>
      <c r="D364" s="7" t="inlineStr">
        <is>
          <t>PRJ005</t>
        </is>
      </c>
      <c r="E364" s="7" t="inlineStr">
        <is>
          <t>Network Refresh</t>
        </is>
      </c>
      <c r="F364" s="8" t="n">
        <v>46174</v>
      </c>
      <c r="G364" s="7" t="n">
        <v>50</v>
      </c>
      <c r="H364" s="7" t="n">
        <v>100</v>
      </c>
    </row>
    <row r="365" ht="15" customHeight="1" s="5">
      <c r="A365" s="7" t="inlineStr">
        <is>
          <t>Resource 16</t>
        </is>
      </c>
      <c r="B365" s="7" t="inlineStr">
        <is>
          <t>BA</t>
        </is>
      </c>
      <c r="C365" s="7" t="inlineStr">
        <is>
          <t>Tester</t>
        </is>
      </c>
      <c r="D365" s="7" t="inlineStr">
        <is>
          <t>PRJ005</t>
        </is>
      </c>
      <c r="E365" s="7" t="inlineStr">
        <is>
          <t>Network Refresh</t>
        </is>
      </c>
      <c r="F365" s="8" t="n">
        <v>46204</v>
      </c>
      <c r="G365" s="7" t="n">
        <v>50</v>
      </c>
      <c r="H365" s="7" t="n">
        <v>100</v>
      </c>
    </row>
    <row r="366" ht="15" customHeight="1" s="5">
      <c r="A366" s="7" t="inlineStr">
        <is>
          <t>Resource 16</t>
        </is>
      </c>
      <c r="B366" s="7" t="inlineStr">
        <is>
          <t>BA</t>
        </is>
      </c>
      <c r="C366" s="7" t="inlineStr">
        <is>
          <t>Tester</t>
        </is>
      </c>
      <c r="D366" s="7" t="inlineStr">
        <is>
          <t>PRJ005</t>
        </is>
      </c>
      <c r="E366" s="7" t="inlineStr">
        <is>
          <t>Network Refresh</t>
        </is>
      </c>
      <c r="F366" s="8" t="n">
        <v>46235</v>
      </c>
      <c r="G366" s="7" t="n">
        <v>65</v>
      </c>
      <c r="H366" s="7" t="n">
        <v>100</v>
      </c>
    </row>
    <row r="367" ht="15" customHeight="1" s="5">
      <c r="A367" s="7" t="inlineStr">
        <is>
          <t>Resource 16</t>
        </is>
      </c>
      <c r="B367" s="7" t="inlineStr">
        <is>
          <t>BA</t>
        </is>
      </c>
      <c r="C367" s="7" t="inlineStr">
        <is>
          <t>Tester</t>
        </is>
      </c>
      <c r="D367" s="7" t="inlineStr">
        <is>
          <t>PRJ005</t>
        </is>
      </c>
      <c r="E367" s="7" t="inlineStr">
        <is>
          <t>Network Refresh</t>
        </is>
      </c>
      <c r="F367" s="8" t="n">
        <v>46266</v>
      </c>
      <c r="G367" s="7" t="n">
        <v>90</v>
      </c>
      <c r="H367" s="7" t="n">
        <v>100</v>
      </c>
    </row>
    <row r="368" ht="15" customHeight="1" s="5">
      <c r="A368" s="7" t="inlineStr">
        <is>
          <t>Resource 16</t>
        </is>
      </c>
      <c r="B368" s="7" t="inlineStr">
        <is>
          <t>BA</t>
        </is>
      </c>
      <c r="C368" s="7" t="inlineStr">
        <is>
          <t>Tester</t>
        </is>
      </c>
      <c r="D368" s="7" t="inlineStr">
        <is>
          <t>PRJ005</t>
        </is>
      </c>
      <c r="E368" s="7" t="inlineStr">
        <is>
          <t>Network Refresh</t>
        </is>
      </c>
      <c r="F368" s="8" t="n">
        <v>46296</v>
      </c>
      <c r="G368" s="7" t="n">
        <v>75</v>
      </c>
      <c r="H368" s="7" t="n">
        <v>100</v>
      </c>
    </row>
    <row r="369" ht="15" customHeight="1" s="5">
      <c r="A369" s="7" t="inlineStr">
        <is>
          <t>Resource 16</t>
        </is>
      </c>
      <c r="B369" s="7" t="inlineStr">
        <is>
          <t>BA</t>
        </is>
      </c>
      <c r="C369" s="7" t="inlineStr">
        <is>
          <t>Tester</t>
        </is>
      </c>
      <c r="D369" s="7" t="inlineStr">
        <is>
          <t>PRJ005</t>
        </is>
      </c>
      <c r="E369" s="7" t="inlineStr">
        <is>
          <t>Network Refresh</t>
        </is>
      </c>
      <c r="F369" s="8" t="n">
        <v>46327</v>
      </c>
      <c r="G369" s="7" t="n">
        <v>85</v>
      </c>
      <c r="H369" s="7" t="n">
        <v>100</v>
      </c>
    </row>
    <row r="370" ht="15" customHeight="1" s="5">
      <c r="A370" s="7" t="inlineStr">
        <is>
          <t>Resource 16</t>
        </is>
      </c>
      <c r="B370" s="7" t="inlineStr">
        <is>
          <t>BA</t>
        </is>
      </c>
      <c r="C370" s="7" t="inlineStr">
        <is>
          <t>Tester</t>
        </is>
      </c>
      <c r="D370" s="7" t="inlineStr">
        <is>
          <t>PRJ005</t>
        </is>
      </c>
      <c r="E370" s="7" t="inlineStr">
        <is>
          <t>Network Refresh</t>
        </is>
      </c>
      <c r="F370" s="8" t="n">
        <v>46357</v>
      </c>
      <c r="G370" s="7" t="n">
        <v>75</v>
      </c>
      <c r="H370" s="7" t="n">
        <v>100</v>
      </c>
    </row>
    <row r="371" ht="15" customHeight="1" s="5">
      <c r="A371" s="7" t="inlineStr">
        <is>
          <t>Resource 16</t>
        </is>
      </c>
      <c r="B371" s="7" t="inlineStr">
        <is>
          <t>BA</t>
        </is>
      </c>
      <c r="C371" s="7" t="inlineStr">
        <is>
          <t>Tester</t>
        </is>
      </c>
      <c r="D371" s="7" t="inlineStr">
        <is>
          <t>PRJ005</t>
        </is>
      </c>
      <c r="E371" s="7" t="inlineStr">
        <is>
          <t>Network Refresh</t>
        </is>
      </c>
      <c r="F371" s="8" t="n">
        <v>46388</v>
      </c>
      <c r="G371" s="7" t="n">
        <v>75</v>
      </c>
      <c r="H371" s="7" t="n">
        <v>100</v>
      </c>
    </row>
    <row r="372" ht="15" customHeight="1" s="5">
      <c r="A372" s="7" t="inlineStr">
        <is>
          <t>Resource 17</t>
        </is>
      </c>
      <c r="B372" s="7" t="inlineStr">
        <is>
          <t>Dev</t>
        </is>
      </c>
      <c r="C372" s="7" t="inlineStr">
        <is>
          <t>Architect</t>
        </is>
      </c>
      <c r="D372" s="7" t="inlineStr">
        <is>
          <t>PRJ040</t>
        </is>
      </c>
      <c r="E372" s="7" t="inlineStr">
        <is>
          <t>Zero-Trust Net</t>
        </is>
      </c>
      <c r="F372" s="8" t="n">
        <v>45689</v>
      </c>
      <c r="G372" s="7" t="n">
        <v>60</v>
      </c>
      <c r="H372" s="7" t="n">
        <v>100</v>
      </c>
    </row>
    <row r="373" ht="15" customHeight="1" s="5">
      <c r="A373" s="7" t="inlineStr">
        <is>
          <t>Resource 17</t>
        </is>
      </c>
      <c r="B373" s="7" t="inlineStr">
        <is>
          <t>Dev</t>
        </is>
      </c>
      <c r="C373" s="7" t="inlineStr">
        <is>
          <t>Architect</t>
        </is>
      </c>
      <c r="D373" s="7" t="inlineStr">
        <is>
          <t>PRJ040</t>
        </is>
      </c>
      <c r="E373" s="7" t="inlineStr">
        <is>
          <t>Zero-Trust Net</t>
        </is>
      </c>
      <c r="F373" s="8" t="n">
        <v>45717</v>
      </c>
      <c r="G373" s="7" t="n">
        <v>60</v>
      </c>
      <c r="H373" s="7" t="n">
        <v>100</v>
      </c>
    </row>
    <row r="374" ht="15" customHeight="1" s="5">
      <c r="A374" s="7" t="inlineStr">
        <is>
          <t>Resource 17</t>
        </is>
      </c>
      <c r="B374" s="7" t="inlineStr">
        <is>
          <t>Dev</t>
        </is>
      </c>
      <c r="C374" s="7" t="inlineStr">
        <is>
          <t>Architect</t>
        </is>
      </c>
      <c r="D374" s="7" t="inlineStr">
        <is>
          <t>PRJ040</t>
        </is>
      </c>
      <c r="E374" s="7" t="inlineStr">
        <is>
          <t>Zero-Trust Net</t>
        </is>
      </c>
      <c r="F374" s="8" t="n">
        <v>45748</v>
      </c>
      <c r="G374" s="7" t="n">
        <v>25</v>
      </c>
      <c r="H374" s="7" t="n">
        <v>100</v>
      </c>
    </row>
    <row r="375" ht="15" customHeight="1" s="5">
      <c r="A375" s="7" t="inlineStr">
        <is>
          <t>Resource 17</t>
        </is>
      </c>
      <c r="B375" s="7" t="inlineStr">
        <is>
          <t>Dev</t>
        </is>
      </c>
      <c r="C375" s="7" t="inlineStr">
        <is>
          <t>Architect</t>
        </is>
      </c>
      <c r="D375" s="7" t="inlineStr">
        <is>
          <t>PRJ040</t>
        </is>
      </c>
      <c r="E375" s="7" t="inlineStr">
        <is>
          <t>Zero-Trust Net</t>
        </is>
      </c>
      <c r="F375" s="8" t="n">
        <v>45778</v>
      </c>
      <c r="G375" s="7" t="n">
        <v>25</v>
      </c>
      <c r="H375" s="7" t="n">
        <v>100</v>
      </c>
    </row>
    <row r="376" ht="15" customHeight="1" s="5">
      <c r="A376" s="7" t="inlineStr">
        <is>
          <t>Resource 17</t>
        </is>
      </c>
      <c r="B376" s="7" t="inlineStr">
        <is>
          <t>Dev</t>
        </is>
      </c>
      <c r="C376" s="7" t="inlineStr">
        <is>
          <t>Architect</t>
        </is>
      </c>
      <c r="D376" s="7" t="inlineStr">
        <is>
          <t>PRJ040</t>
        </is>
      </c>
      <c r="E376" s="7" t="inlineStr">
        <is>
          <t>Zero-Trust Net</t>
        </is>
      </c>
      <c r="F376" s="8" t="n">
        <v>45809</v>
      </c>
      <c r="G376" s="7" t="n">
        <v>60</v>
      </c>
      <c r="H376" s="7" t="n">
        <v>100</v>
      </c>
    </row>
    <row r="377" ht="15" customHeight="1" s="5">
      <c r="A377" s="7" t="inlineStr">
        <is>
          <t>Resource 17</t>
        </is>
      </c>
      <c r="B377" s="7" t="inlineStr">
        <is>
          <t>Dev</t>
        </is>
      </c>
      <c r="C377" s="7" t="inlineStr">
        <is>
          <t>Architect</t>
        </is>
      </c>
      <c r="D377" s="7" t="inlineStr">
        <is>
          <t>PRJ040</t>
        </is>
      </c>
      <c r="E377" s="7" t="inlineStr">
        <is>
          <t>Zero-Trust Net</t>
        </is>
      </c>
      <c r="F377" s="8" t="n">
        <v>45839</v>
      </c>
      <c r="G377" s="7" t="n">
        <v>25</v>
      </c>
      <c r="H377" s="7" t="n">
        <v>100</v>
      </c>
    </row>
    <row r="378" ht="15" customHeight="1" s="5">
      <c r="A378" s="7" t="inlineStr">
        <is>
          <t>Resource 17</t>
        </is>
      </c>
      <c r="B378" s="7" t="inlineStr">
        <is>
          <t>Dev</t>
        </is>
      </c>
      <c r="C378" s="7" t="inlineStr">
        <is>
          <t>Architect</t>
        </is>
      </c>
      <c r="D378" s="7" t="inlineStr">
        <is>
          <t>PRJ040</t>
        </is>
      </c>
      <c r="E378" s="7" t="inlineStr">
        <is>
          <t>Zero-Trust Net</t>
        </is>
      </c>
      <c r="F378" s="8" t="n">
        <v>45870</v>
      </c>
      <c r="G378" s="7" t="n">
        <v>60</v>
      </c>
      <c r="H378" s="7" t="n">
        <v>100</v>
      </c>
    </row>
    <row r="379" ht="15" customHeight="1" s="5">
      <c r="A379" s="7" t="inlineStr">
        <is>
          <t>Resource 17</t>
        </is>
      </c>
      <c r="B379" s="7" t="inlineStr">
        <is>
          <t>Dev</t>
        </is>
      </c>
      <c r="C379" s="7" t="inlineStr">
        <is>
          <t>Architect</t>
        </is>
      </c>
      <c r="D379" s="7" t="inlineStr">
        <is>
          <t>PRJ040</t>
        </is>
      </c>
      <c r="E379" s="7" t="inlineStr">
        <is>
          <t>Zero-Trust Net</t>
        </is>
      </c>
      <c r="F379" s="8" t="n">
        <v>45901</v>
      </c>
      <c r="G379" s="7" t="n">
        <v>40</v>
      </c>
      <c r="H379" s="7" t="n">
        <v>100</v>
      </c>
    </row>
    <row r="380" ht="15" customHeight="1" s="5">
      <c r="A380" s="7" t="inlineStr">
        <is>
          <t>Resource 17</t>
        </is>
      </c>
      <c r="B380" s="7" t="inlineStr">
        <is>
          <t>Dev</t>
        </is>
      </c>
      <c r="C380" s="7" t="inlineStr">
        <is>
          <t>Architect</t>
        </is>
      </c>
      <c r="D380" s="7" t="inlineStr">
        <is>
          <t>PRJ040</t>
        </is>
      </c>
      <c r="E380" s="7" t="inlineStr">
        <is>
          <t>Zero-Trust Net</t>
        </is>
      </c>
      <c r="F380" s="8" t="n">
        <v>45931</v>
      </c>
      <c r="G380" s="7" t="n">
        <v>65</v>
      </c>
      <c r="H380" s="7" t="n">
        <v>100</v>
      </c>
    </row>
    <row r="381" ht="15" customHeight="1" s="5">
      <c r="A381" s="7" t="inlineStr">
        <is>
          <t>Resource 17</t>
        </is>
      </c>
      <c r="B381" s="7" t="inlineStr">
        <is>
          <t>Dev</t>
        </is>
      </c>
      <c r="C381" s="7" t="inlineStr">
        <is>
          <t>Architect</t>
        </is>
      </c>
      <c r="D381" s="7" t="inlineStr">
        <is>
          <t>PRJ040</t>
        </is>
      </c>
      <c r="E381" s="7" t="inlineStr">
        <is>
          <t>Zero-Trust Net</t>
        </is>
      </c>
      <c r="F381" s="8" t="n">
        <v>45962</v>
      </c>
      <c r="G381" s="7" t="n">
        <v>40</v>
      </c>
      <c r="H381" s="7" t="n">
        <v>100</v>
      </c>
    </row>
    <row r="382" ht="15" customHeight="1" s="5">
      <c r="A382" s="7" t="inlineStr">
        <is>
          <t>Resource 17</t>
        </is>
      </c>
      <c r="B382" s="7" t="inlineStr">
        <is>
          <t>Dev</t>
        </is>
      </c>
      <c r="C382" s="7" t="inlineStr">
        <is>
          <t>Architect</t>
        </is>
      </c>
      <c r="D382" s="7" t="inlineStr">
        <is>
          <t>PRJ040</t>
        </is>
      </c>
      <c r="E382" s="7" t="inlineStr">
        <is>
          <t>Zero-Trust Net</t>
        </is>
      </c>
      <c r="F382" s="8" t="n">
        <v>45992</v>
      </c>
      <c r="G382" s="7" t="n">
        <v>50</v>
      </c>
      <c r="H382" s="7" t="n">
        <v>100</v>
      </c>
    </row>
    <row r="383" ht="15" customHeight="1" s="5">
      <c r="A383" s="7" t="inlineStr">
        <is>
          <t>Resource 17</t>
        </is>
      </c>
      <c r="B383" s="7" t="inlineStr">
        <is>
          <t>Dev</t>
        </is>
      </c>
      <c r="C383" s="7" t="inlineStr">
        <is>
          <t>Architect</t>
        </is>
      </c>
      <c r="D383" s="7" t="inlineStr">
        <is>
          <t>PRJ040</t>
        </is>
      </c>
      <c r="E383" s="7" t="inlineStr">
        <is>
          <t>Zero-Trust Net</t>
        </is>
      </c>
      <c r="F383" s="8" t="n">
        <v>46023</v>
      </c>
      <c r="G383" s="7" t="n">
        <v>40</v>
      </c>
      <c r="H383" s="7" t="n">
        <v>100</v>
      </c>
    </row>
    <row r="384" ht="15" customHeight="1" s="5">
      <c r="A384" s="7" t="inlineStr">
        <is>
          <t>Resource 17</t>
        </is>
      </c>
      <c r="B384" s="7" t="inlineStr">
        <is>
          <t>Dev</t>
        </is>
      </c>
      <c r="C384" s="7" t="inlineStr">
        <is>
          <t>Architect</t>
        </is>
      </c>
      <c r="D384" s="7" t="inlineStr">
        <is>
          <t>PRJ040</t>
        </is>
      </c>
      <c r="E384" s="7" t="inlineStr">
        <is>
          <t>Zero-Trust Net</t>
        </is>
      </c>
      <c r="F384" s="8" t="n">
        <v>46054</v>
      </c>
      <c r="G384" s="7" t="n">
        <v>60</v>
      </c>
      <c r="H384" s="7" t="n">
        <v>100</v>
      </c>
    </row>
    <row r="385" ht="15" customHeight="1" s="5">
      <c r="A385" s="7" t="inlineStr">
        <is>
          <t>Resource 17</t>
        </is>
      </c>
      <c r="B385" s="7" t="inlineStr">
        <is>
          <t>Dev</t>
        </is>
      </c>
      <c r="C385" s="7" t="inlineStr">
        <is>
          <t>Architect</t>
        </is>
      </c>
      <c r="D385" s="7" t="inlineStr">
        <is>
          <t>PRJ040</t>
        </is>
      </c>
      <c r="E385" s="7" t="inlineStr">
        <is>
          <t>Zero-Trust Net</t>
        </is>
      </c>
      <c r="F385" s="8" t="n">
        <v>46082</v>
      </c>
      <c r="G385" s="7" t="n">
        <v>25</v>
      </c>
      <c r="H385" s="7" t="n">
        <v>100</v>
      </c>
    </row>
    <row r="386" ht="15" customHeight="1" s="5">
      <c r="A386" s="7" t="inlineStr">
        <is>
          <t>Resource 17</t>
        </is>
      </c>
      <c r="B386" s="7" t="inlineStr">
        <is>
          <t>Dev</t>
        </is>
      </c>
      <c r="C386" s="7" t="inlineStr">
        <is>
          <t>Architect</t>
        </is>
      </c>
      <c r="D386" s="7" t="inlineStr">
        <is>
          <t>PRJ040</t>
        </is>
      </c>
      <c r="E386" s="7" t="inlineStr">
        <is>
          <t>Zero-Trust Net</t>
        </is>
      </c>
      <c r="F386" s="8" t="n">
        <v>46113</v>
      </c>
      <c r="G386" s="7" t="n">
        <v>65</v>
      </c>
      <c r="H386" s="7" t="n">
        <v>100</v>
      </c>
    </row>
    <row r="387" ht="15" customHeight="1" s="5">
      <c r="A387" s="7" t="inlineStr">
        <is>
          <t>Resource 17</t>
        </is>
      </c>
      <c r="B387" s="7" t="inlineStr">
        <is>
          <t>Dev</t>
        </is>
      </c>
      <c r="C387" s="7" t="inlineStr">
        <is>
          <t>Architect</t>
        </is>
      </c>
      <c r="D387" s="7" t="inlineStr">
        <is>
          <t>PRJ007</t>
        </is>
      </c>
      <c r="E387" s="7" t="inlineStr">
        <is>
          <t>CRM Upgrade</t>
        </is>
      </c>
      <c r="F387" s="8" t="n">
        <v>45778</v>
      </c>
      <c r="G387" s="7" t="n">
        <v>60</v>
      </c>
      <c r="H387" s="7" t="n">
        <v>100</v>
      </c>
    </row>
    <row r="388" ht="15" customHeight="1" s="5">
      <c r="A388" s="7" t="inlineStr">
        <is>
          <t>Resource 17</t>
        </is>
      </c>
      <c r="B388" s="7" t="inlineStr">
        <is>
          <t>Dev</t>
        </is>
      </c>
      <c r="C388" s="7" t="inlineStr">
        <is>
          <t>Architect</t>
        </is>
      </c>
      <c r="D388" s="7" t="inlineStr">
        <is>
          <t>PRJ007</t>
        </is>
      </c>
      <c r="E388" s="7" t="inlineStr">
        <is>
          <t>CRM Upgrade</t>
        </is>
      </c>
      <c r="F388" s="8" t="n">
        <v>45809</v>
      </c>
      <c r="G388" s="7" t="n">
        <v>65</v>
      </c>
      <c r="H388" s="7" t="n">
        <v>100</v>
      </c>
    </row>
    <row r="389" ht="15" customHeight="1" s="5">
      <c r="A389" s="7" t="inlineStr">
        <is>
          <t>Resource 17</t>
        </is>
      </c>
      <c r="B389" s="7" t="inlineStr">
        <is>
          <t>Dev</t>
        </is>
      </c>
      <c r="C389" s="7" t="inlineStr">
        <is>
          <t>Architect</t>
        </is>
      </c>
      <c r="D389" s="7" t="inlineStr">
        <is>
          <t>PRJ007</t>
        </is>
      </c>
      <c r="E389" s="7" t="inlineStr">
        <is>
          <t>CRM Upgrade</t>
        </is>
      </c>
      <c r="F389" s="8" t="n">
        <v>45839</v>
      </c>
      <c r="G389" s="7" t="n">
        <v>50</v>
      </c>
      <c r="H389" s="7" t="n">
        <v>100</v>
      </c>
    </row>
    <row r="390" ht="15" customHeight="1" s="5">
      <c r="A390" s="7" t="inlineStr">
        <is>
          <t>Resource 17</t>
        </is>
      </c>
      <c r="B390" s="7" t="inlineStr">
        <is>
          <t>Dev</t>
        </is>
      </c>
      <c r="C390" s="7" t="inlineStr">
        <is>
          <t>Architect</t>
        </is>
      </c>
      <c r="D390" s="7" t="inlineStr">
        <is>
          <t>PRJ007</t>
        </is>
      </c>
      <c r="E390" s="7" t="inlineStr">
        <is>
          <t>CRM Upgrade</t>
        </is>
      </c>
      <c r="F390" s="8" t="n">
        <v>45870</v>
      </c>
      <c r="G390" s="7" t="n">
        <v>50</v>
      </c>
      <c r="H390" s="7" t="n">
        <v>100</v>
      </c>
    </row>
    <row r="391" ht="15" customHeight="1" s="5">
      <c r="A391" s="7" t="inlineStr">
        <is>
          <t>Resource 17</t>
        </is>
      </c>
      <c r="B391" s="7" t="inlineStr">
        <is>
          <t>Dev</t>
        </is>
      </c>
      <c r="C391" s="7" t="inlineStr">
        <is>
          <t>Architect</t>
        </is>
      </c>
      <c r="D391" s="7" t="inlineStr">
        <is>
          <t>PRJ007</t>
        </is>
      </c>
      <c r="E391" s="7" t="inlineStr">
        <is>
          <t>CRM Upgrade</t>
        </is>
      </c>
      <c r="F391" s="8" t="n">
        <v>45901</v>
      </c>
      <c r="G391" s="7" t="n">
        <v>65</v>
      </c>
      <c r="H391" s="7" t="n">
        <v>100</v>
      </c>
    </row>
    <row r="392" ht="15" customHeight="1" s="5">
      <c r="A392" s="7" t="inlineStr">
        <is>
          <t>Resource 17</t>
        </is>
      </c>
      <c r="B392" s="7" t="inlineStr">
        <is>
          <t>Dev</t>
        </is>
      </c>
      <c r="C392" s="7" t="inlineStr">
        <is>
          <t>Architect</t>
        </is>
      </c>
      <c r="D392" s="7" t="inlineStr">
        <is>
          <t>PRJ007</t>
        </is>
      </c>
      <c r="E392" s="7" t="inlineStr">
        <is>
          <t>CRM Upgrade</t>
        </is>
      </c>
      <c r="F392" s="8" t="n">
        <v>45931</v>
      </c>
      <c r="G392" s="7" t="n">
        <v>60</v>
      </c>
      <c r="H392" s="7" t="n">
        <v>100</v>
      </c>
    </row>
    <row r="393" ht="15" customHeight="1" s="5">
      <c r="A393" s="7" t="inlineStr">
        <is>
          <t>Resource 17</t>
        </is>
      </c>
      <c r="B393" s="7" t="inlineStr">
        <is>
          <t>Dev</t>
        </is>
      </c>
      <c r="C393" s="7" t="inlineStr">
        <is>
          <t>Architect</t>
        </is>
      </c>
      <c r="D393" s="7" t="inlineStr">
        <is>
          <t>PRJ007</t>
        </is>
      </c>
      <c r="E393" s="7" t="inlineStr">
        <is>
          <t>CRM Upgrade</t>
        </is>
      </c>
      <c r="F393" s="8" t="n">
        <v>45962</v>
      </c>
      <c r="G393" s="7" t="n">
        <v>40</v>
      </c>
      <c r="H393" s="7" t="n">
        <v>100</v>
      </c>
    </row>
    <row r="394" ht="15" customHeight="1" s="5">
      <c r="A394" s="7" t="inlineStr">
        <is>
          <t>Resource 17</t>
        </is>
      </c>
      <c r="B394" s="7" t="inlineStr">
        <is>
          <t>Dev</t>
        </is>
      </c>
      <c r="C394" s="7" t="inlineStr">
        <is>
          <t>Architect</t>
        </is>
      </c>
      <c r="D394" s="7" t="inlineStr">
        <is>
          <t>PRJ007</t>
        </is>
      </c>
      <c r="E394" s="7" t="inlineStr">
        <is>
          <t>CRM Upgrade</t>
        </is>
      </c>
      <c r="F394" s="8" t="n">
        <v>45992</v>
      </c>
      <c r="G394" s="7" t="n">
        <v>50</v>
      </c>
      <c r="H394" s="7" t="n">
        <v>100</v>
      </c>
    </row>
    <row r="395" ht="15" customHeight="1" s="5">
      <c r="A395" s="7" t="inlineStr">
        <is>
          <t>Resource 17</t>
        </is>
      </c>
      <c r="B395" s="7" t="inlineStr">
        <is>
          <t>Dev</t>
        </is>
      </c>
      <c r="C395" s="7" t="inlineStr">
        <is>
          <t>Architect</t>
        </is>
      </c>
      <c r="D395" s="7" t="inlineStr">
        <is>
          <t>PRJ007</t>
        </is>
      </c>
      <c r="E395" s="7" t="inlineStr">
        <is>
          <t>CRM Upgrade</t>
        </is>
      </c>
      <c r="F395" s="8" t="n">
        <v>46023</v>
      </c>
      <c r="G395" s="7" t="n">
        <v>65</v>
      </c>
      <c r="H395" s="7" t="n">
        <v>100</v>
      </c>
    </row>
    <row r="396" ht="15" customHeight="1" s="5">
      <c r="A396" s="7" t="inlineStr">
        <is>
          <t>Resource 17</t>
        </is>
      </c>
      <c r="B396" s="7" t="inlineStr">
        <is>
          <t>Dev</t>
        </is>
      </c>
      <c r="C396" s="7" t="inlineStr">
        <is>
          <t>Architect</t>
        </is>
      </c>
      <c r="D396" s="7" t="inlineStr">
        <is>
          <t>PRJ007</t>
        </is>
      </c>
      <c r="E396" s="7" t="inlineStr">
        <is>
          <t>CRM Upgrade</t>
        </is>
      </c>
      <c r="F396" s="8" t="n">
        <v>46054</v>
      </c>
      <c r="G396" s="7" t="n">
        <v>25</v>
      </c>
      <c r="H396" s="7" t="n">
        <v>100</v>
      </c>
    </row>
    <row r="397" ht="15" customHeight="1" s="5">
      <c r="A397" s="7" t="inlineStr">
        <is>
          <t>Resource 17</t>
        </is>
      </c>
      <c r="B397" s="7" t="inlineStr">
        <is>
          <t>Dev</t>
        </is>
      </c>
      <c r="C397" s="7" t="inlineStr">
        <is>
          <t>Architect</t>
        </is>
      </c>
      <c r="D397" s="7" t="inlineStr">
        <is>
          <t>PRJ007</t>
        </is>
      </c>
      <c r="E397" s="7" t="inlineStr">
        <is>
          <t>CRM Upgrade</t>
        </is>
      </c>
      <c r="F397" s="8" t="n">
        <v>46082</v>
      </c>
      <c r="G397" s="7" t="n">
        <v>40</v>
      </c>
      <c r="H397" s="7" t="n">
        <v>100</v>
      </c>
    </row>
    <row r="398" ht="15" customHeight="1" s="5">
      <c r="A398" s="7" t="inlineStr">
        <is>
          <t>Resource 17</t>
        </is>
      </c>
      <c r="B398" s="7" t="inlineStr">
        <is>
          <t>Dev</t>
        </is>
      </c>
      <c r="C398" s="7" t="inlineStr">
        <is>
          <t>Architect</t>
        </is>
      </c>
      <c r="D398" s="7" t="inlineStr">
        <is>
          <t>PRJ007</t>
        </is>
      </c>
      <c r="E398" s="7" t="inlineStr">
        <is>
          <t>CRM Upgrade</t>
        </is>
      </c>
      <c r="F398" s="8" t="n">
        <v>46113</v>
      </c>
      <c r="G398" s="7" t="n">
        <v>50</v>
      </c>
      <c r="H398" s="7" t="n">
        <v>100</v>
      </c>
    </row>
    <row r="399" ht="15" customHeight="1" s="5">
      <c r="A399" s="7" t="inlineStr">
        <is>
          <t>Resource 17</t>
        </is>
      </c>
      <c r="B399" s="7" t="inlineStr">
        <is>
          <t>Dev</t>
        </is>
      </c>
      <c r="C399" s="7" t="inlineStr">
        <is>
          <t>Architect</t>
        </is>
      </c>
      <c r="D399" s="7" t="inlineStr">
        <is>
          <t>PRJ007</t>
        </is>
      </c>
      <c r="E399" s="7" t="inlineStr">
        <is>
          <t>CRM Upgrade</t>
        </is>
      </c>
      <c r="F399" s="8" t="n">
        <v>46143</v>
      </c>
      <c r="G399" s="7" t="n">
        <v>50</v>
      </c>
      <c r="H399" s="7" t="n">
        <v>100</v>
      </c>
    </row>
    <row r="400" ht="15" customHeight="1" s="5">
      <c r="A400" s="7" t="inlineStr">
        <is>
          <t>Resource 17</t>
        </is>
      </c>
      <c r="B400" s="7" t="inlineStr">
        <is>
          <t>Dev</t>
        </is>
      </c>
      <c r="C400" s="7" t="inlineStr">
        <is>
          <t>Architect</t>
        </is>
      </c>
      <c r="D400" s="7" t="inlineStr">
        <is>
          <t>PRJ007</t>
        </is>
      </c>
      <c r="E400" s="7" t="inlineStr">
        <is>
          <t>CRM Upgrade</t>
        </is>
      </c>
      <c r="F400" s="8" t="n">
        <v>46174</v>
      </c>
      <c r="G400" s="7" t="n">
        <v>50</v>
      </c>
      <c r="H400" s="7" t="n">
        <v>100</v>
      </c>
    </row>
    <row r="401" ht="15" customHeight="1" s="5">
      <c r="A401" s="7" t="inlineStr">
        <is>
          <t>Resource 17</t>
        </is>
      </c>
      <c r="B401" s="7" t="inlineStr">
        <is>
          <t>Dev</t>
        </is>
      </c>
      <c r="C401" s="7" t="inlineStr">
        <is>
          <t>Architect</t>
        </is>
      </c>
      <c r="D401" s="7" t="inlineStr">
        <is>
          <t>PRJ007</t>
        </is>
      </c>
      <c r="E401" s="7" t="inlineStr">
        <is>
          <t>CRM Upgrade</t>
        </is>
      </c>
      <c r="F401" s="8" t="n">
        <v>46204</v>
      </c>
      <c r="G401" s="7" t="n">
        <v>40</v>
      </c>
      <c r="H401" s="7" t="n">
        <v>100</v>
      </c>
    </row>
    <row r="402" ht="15" customHeight="1" s="5">
      <c r="A402" s="7" t="inlineStr">
        <is>
          <t>Resource 17</t>
        </is>
      </c>
      <c r="B402" s="7" t="inlineStr">
        <is>
          <t>Dev</t>
        </is>
      </c>
      <c r="C402" s="7" t="inlineStr">
        <is>
          <t>Architect</t>
        </is>
      </c>
      <c r="D402" s="7" t="inlineStr">
        <is>
          <t>PRJ007</t>
        </is>
      </c>
      <c r="E402" s="7" t="inlineStr">
        <is>
          <t>CRM Upgrade</t>
        </is>
      </c>
      <c r="F402" s="8" t="n">
        <v>46235</v>
      </c>
      <c r="G402" s="7" t="n">
        <v>60</v>
      </c>
      <c r="H402" s="7" t="n">
        <v>100</v>
      </c>
    </row>
    <row r="403" ht="15" customHeight="1" s="5">
      <c r="A403" s="7" t="inlineStr">
        <is>
          <t>Resource 17</t>
        </is>
      </c>
      <c r="B403" s="7" t="inlineStr">
        <is>
          <t>Dev</t>
        </is>
      </c>
      <c r="C403" s="7" t="inlineStr">
        <is>
          <t>Architect</t>
        </is>
      </c>
      <c r="D403" s="7" t="inlineStr">
        <is>
          <t>PRJ007</t>
        </is>
      </c>
      <c r="E403" s="7" t="inlineStr">
        <is>
          <t>CRM Upgrade</t>
        </is>
      </c>
      <c r="F403" s="8" t="n">
        <v>46266</v>
      </c>
      <c r="G403" s="7" t="n">
        <v>40</v>
      </c>
      <c r="H403" s="7" t="n">
        <v>100</v>
      </c>
    </row>
    <row r="404" ht="15" customHeight="1" s="5">
      <c r="A404" s="7" t="inlineStr">
        <is>
          <t>Resource 17</t>
        </is>
      </c>
      <c r="B404" s="7" t="inlineStr">
        <is>
          <t>Dev</t>
        </is>
      </c>
      <c r="C404" s="7" t="inlineStr">
        <is>
          <t>Architect</t>
        </is>
      </c>
      <c r="D404" s="7" t="inlineStr">
        <is>
          <t>PRJ007</t>
        </is>
      </c>
      <c r="E404" s="7" t="inlineStr">
        <is>
          <t>CRM Upgrade</t>
        </is>
      </c>
      <c r="F404" s="8" t="n">
        <v>46296</v>
      </c>
      <c r="G404" s="7" t="n">
        <v>50</v>
      </c>
      <c r="H404" s="7" t="n">
        <v>100</v>
      </c>
    </row>
    <row r="405" ht="15" customHeight="1" s="5">
      <c r="A405" s="7" t="inlineStr">
        <is>
          <t>Resource 17</t>
        </is>
      </c>
      <c r="B405" s="7" t="inlineStr">
        <is>
          <t>Dev</t>
        </is>
      </c>
      <c r="C405" s="7" t="inlineStr">
        <is>
          <t>Architect</t>
        </is>
      </c>
      <c r="D405" s="7" t="inlineStr">
        <is>
          <t>PRJ007</t>
        </is>
      </c>
      <c r="E405" s="7" t="inlineStr">
        <is>
          <t>CRM Upgrade</t>
        </is>
      </c>
      <c r="F405" s="8" t="n">
        <v>46327</v>
      </c>
      <c r="G405" s="7" t="n">
        <v>25</v>
      </c>
      <c r="H405" s="7" t="n">
        <v>100</v>
      </c>
    </row>
    <row r="406" ht="15" customHeight="1" s="5">
      <c r="A406" s="7" t="inlineStr">
        <is>
          <t>Resource 17</t>
        </is>
      </c>
      <c r="B406" s="7" t="inlineStr">
        <is>
          <t>Dev</t>
        </is>
      </c>
      <c r="C406" s="7" t="inlineStr">
        <is>
          <t>Architect</t>
        </is>
      </c>
      <c r="D406" s="7" t="inlineStr">
        <is>
          <t>PRJ007</t>
        </is>
      </c>
      <c r="E406" s="7" t="inlineStr">
        <is>
          <t>CRM Upgrade</t>
        </is>
      </c>
      <c r="F406" s="8" t="n">
        <v>46357</v>
      </c>
      <c r="G406" s="7" t="n">
        <v>50</v>
      </c>
      <c r="H406" s="7" t="n">
        <v>100</v>
      </c>
    </row>
    <row r="407" ht="15" customHeight="1" s="5">
      <c r="A407" s="7" t="inlineStr">
        <is>
          <t>Resource 17</t>
        </is>
      </c>
      <c r="B407" s="7" t="inlineStr">
        <is>
          <t>Dev</t>
        </is>
      </c>
      <c r="C407" s="7" t="inlineStr">
        <is>
          <t>Architect</t>
        </is>
      </c>
      <c r="D407" s="7" t="inlineStr">
        <is>
          <t>PRJ008</t>
        </is>
      </c>
      <c r="E407" s="7" t="inlineStr">
        <is>
          <t>Mobile App</t>
        </is>
      </c>
      <c r="F407" s="8" t="n">
        <v>45778</v>
      </c>
      <c r="G407" s="7" t="n">
        <v>75</v>
      </c>
      <c r="H407" s="7" t="n">
        <v>100</v>
      </c>
    </row>
    <row r="408" ht="15" customHeight="1" s="5">
      <c r="A408" s="7" t="inlineStr">
        <is>
          <t>Resource 17</t>
        </is>
      </c>
      <c r="B408" s="7" t="inlineStr">
        <is>
          <t>Dev</t>
        </is>
      </c>
      <c r="C408" s="7" t="inlineStr">
        <is>
          <t>Architect</t>
        </is>
      </c>
      <c r="D408" s="7" t="inlineStr">
        <is>
          <t>PRJ008</t>
        </is>
      </c>
      <c r="E408" s="7" t="inlineStr">
        <is>
          <t>Mobile App</t>
        </is>
      </c>
      <c r="F408" s="8" t="n">
        <v>45809</v>
      </c>
      <c r="G408" s="7" t="n">
        <v>100</v>
      </c>
      <c r="H408" s="7" t="n">
        <v>100</v>
      </c>
    </row>
    <row r="409" ht="15" customHeight="1" s="5">
      <c r="A409" s="7" t="inlineStr">
        <is>
          <t>Resource 17</t>
        </is>
      </c>
      <c r="B409" s="7" t="inlineStr">
        <is>
          <t>Dev</t>
        </is>
      </c>
      <c r="C409" s="7" t="inlineStr">
        <is>
          <t>Architect</t>
        </is>
      </c>
      <c r="D409" s="7" t="inlineStr">
        <is>
          <t>PRJ008</t>
        </is>
      </c>
      <c r="E409" s="7" t="inlineStr">
        <is>
          <t>Mobile App</t>
        </is>
      </c>
      <c r="F409" s="8" t="n">
        <v>45839</v>
      </c>
      <c r="G409" s="7" t="n">
        <v>90</v>
      </c>
      <c r="H409" s="7" t="n">
        <v>100</v>
      </c>
    </row>
    <row r="410" ht="15" customHeight="1" s="5">
      <c r="A410" s="7" t="inlineStr">
        <is>
          <t>Resource 17</t>
        </is>
      </c>
      <c r="B410" s="7" t="inlineStr">
        <is>
          <t>Dev</t>
        </is>
      </c>
      <c r="C410" s="7" t="inlineStr">
        <is>
          <t>Architect</t>
        </is>
      </c>
      <c r="D410" s="7" t="inlineStr">
        <is>
          <t>PRJ008</t>
        </is>
      </c>
      <c r="E410" s="7" t="inlineStr">
        <is>
          <t>Mobile App</t>
        </is>
      </c>
      <c r="F410" s="8" t="n">
        <v>45870</v>
      </c>
      <c r="G410" s="7" t="n">
        <v>100</v>
      </c>
      <c r="H410" s="7" t="n">
        <v>100</v>
      </c>
    </row>
    <row r="411" ht="15" customHeight="1" s="5">
      <c r="A411" s="7" t="inlineStr">
        <is>
          <t>Resource 18</t>
        </is>
      </c>
      <c r="B411" s="7" t="inlineStr">
        <is>
          <t>Data</t>
        </is>
      </c>
      <c r="C411" s="7" t="inlineStr">
        <is>
          <t>Tester</t>
        </is>
      </c>
      <c r="D411" s="7" t="inlineStr">
        <is>
          <t>PRJ003</t>
        </is>
      </c>
      <c r="E411" s="7" t="inlineStr">
        <is>
          <t>Data Platform</t>
        </is>
      </c>
      <c r="F411" s="8" t="n">
        <v>45748</v>
      </c>
      <c r="G411" s="7" t="n">
        <v>25</v>
      </c>
      <c r="H411" s="7" t="n">
        <v>100</v>
      </c>
    </row>
    <row r="412" ht="15" customHeight="1" s="5">
      <c r="A412" s="7" t="inlineStr">
        <is>
          <t>Resource 18</t>
        </is>
      </c>
      <c r="B412" s="7" t="inlineStr">
        <is>
          <t>Data</t>
        </is>
      </c>
      <c r="C412" s="7" t="inlineStr">
        <is>
          <t>Tester</t>
        </is>
      </c>
      <c r="D412" s="7" t="inlineStr">
        <is>
          <t>PRJ003</t>
        </is>
      </c>
      <c r="E412" s="7" t="inlineStr">
        <is>
          <t>Data Platform</t>
        </is>
      </c>
      <c r="F412" s="8" t="n">
        <v>45778</v>
      </c>
      <c r="G412" s="7" t="n">
        <v>25</v>
      </c>
      <c r="H412" s="7" t="n">
        <v>100</v>
      </c>
    </row>
    <row r="413" ht="15" customHeight="1" s="5">
      <c r="A413" s="7" t="inlineStr">
        <is>
          <t>Resource 18</t>
        </is>
      </c>
      <c r="B413" s="7" t="inlineStr">
        <is>
          <t>Data</t>
        </is>
      </c>
      <c r="C413" s="7" t="inlineStr">
        <is>
          <t>Tester</t>
        </is>
      </c>
      <c r="D413" s="7" t="inlineStr">
        <is>
          <t>PRJ003</t>
        </is>
      </c>
      <c r="E413" s="7" t="inlineStr">
        <is>
          <t>Data Platform</t>
        </is>
      </c>
      <c r="F413" s="8" t="n">
        <v>45809</v>
      </c>
      <c r="G413" s="7" t="n">
        <v>0</v>
      </c>
      <c r="H413" s="7" t="n">
        <v>100</v>
      </c>
    </row>
    <row r="414" ht="15" customHeight="1" s="5">
      <c r="A414" s="7" t="inlineStr">
        <is>
          <t>Resource 18</t>
        </is>
      </c>
      <c r="B414" s="7" t="inlineStr">
        <is>
          <t>Data</t>
        </is>
      </c>
      <c r="C414" s="7" t="inlineStr">
        <is>
          <t>Tester</t>
        </is>
      </c>
      <c r="D414" s="7" t="inlineStr">
        <is>
          <t>PRJ003</t>
        </is>
      </c>
      <c r="E414" s="7" t="inlineStr">
        <is>
          <t>Data Platform</t>
        </is>
      </c>
      <c r="F414" s="8" t="n">
        <v>45839</v>
      </c>
      <c r="G414" s="7" t="n">
        <v>25</v>
      </c>
      <c r="H414" s="7" t="n">
        <v>100</v>
      </c>
    </row>
    <row r="415" ht="15" customHeight="1" s="5">
      <c r="A415" s="7" t="inlineStr">
        <is>
          <t>Resource 18</t>
        </is>
      </c>
      <c r="B415" s="7" t="inlineStr">
        <is>
          <t>Data</t>
        </is>
      </c>
      <c r="C415" s="7" t="inlineStr">
        <is>
          <t>Tester</t>
        </is>
      </c>
      <c r="D415" s="7" t="inlineStr">
        <is>
          <t>PRJ003</t>
        </is>
      </c>
      <c r="E415" s="7" t="inlineStr">
        <is>
          <t>Data Platform</t>
        </is>
      </c>
      <c r="F415" s="8" t="n">
        <v>45870</v>
      </c>
      <c r="G415" s="7" t="n">
        <v>25</v>
      </c>
      <c r="H415" s="7" t="n">
        <v>100</v>
      </c>
    </row>
    <row r="416" ht="15" customHeight="1" s="5">
      <c r="A416" s="7" t="inlineStr">
        <is>
          <t>Resource 18</t>
        </is>
      </c>
      <c r="B416" s="7" t="inlineStr">
        <is>
          <t>Data</t>
        </is>
      </c>
      <c r="C416" s="7" t="inlineStr">
        <is>
          <t>Tester</t>
        </is>
      </c>
      <c r="D416" s="7" t="inlineStr">
        <is>
          <t>PRJ003</t>
        </is>
      </c>
      <c r="E416" s="7" t="inlineStr">
        <is>
          <t>Data Platform</t>
        </is>
      </c>
      <c r="F416" s="8" t="n">
        <v>45901</v>
      </c>
      <c r="G416" s="7" t="n">
        <v>25</v>
      </c>
      <c r="H416" s="7" t="n">
        <v>100</v>
      </c>
    </row>
    <row r="417" ht="15" customHeight="1" s="5">
      <c r="A417" s="7" t="inlineStr">
        <is>
          <t>Resource 18</t>
        </is>
      </c>
      <c r="B417" s="7" t="inlineStr">
        <is>
          <t>Data</t>
        </is>
      </c>
      <c r="C417" s="7" t="inlineStr">
        <is>
          <t>Tester</t>
        </is>
      </c>
      <c r="D417" s="7" t="inlineStr">
        <is>
          <t>PRJ003</t>
        </is>
      </c>
      <c r="E417" s="7" t="inlineStr">
        <is>
          <t>Data Platform</t>
        </is>
      </c>
      <c r="F417" s="8" t="n">
        <v>45931</v>
      </c>
      <c r="G417" s="7" t="n">
        <v>35</v>
      </c>
      <c r="H417" s="7" t="n">
        <v>100</v>
      </c>
    </row>
    <row r="418" ht="15" customHeight="1" s="5">
      <c r="A418" s="7" t="inlineStr">
        <is>
          <t>Resource 18</t>
        </is>
      </c>
      <c r="B418" s="7" t="inlineStr">
        <is>
          <t>Data</t>
        </is>
      </c>
      <c r="C418" s="7" t="inlineStr">
        <is>
          <t>Tester</t>
        </is>
      </c>
      <c r="D418" s="7" t="inlineStr">
        <is>
          <t>PRJ003</t>
        </is>
      </c>
      <c r="E418" s="7" t="inlineStr">
        <is>
          <t>Data Platform</t>
        </is>
      </c>
      <c r="F418" s="8" t="n">
        <v>45962</v>
      </c>
      <c r="G418" s="7" t="n">
        <v>40</v>
      </c>
      <c r="H418" s="7" t="n">
        <v>100</v>
      </c>
    </row>
    <row r="419" ht="15" customHeight="1" s="5">
      <c r="A419" s="7" t="inlineStr">
        <is>
          <t>Resource 18</t>
        </is>
      </c>
      <c r="B419" s="7" t="inlineStr">
        <is>
          <t>Data</t>
        </is>
      </c>
      <c r="C419" s="7" t="inlineStr">
        <is>
          <t>Tester</t>
        </is>
      </c>
      <c r="D419" s="7" t="inlineStr">
        <is>
          <t>PRJ003</t>
        </is>
      </c>
      <c r="E419" s="7" t="inlineStr">
        <is>
          <t>Data Platform</t>
        </is>
      </c>
      <c r="F419" s="8" t="n">
        <v>45992</v>
      </c>
      <c r="G419" s="7" t="n">
        <v>25</v>
      </c>
      <c r="H419" s="7" t="n">
        <v>100</v>
      </c>
    </row>
    <row r="420" ht="15" customHeight="1" s="5">
      <c r="A420" s="7" t="inlineStr">
        <is>
          <t>Resource 18</t>
        </is>
      </c>
      <c r="B420" s="7" t="inlineStr">
        <is>
          <t>Data</t>
        </is>
      </c>
      <c r="C420" s="7" t="inlineStr">
        <is>
          <t>Tester</t>
        </is>
      </c>
      <c r="D420" s="7" t="inlineStr">
        <is>
          <t>PRJ003</t>
        </is>
      </c>
      <c r="E420" s="7" t="inlineStr">
        <is>
          <t>Data Platform</t>
        </is>
      </c>
      <c r="F420" s="8" t="n">
        <v>46023</v>
      </c>
      <c r="G420" s="7" t="n">
        <v>40</v>
      </c>
      <c r="H420" s="7" t="n">
        <v>100</v>
      </c>
    </row>
    <row r="421" ht="15" customHeight="1" s="5">
      <c r="A421" s="7" t="inlineStr">
        <is>
          <t>Resource 18</t>
        </is>
      </c>
      <c r="B421" s="7" t="inlineStr">
        <is>
          <t>Data</t>
        </is>
      </c>
      <c r="C421" s="7" t="inlineStr">
        <is>
          <t>Tester</t>
        </is>
      </c>
      <c r="D421" s="7" t="inlineStr">
        <is>
          <t>PRJ003</t>
        </is>
      </c>
      <c r="E421" s="7" t="inlineStr">
        <is>
          <t>Data Platform</t>
        </is>
      </c>
      <c r="F421" s="8" t="n">
        <v>46054</v>
      </c>
      <c r="G421" s="7" t="n">
        <v>25</v>
      </c>
      <c r="H421" s="7" t="n">
        <v>100</v>
      </c>
    </row>
    <row r="422" ht="15" customHeight="1" s="5">
      <c r="A422" s="7" t="inlineStr">
        <is>
          <t>Resource 18</t>
        </is>
      </c>
      <c r="B422" s="7" t="inlineStr">
        <is>
          <t>Data</t>
        </is>
      </c>
      <c r="C422" s="7" t="inlineStr">
        <is>
          <t>Tester</t>
        </is>
      </c>
      <c r="D422" s="7" t="inlineStr">
        <is>
          <t>PRJ003</t>
        </is>
      </c>
      <c r="E422" s="7" t="inlineStr">
        <is>
          <t>Data Platform</t>
        </is>
      </c>
      <c r="F422" s="8" t="n">
        <v>46082</v>
      </c>
      <c r="G422" s="7" t="n">
        <v>15</v>
      </c>
      <c r="H422" s="7" t="n">
        <v>100</v>
      </c>
    </row>
    <row r="423" ht="15" customHeight="1" s="5">
      <c r="A423" s="7" t="inlineStr">
        <is>
          <t>Resource 18</t>
        </is>
      </c>
      <c r="B423" s="7" t="inlineStr">
        <is>
          <t>Data</t>
        </is>
      </c>
      <c r="C423" s="7" t="inlineStr">
        <is>
          <t>Tester</t>
        </is>
      </c>
      <c r="D423" s="7" t="inlineStr">
        <is>
          <t>PRJ003</t>
        </is>
      </c>
      <c r="E423" s="7" t="inlineStr">
        <is>
          <t>Data Platform</t>
        </is>
      </c>
      <c r="F423" s="8" t="n">
        <v>46113</v>
      </c>
      <c r="G423" s="7" t="n">
        <v>35</v>
      </c>
      <c r="H423" s="7" t="n">
        <v>100</v>
      </c>
    </row>
    <row r="424" ht="15" customHeight="1" s="5">
      <c r="A424" s="7" t="inlineStr">
        <is>
          <t>Resource 18</t>
        </is>
      </c>
      <c r="B424" s="7" t="inlineStr">
        <is>
          <t>Data</t>
        </is>
      </c>
      <c r="C424" s="7" t="inlineStr">
        <is>
          <t>Tester</t>
        </is>
      </c>
      <c r="D424" s="7" t="inlineStr">
        <is>
          <t>PRJ003</t>
        </is>
      </c>
      <c r="E424" s="7" t="inlineStr">
        <is>
          <t>Data Platform</t>
        </is>
      </c>
      <c r="F424" s="8" t="n">
        <v>46143</v>
      </c>
      <c r="G424" s="7" t="n">
        <v>25</v>
      </c>
      <c r="H424" s="7" t="n">
        <v>100</v>
      </c>
    </row>
    <row r="425" ht="15" customHeight="1" s="5">
      <c r="A425" s="7" t="inlineStr">
        <is>
          <t>Resource 18</t>
        </is>
      </c>
      <c r="B425" s="7" t="inlineStr">
        <is>
          <t>Data</t>
        </is>
      </c>
      <c r="C425" s="7" t="inlineStr">
        <is>
          <t>Tester</t>
        </is>
      </c>
      <c r="D425" s="7" t="inlineStr">
        <is>
          <t>PRJ003</t>
        </is>
      </c>
      <c r="E425" s="7" t="inlineStr">
        <is>
          <t>Data Platform</t>
        </is>
      </c>
      <c r="F425" s="8" t="n">
        <v>46174</v>
      </c>
      <c r="G425" s="7" t="n">
        <v>25</v>
      </c>
      <c r="H425" s="7" t="n">
        <v>100</v>
      </c>
    </row>
    <row r="426" ht="15" customHeight="1" s="5">
      <c r="A426" s="7" t="inlineStr">
        <is>
          <t>Resource 18</t>
        </is>
      </c>
      <c r="B426" s="7" t="inlineStr">
        <is>
          <t>Data</t>
        </is>
      </c>
      <c r="C426" s="7" t="inlineStr">
        <is>
          <t>Tester</t>
        </is>
      </c>
      <c r="D426" s="7" t="inlineStr">
        <is>
          <t>PRJ003</t>
        </is>
      </c>
      <c r="E426" s="7" t="inlineStr">
        <is>
          <t>Data Platform</t>
        </is>
      </c>
      <c r="F426" s="8" t="n">
        <v>46204</v>
      </c>
      <c r="G426" s="7" t="n">
        <v>25</v>
      </c>
      <c r="H426" s="7" t="n">
        <v>100</v>
      </c>
    </row>
    <row r="427" ht="15" customHeight="1" s="5">
      <c r="A427" s="7" t="inlineStr">
        <is>
          <t>Resource 18</t>
        </is>
      </c>
      <c r="B427" s="7" t="inlineStr">
        <is>
          <t>Data</t>
        </is>
      </c>
      <c r="C427" s="7" t="inlineStr">
        <is>
          <t>Tester</t>
        </is>
      </c>
      <c r="D427" s="7" t="inlineStr">
        <is>
          <t>PRJ013</t>
        </is>
      </c>
      <c r="E427" s="7" t="inlineStr">
        <is>
          <t>API Gateway</t>
        </is>
      </c>
      <c r="F427" s="8" t="n">
        <v>45992</v>
      </c>
      <c r="G427" s="7" t="n">
        <v>25</v>
      </c>
      <c r="H427" s="7" t="n">
        <v>100</v>
      </c>
    </row>
    <row r="428" ht="15" customHeight="1" s="5">
      <c r="A428" s="7" t="inlineStr">
        <is>
          <t>Resource 18</t>
        </is>
      </c>
      <c r="B428" s="7" t="inlineStr">
        <is>
          <t>Data</t>
        </is>
      </c>
      <c r="C428" s="7" t="inlineStr">
        <is>
          <t>Tester</t>
        </is>
      </c>
      <c r="D428" s="7" t="inlineStr">
        <is>
          <t>PRJ013</t>
        </is>
      </c>
      <c r="E428" s="7" t="inlineStr">
        <is>
          <t>API Gateway</t>
        </is>
      </c>
      <c r="F428" s="8" t="n">
        <v>46023</v>
      </c>
      <c r="G428" s="7" t="n">
        <v>40</v>
      </c>
      <c r="H428" s="7" t="n">
        <v>100</v>
      </c>
    </row>
    <row r="429" ht="15" customHeight="1" s="5">
      <c r="A429" s="7" t="inlineStr">
        <is>
          <t>Resource 18</t>
        </is>
      </c>
      <c r="B429" s="7" t="inlineStr">
        <is>
          <t>Data</t>
        </is>
      </c>
      <c r="C429" s="7" t="inlineStr">
        <is>
          <t>Tester</t>
        </is>
      </c>
      <c r="D429" s="7" t="inlineStr">
        <is>
          <t>PRJ013</t>
        </is>
      </c>
      <c r="E429" s="7" t="inlineStr">
        <is>
          <t>API Gateway</t>
        </is>
      </c>
      <c r="F429" s="8" t="n">
        <v>46054</v>
      </c>
      <c r="G429" s="7" t="n">
        <v>25</v>
      </c>
      <c r="H429" s="7" t="n">
        <v>100</v>
      </c>
    </row>
    <row r="430" ht="15" customHeight="1" s="5">
      <c r="A430" s="7" t="inlineStr">
        <is>
          <t>Resource 18</t>
        </is>
      </c>
      <c r="B430" s="7" t="inlineStr">
        <is>
          <t>Data</t>
        </is>
      </c>
      <c r="C430" s="7" t="inlineStr">
        <is>
          <t>Tester</t>
        </is>
      </c>
      <c r="D430" s="7" t="inlineStr">
        <is>
          <t>PRJ013</t>
        </is>
      </c>
      <c r="E430" s="7" t="inlineStr">
        <is>
          <t>API Gateway</t>
        </is>
      </c>
      <c r="F430" s="8" t="n">
        <v>46082</v>
      </c>
      <c r="G430" s="7" t="n">
        <v>15</v>
      </c>
      <c r="H430" s="7" t="n">
        <v>100</v>
      </c>
    </row>
    <row r="431" ht="15" customHeight="1" s="5">
      <c r="A431" s="7" t="inlineStr">
        <is>
          <t>Resource 18</t>
        </is>
      </c>
      <c r="B431" s="7" t="inlineStr">
        <is>
          <t>Data</t>
        </is>
      </c>
      <c r="C431" s="7" t="inlineStr">
        <is>
          <t>Tester</t>
        </is>
      </c>
      <c r="D431" s="7" t="inlineStr">
        <is>
          <t>PRJ013</t>
        </is>
      </c>
      <c r="E431" s="7" t="inlineStr">
        <is>
          <t>API Gateway</t>
        </is>
      </c>
      <c r="F431" s="8" t="n">
        <v>46113</v>
      </c>
      <c r="G431" s="7" t="n">
        <v>0</v>
      </c>
      <c r="H431" s="7" t="n">
        <v>100</v>
      </c>
    </row>
    <row r="432" ht="15" customHeight="1" s="5">
      <c r="A432" s="7" t="inlineStr">
        <is>
          <t>Resource 18</t>
        </is>
      </c>
      <c r="B432" s="7" t="inlineStr">
        <is>
          <t>Data</t>
        </is>
      </c>
      <c r="C432" s="7" t="inlineStr">
        <is>
          <t>Tester</t>
        </is>
      </c>
      <c r="D432" s="7" t="inlineStr">
        <is>
          <t>PRJ013</t>
        </is>
      </c>
      <c r="E432" s="7" t="inlineStr">
        <is>
          <t>API Gateway</t>
        </is>
      </c>
      <c r="F432" s="8" t="n">
        <v>46143</v>
      </c>
      <c r="G432" s="7" t="n">
        <v>40</v>
      </c>
      <c r="H432" s="7" t="n">
        <v>100</v>
      </c>
    </row>
    <row r="433" ht="15" customHeight="1" s="5">
      <c r="A433" s="7" t="inlineStr">
        <is>
          <t>Resource 18</t>
        </is>
      </c>
      <c r="B433" s="7" t="inlineStr">
        <is>
          <t>Data</t>
        </is>
      </c>
      <c r="C433" s="7" t="inlineStr">
        <is>
          <t>Tester</t>
        </is>
      </c>
      <c r="D433" s="7" t="inlineStr">
        <is>
          <t>PRJ013</t>
        </is>
      </c>
      <c r="E433" s="7" t="inlineStr">
        <is>
          <t>API Gateway</t>
        </is>
      </c>
      <c r="F433" s="8" t="n">
        <v>46174</v>
      </c>
      <c r="G433" s="7" t="n">
        <v>25</v>
      </c>
      <c r="H433" s="7" t="n">
        <v>100</v>
      </c>
    </row>
    <row r="434" ht="15" customHeight="1" s="5">
      <c r="A434" s="7" t="inlineStr">
        <is>
          <t>Resource 18</t>
        </is>
      </c>
      <c r="B434" s="7" t="inlineStr">
        <is>
          <t>Data</t>
        </is>
      </c>
      <c r="C434" s="7" t="inlineStr">
        <is>
          <t>Tester</t>
        </is>
      </c>
      <c r="D434" s="7" t="inlineStr">
        <is>
          <t>PRJ013</t>
        </is>
      </c>
      <c r="E434" s="7" t="inlineStr">
        <is>
          <t>API Gateway</t>
        </is>
      </c>
      <c r="F434" s="8" t="n">
        <v>46204</v>
      </c>
      <c r="G434" s="7" t="n">
        <v>40</v>
      </c>
      <c r="H434" s="7" t="n">
        <v>100</v>
      </c>
    </row>
    <row r="435" ht="15" customHeight="1" s="5">
      <c r="A435" s="7" t="inlineStr">
        <is>
          <t>Resource 18</t>
        </is>
      </c>
      <c r="B435" s="7" t="inlineStr">
        <is>
          <t>Data</t>
        </is>
      </c>
      <c r="C435" s="7" t="inlineStr">
        <is>
          <t>Tester</t>
        </is>
      </c>
      <c r="D435" s="7" t="inlineStr">
        <is>
          <t>PRJ013</t>
        </is>
      </c>
      <c r="E435" s="7" t="inlineStr">
        <is>
          <t>API Gateway</t>
        </is>
      </c>
      <c r="F435" s="8" t="n">
        <v>46235</v>
      </c>
      <c r="G435" s="7" t="n">
        <v>0</v>
      </c>
      <c r="H435" s="7" t="n">
        <v>100</v>
      </c>
    </row>
    <row r="436" ht="15" customHeight="1" s="5">
      <c r="A436" s="7" t="inlineStr">
        <is>
          <t>Resource 18</t>
        </is>
      </c>
      <c r="B436" s="7" t="inlineStr">
        <is>
          <t>Data</t>
        </is>
      </c>
      <c r="C436" s="7" t="inlineStr">
        <is>
          <t>Tester</t>
        </is>
      </c>
      <c r="D436" s="7" t="inlineStr">
        <is>
          <t>PRJ013</t>
        </is>
      </c>
      <c r="E436" s="7" t="inlineStr">
        <is>
          <t>API Gateway</t>
        </is>
      </c>
      <c r="F436" s="8" t="n">
        <v>46266</v>
      </c>
      <c r="G436" s="7" t="n">
        <v>25</v>
      </c>
      <c r="H436" s="7" t="n">
        <v>100</v>
      </c>
    </row>
    <row r="437" ht="15" customHeight="1" s="5">
      <c r="A437" s="7" t="inlineStr">
        <is>
          <t>Resource 18</t>
        </is>
      </c>
      <c r="B437" s="7" t="inlineStr">
        <is>
          <t>Data</t>
        </is>
      </c>
      <c r="C437" s="7" t="inlineStr">
        <is>
          <t>Tester</t>
        </is>
      </c>
      <c r="D437" s="7" t="inlineStr">
        <is>
          <t>PRJ013</t>
        </is>
      </c>
      <c r="E437" s="7" t="inlineStr">
        <is>
          <t>API Gateway</t>
        </is>
      </c>
      <c r="F437" s="8" t="n">
        <v>46296</v>
      </c>
      <c r="G437" s="7" t="n">
        <v>25</v>
      </c>
      <c r="H437" s="7" t="n">
        <v>100</v>
      </c>
    </row>
    <row r="438" ht="15" customHeight="1" s="5">
      <c r="A438" s="7" t="inlineStr">
        <is>
          <t>Resource 18</t>
        </is>
      </c>
      <c r="B438" s="7" t="inlineStr">
        <is>
          <t>Data</t>
        </is>
      </c>
      <c r="C438" s="7" t="inlineStr">
        <is>
          <t>Tester</t>
        </is>
      </c>
      <c r="D438" s="7" t="inlineStr">
        <is>
          <t>PRJ013</t>
        </is>
      </c>
      <c r="E438" s="7" t="inlineStr">
        <is>
          <t>API Gateway</t>
        </is>
      </c>
      <c r="F438" s="8" t="n">
        <v>46327</v>
      </c>
      <c r="G438" s="7" t="n">
        <v>35</v>
      </c>
      <c r="H438" s="7" t="n">
        <v>100</v>
      </c>
    </row>
    <row r="439" ht="15" customHeight="1" s="5">
      <c r="A439" s="7" t="inlineStr">
        <is>
          <t>Resource 18</t>
        </is>
      </c>
      <c r="B439" s="7" t="inlineStr">
        <is>
          <t>Data</t>
        </is>
      </c>
      <c r="C439" s="7" t="inlineStr">
        <is>
          <t>Tester</t>
        </is>
      </c>
      <c r="D439" s="7" t="inlineStr">
        <is>
          <t>PRJ013</t>
        </is>
      </c>
      <c r="E439" s="7" t="inlineStr">
        <is>
          <t>API Gateway</t>
        </is>
      </c>
      <c r="F439" s="8" t="n">
        <v>46357</v>
      </c>
      <c r="G439" s="7" t="n">
        <v>40</v>
      </c>
      <c r="H439" s="7" t="n">
        <v>100</v>
      </c>
    </row>
    <row r="440" ht="15" customHeight="1" s="5">
      <c r="A440" s="7" t="inlineStr">
        <is>
          <t>Resource 18</t>
        </is>
      </c>
      <c r="B440" s="7" t="inlineStr">
        <is>
          <t>Data</t>
        </is>
      </c>
      <c r="C440" s="7" t="inlineStr">
        <is>
          <t>Tester</t>
        </is>
      </c>
      <c r="D440" s="7" t="inlineStr">
        <is>
          <t>PRJ013</t>
        </is>
      </c>
      <c r="E440" s="7" t="inlineStr">
        <is>
          <t>API Gateway</t>
        </is>
      </c>
      <c r="F440" s="8" t="n">
        <v>46388</v>
      </c>
      <c r="G440" s="7" t="n">
        <v>40</v>
      </c>
      <c r="H440" s="7" t="n">
        <v>100</v>
      </c>
    </row>
    <row r="441" ht="15" customHeight="1" s="5">
      <c r="A441" s="7" t="inlineStr">
        <is>
          <t>Resource 18</t>
        </is>
      </c>
      <c r="B441" s="7" t="inlineStr">
        <is>
          <t>Data</t>
        </is>
      </c>
      <c r="C441" s="7" t="inlineStr">
        <is>
          <t>Tester</t>
        </is>
      </c>
      <c r="D441" s="7" t="inlineStr">
        <is>
          <t>PRJ013</t>
        </is>
      </c>
      <c r="E441" s="7" t="inlineStr">
        <is>
          <t>API Gateway</t>
        </is>
      </c>
      <c r="F441" s="8" t="n">
        <v>46419</v>
      </c>
      <c r="G441" s="7" t="n">
        <v>0</v>
      </c>
      <c r="H441" s="7" t="n">
        <v>100</v>
      </c>
    </row>
    <row r="442" ht="15" customHeight="1" s="5">
      <c r="A442" s="7" t="inlineStr">
        <is>
          <t>Resource 18</t>
        </is>
      </c>
      <c r="B442" s="7" t="inlineStr">
        <is>
          <t>Data</t>
        </is>
      </c>
      <c r="C442" s="7" t="inlineStr">
        <is>
          <t>Tester</t>
        </is>
      </c>
      <c r="D442" s="7" t="inlineStr">
        <is>
          <t>PRJ013</t>
        </is>
      </c>
      <c r="E442" s="7" t="inlineStr">
        <is>
          <t>API Gateway</t>
        </is>
      </c>
      <c r="F442" s="8" t="n">
        <v>46447</v>
      </c>
      <c r="G442" s="7" t="n">
        <v>0</v>
      </c>
      <c r="H442" s="7" t="n">
        <v>100</v>
      </c>
    </row>
    <row r="443" ht="15" customHeight="1" s="5">
      <c r="A443" s="7" t="inlineStr">
        <is>
          <t>Resource 18</t>
        </is>
      </c>
      <c r="B443" s="7" t="inlineStr">
        <is>
          <t>Data</t>
        </is>
      </c>
      <c r="C443" s="7" t="inlineStr">
        <is>
          <t>Tester</t>
        </is>
      </c>
      <c r="D443" s="7" t="inlineStr">
        <is>
          <t>PRJ010</t>
        </is>
      </c>
      <c r="E443" s="7" t="inlineStr">
        <is>
          <t>Workforce Enablement</t>
        </is>
      </c>
      <c r="F443" s="8" t="n">
        <v>45689</v>
      </c>
      <c r="G443" s="7" t="n">
        <v>100</v>
      </c>
      <c r="H443" s="7" t="n">
        <v>100</v>
      </c>
    </row>
    <row r="444" ht="15" customHeight="1" s="5">
      <c r="A444" s="7" t="inlineStr">
        <is>
          <t>Resource 18</t>
        </is>
      </c>
      <c r="B444" s="7" t="inlineStr">
        <is>
          <t>Data</t>
        </is>
      </c>
      <c r="C444" s="7" t="inlineStr">
        <is>
          <t>Tester</t>
        </is>
      </c>
      <c r="D444" s="7" t="inlineStr">
        <is>
          <t>PRJ010</t>
        </is>
      </c>
      <c r="E444" s="7" t="inlineStr">
        <is>
          <t>Workforce Enablement</t>
        </is>
      </c>
      <c r="F444" s="8" t="n">
        <v>45717</v>
      </c>
      <c r="G444" s="7" t="n">
        <v>100</v>
      </c>
      <c r="H444" s="7" t="n">
        <v>100</v>
      </c>
    </row>
    <row r="445" ht="15" customHeight="1" s="5">
      <c r="A445" s="7" t="inlineStr">
        <is>
          <t>Resource 18</t>
        </is>
      </c>
      <c r="B445" s="7" t="inlineStr">
        <is>
          <t>Data</t>
        </is>
      </c>
      <c r="C445" s="7" t="inlineStr">
        <is>
          <t>Tester</t>
        </is>
      </c>
      <c r="D445" s="7" t="inlineStr">
        <is>
          <t>PRJ010</t>
        </is>
      </c>
      <c r="E445" s="7" t="inlineStr">
        <is>
          <t>Workforce Enablement</t>
        </is>
      </c>
      <c r="F445" s="8" t="n">
        <v>45748</v>
      </c>
      <c r="G445" s="7" t="n">
        <v>100</v>
      </c>
      <c r="H445" s="7" t="n">
        <v>100</v>
      </c>
    </row>
    <row r="446" ht="15" customHeight="1" s="5">
      <c r="A446" s="7" t="inlineStr">
        <is>
          <t>Resource 18</t>
        </is>
      </c>
      <c r="B446" s="7" t="inlineStr">
        <is>
          <t>Data</t>
        </is>
      </c>
      <c r="C446" s="7" t="inlineStr">
        <is>
          <t>Tester</t>
        </is>
      </c>
      <c r="D446" s="7" t="inlineStr">
        <is>
          <t>PRJ010</t>
        </is>
      </c>
      <c r="E446" s="7" t="inlineStr">
        <is>
          <t>Workforce Enablement</t>
        </is>
      </c>
      <c r="F446" s="8" t="n">
        <v>45778</v>
      </c>
      <c r="G446" s="7" t="n">
        <v>75</v>
      </c>
      <c r="H446" s="7" t="n">
        <v>100</v>
      </c>
    </row>
    <row r="447" ht="15" customHeight="1" s="5">
      <c r="A447" s="7" t="inlineStr">
        <is>
          <t>Resource 18</t>
        </is>
      </c>
      <c r="B447" s="7" t="inlineStr">
        <is>
          <t>Data</t>
        </is>
      </c>
      <c r="C447" s="7" t="inlineStr">
        <is>
          <t>Tester</t>
        </is>
      </c>
      <c r="D447" s="7" t="inlineStr">
        <is>
          <t>PRJ010</t>
        </is>
      </c>
      <c r="E447" s="7" t="inlineStr">
        <is>
          <t>Workforce Enablement</t>
        </is>
      </c>
      <c r="F447" s="8" t="n">
        <v>45809</v>
      </c>
      <c r="G447" s="7" t="n">
        <v>100</v>
      </c>
      <c r="H447" s="7" t="n">
        <v>100</v>
      </c>
    </row>
    <row r="448" ht="15" customHeight="1" s="5">
      <c r="A448" s="7" t="inlineStr">
        <is>
          <t>Resource 18</t>
        </is>
      </c>
      <c r="B448" s="7" t="inlineStr">
        <is>
          <t>Data</t>
        </is>
      </c>
      <c r="C448" s="7" t="inlineStr">
        <is>
          <t>Tester</t>
        </is>
      </c>
      <c r="D448" s="7" t="inlineStr">
        <is>
          <t>PRJ010</t>
        </is>
      </c>
      <c r="E448" s="7" t="inlineStr">
        <is>
          <t>Workforce Enablement</t>
        </is>
      </c>
      <c r="F448" s="8" t="n">
        <v>45839</v>
      </c>
      <c r="G448" s="7" t="n">
        <v>90</v>
      </c>
      <c r="H448" s="7" t="n">
        <v>100</v>
      </c>
    </row>
    <row r="449" ht="15" customHeight="1" s="5">
      <c r="A449" s="7" t="inlineStr">
        <is>
          <t>Resource 18</t>
        </is>
      </c>
      <c r="B449" s="7" t="inlineStr">
        <is>
          <t>Data</t>
        </is>
      </c>
      <c r="C449" s="7" t="inlineStr">
        <is>
          <t>Tester</t>
        </is>
      </c>
      <c r="D449" s="7" t="inlineStr">
        <is>
          <t>PRJ010</t>
        </is>
      </c>
      <c r="E449" s="7" t="inlineStr">
        <is>
          <t>Workforce Enablement</t>
        </is>
      </c>
      <c r="F449" s="8" t="n">
        <v>45870</v>
      </c>
      <c r="G449" s="7" t="n">
        <v>75</v>
      </c>
      <c r="H449" s="7" t="n">
        <v>100</v>
      </c>
    </row>
    <row r="450" ht="15" customHeight="1" s="5">
      <c r="A450" s="7" t="inlineStr">
        <is>
          <t>Resource 18</t>
        </is>
      </c>
      <c r="B450" s="7" t="inlineStr">
        <is>
          <t>Data</t>
        </is>
      </c>
      <c r="C450" s="7" t="inlineStr">
        <is>
          <t>Tester</t>
        </is>
      </c>
      <c r="D450" s="7" t="inlineStr">
        <is>
          <t>PRJ010</t>
        </is>
      </c>
      <c r="E450" s="7" t="inlineStr">
        <is>
          <t>Workforce Enablement</t>
        </is>
      </c>
      <c r="F450" s="8" t="n">
        <v>45901</v>
      </c>
      <c r="G450" s="7" t="n">
        <v>100</v>
      </c>
      <c r="H450" s="7" t="n">
        <v>100</v>
      </c>
    </row>
    <row r="451" ht="15" customHeight="1" s="5">
      <c r="A451" s="7" t="inlineStr">
        <is>
          <t>Resource 18</t>
        </is>
      </c>
      <c r="B451" s="7" t="inlineStr">
        <is>
          <t>Data</t>
        </is>
      </c>
      <c r="C451" s="7" t="inlineStr">
        <is>
          <t>Tester</t>
        </is>
      </c>
      <c r="D451" s="7" t="inlineStr">
        <is>
          <t>PRJ010</t>
        </is>
      </c>
      <c r="E451" s="7" t="inlineStr">
        <is>
          <t>Workforce Enablement</t>
        </is>
      </c>
      <c r="F451" s="8" t="n">
        <v>45931</v>
      </c>
      <c r="G451" s="7" t="n">
        <v>90</v>
      </c>
      <c r="H451" s="7" t="n">
        <v>100</v>
      </c>
    </row>
    <row r="452" ht="15" customHeight="1" s="5">
      <c r="A452" s="7" t="inlineStr">
        <is>
          <t>Resource 18</t>
        </is>
      </c>
      <c r="B452" s="7" t="inlineStr">
        <is>
          <t>Data</t>
        </is>
      </c>
      <c r="C452" s="7" t="inlineStr">
        <is>
          <t>Tester</t>
        </is>
      </c>
      <c r="D452" s="7" t="inlineStr">
        <is>
          <t>PRJ010</t>
        </is>
      </c>
      <c r="E452" s="7" t="inlineStr">
        <is>
          <t>Workforce Enablement</t>
        </is>
      </c>
      <c r="F452" s="8" t="n">
        <v>45962</v>
      </c>
      <c r="G452" s="7" t="n">
        <v>100</v>
      </c>
      <c r="H452" s="7" t="n">
        <v>100</v>
      </c>
    </row>
    <row r="453" ht="15" customHeight="1" s="5">
      <c r="A453" s="7" t="inlineStr">
        <is>
          <t>Resource 18</t>
        </is>
      </c>
      <c r="B453" s="7" t="inlineStr">
        <is>
          <t>Data</t>
        </is>
      </c>
      <c r="C453" s="7" t="inlineStr">
        <is>
          <t>Tester</t>
        </is>
      </c>
      <c r="D453" s="7" t="inlineStr">
        <is>
          <t>PRJ010</t>
        </is>
      </c>
      <c r="E453" s="7" t="inlineStr">
        <is>
          <t>Workforce Enablement</t>
        </is>
      </c>
      <c r="F453" s="8" t="n">
        <v>45992</v>
      </c>
      <c r="G453" s="7" t="n">
        <v>90</v>
      </c>
      <c r="H453" s="7" t="n">
        <v>100</v>
      </c>
    </row>
    <row r="454" ht="15" customHeight="1" s="5">
      <c r="A454" s="7" t="inlineStr">
        <is>
          <t>Resource 18</t>
        </is>
      </c>
      <c r="B454" s="7" t="inlineStr">
        <is>
          <t>Data</t>
        </is>
      </c>
      <c r="C454" s="7" t="inlineStr">
        <is>
          <t>Tester</t>
        </is>
      </c>
      <c r="D454" s="7" t="inlineStr">
        <is>
          <t>PRJ010</t>
        </is>
      </c>
      <c r="E454" s="7" t="inlineStr">
        <is>
          <t>Workforce Enablement</t>
        </is>
      </c>
      <c r="F454" s="8" t="n">
        <v>46023</v>
      </c>
      <c r="G454" s="7" t="n">
        <v>100</v>
      </c>
      <c r="H454" s="7" t="n">
        <v>100</v>
      </c>
    </row>
    <row r="455" ht="15" customHeight="1" s="5">
      <c r="A455" s="7" t="inlineStr">
        <is>
          <t>Resource 19</t>
        </is>
      </c>
      <c r="B455" s="7" t="inlineStr">
        <is>
          <t>Security</t>
        </is>
      </c>
      <c r="C455" s="7" t="inlineStr">
        <is>
          <t>Project Manager</t>
        </is>
      </c>
      <c r="D455" s="7" t="inlineStr">
        <is>
          <t>PRJ028</t>
        </is>
      </c>
      <c r="E455" s="7" t="inlineStr">
        <is>
          <t>Mobile App 2</t>
        </is>
      </c>
      <c r="F455" s="8" t="n">
        <v>45658</v>
      </c>
      <c r="G455" s="7" t="n">
        <v>100</v>
      </c>
      <c r="H455" s="7" t="n">
        <v>100</v>
      </c>
    </row>
    <row r="456" ht="15" customHeight="1" s="5">
      <c r="A456" s="7" t="inlineStr">
        <is>
          <t>Resource 19</t>
        </is>
      </c>
      <c r="B456" s="7" t="inlineStr">
        <is>
          <t>Security</t>
        </is>
      </c>
      <c r="C456" s="7" t="inlineStr">
        <is>
          <t>Project Manager</t>
        </is>
      </c>
      <c r="D456" s="7" t="inlineStr">
        <is>
          <t>PRJ028</t>
        </is>
      </c>
      <c r="E456" s="7" t="inlineStr">
        <is>
          <t>Mobile App 2</t>
        </is>
      </c>
      <c r="F456" s="8" t="n">
        <v>45689</v>
      </c>
      <c r="G456" s="7" t="n">
        <v>100</v>
      </c>
      <c r="H456" s="7" t="n">
        <v>100</v>
      </c>
    </row>
    <row r="457" ht="15" customHeight="1" s="5">
      <c r="A457" s="7" t="inlineStr">
        <is>
          <t>Resource 19</t>
        </is>
      </c>
      <c r="B457" s="7" t="inlineStr">
        <is>
          <t>Security</t>
        </is>
      </c>
      <c r="C457" s="7" t="inlineStr">
        <is>
          <t>Project Manager</t>
        </is>
      </c>
      <c r="D457" s="7" t="inlineStr">
        <is>
          <t>PRJ028</t>
        </is>
      </c>
      <c r="E457" s="7" t="inlineStr">
        <is>
          <t>Mobile App 2</t>
        </is>
      </c>
      <c r="F457" s="8" t="n">
        <v>45717</v>
      </c>
      <c r="G457" s="7" t="n">
        <v>100</v>
      </c>
      <c r="H457" s="7" t="n">
        <v>100</v>
      </c>
    </row>
    <row r="458" ht="15" customHeight="1" s="5">
      <c r="A458" s="7" t="inlineStr">
        <is>
          <t>Resource 19</t>
        </is>
      </c>
      <c r="B458" s="7" t="inlineStr">
        <is>
          <t>Security</t>
        </is>
      </c>
      <c r="C458" s="7" t="inlineStr">
        <is>
          <t>Project Manager</t>
        </is>
      </c>
      <c r="D458" s="7" t="inlineStr">
        <is>
          <t>PRJ028</t>
        </is>
      </c>
      <c r="E458" s="7" t="inlineStr">
        <is>
          <t>Mobile App 2</t>
        </is>
      </c>
      <c r="F458" s="8" t="n">
        <v>45748</v>
      </c>
      <c r="G458" s="7" t="n">
        <v>100</v>
      </c>
      <c r="H458" s="7" t="n">
        <v>100</v>
      </c>
    </row>
    <row r="459" ht="15" customHeight="1" s="5">
      <c r="A459" s="7" t="inlineStr">
        <is>
          <t>Resource 19</t>
        </is>
      </c>
      <c r="B459" s="7" t="inlineStr">
        <is>
          <t>Security</t>
        </is>
      </c>
      <c r="C459" s="7" t="inlineStr">
        <is>
          <t>Project Manager</t>
        </is>
      </c>
      <c r="D459" s="7" t="inlineStr">
        <is>
          <t>PRJ028</t>
        </is>
      </c>
      <c r="E459" s="7" t="inlineStr">
        <is>
          <t>Mobile App 2</t>
        </is>
      </c>
      <c r="F459" s="8" t="n">
        <v>45778</v>
      </c>
      <c r="G459" s="7" t="n">
        <v>100</v>
      </c>
      <c r="H459" s="7" t="n">
        <v>100</v>
      </c>
    </row>
    <row r="460" ht="15" customHeight="1" s="5">
      <c r="A460" s="7" t="inlineStr">
        <is>
          <t>Resource 19</t>
        </is>
      </c>
      <c r="B460" s="7" t="inlineStr">
        <is>
          <t>Security</t>
        </is>
      </c>
      <c r="C460" s="7" t="inlineStr">
        <is>
          <t>Project Manager</t>
        </is>
      </c>
      <c r="D460" s="7" t="inlineStr">
        <is>
          <t>PRJ028</t>
        </is>
      </c>
      <c r="E460" s="7" t="inlineStr">
        <is>
          <t>Mobile App 2</t>
        </is>
      </c>
      <c r="F460" s="8" t="n">
        <v>45809</v>
      </c>
      <c r="G460" s="7" t="n">
        <v>100</v>
      </c>
      <c r="H460" s="7" t="n">
        <v>100</v>
      </c>
    </row>
    <row r="461" ht="15" customHeight="1" s="5">
      <c r="A461" s="7" t="inlineStr">
        <is>
          <t>Resource 19</t>
        </is>
      </c>
      <c r="B461" s="7" t="inlineStr">
        <is>
          <t>Security</t>
        </is>
      </c>
      <c r="C461" s="7" t="inlineStr">
        <is>
          <t>Project Manager</t>
        </is>
      </c>
      <c r="D461" s="7" t="inlineStr">
        <is>
          <t>PRJ028</t>
        </is>
      </c>
      <c r="E461" s="7" t="inlineStr">
        <is>
          <t>Mobile App 2</t>
        </is>
      </c>
      <c r="F461" s="8" t="n">
        <v>45839</v>
      </c>
      <c r="G461" s="7" t="n">
        <v>100</v>
      </c>
      <c r="H461" s="7" t="n">
        <v>100</v>
      </c>
    </row>
    <row r="462" ht="15" customHeight="1" s="5">
      <c r="A462" s="7" t="inlineStr">
        <is>
          <t>Resource 19</t>
        </is>
      </c>
      <c r="B462" s="7" t="inlineStr">
        <is>
          <t>Security</t>
        </is>
      </c>
      <c r="C462" s="7" t="inlineStr">
        <is>
          <t>Project Manager</t>
        </is>
      </c>
      <c r="D462" s="7" t="inlineStr">
        <is>
          <t>PRJ028</t>
        </is>
      </c>
      <c r="E462" s="7" t="inlineStr">
        <is>
          <t>Mobile App 2</t>
        </is>
      </c>
      <c r="F462" s="8" t="n">
        <v>45870</v>
      </c>
      <c r="G462" s="7" t="n">
        <v>100</v>
      </c>
      <c r="H462" s="7" t="n">
        <v>100</v>
      </c>
    </row>
    <row r="463" ht="15" customHeight="1" s="5">
      <c r="A463" s="7" t="inlineStr">
        <is>
          <t>Resource 19</t>
        </is>
      </c>
      <c r="B463" s="7" t="inlineStr">
        <is>
          <t>Security</t>
        </is>
      </c>
      <c r="C463" s="7" t="inlineStr">
        <is>
          <t>Project Manager</t>
        </is>
      </c>
      <c r="D463" s="7" t="inlineStr">
        <is>
          <t>PRJ028</t>
        </is>
      </c>
      <c r="E463" s="7" t="inlineStr">
        <is>
          <t>Mobile App 2</t>
        </is>
      </c>
      <c r="F463" s="8" t="n">
        <v>45901</v>
      </c>
      <c r="G463" s="7" t="n">
        <v>100</v>
      </c>
      <c r="H463" s="7" t="n">
        <v>100</v>
      </c>
    </row>
    <row r="464" ht="15" customHeight="1" s="5">
      <c r="A464" s="7" t="inlineStr">
        <is>
          <t>Resource 19</t>
        </is>
      </c>
      <c r="B464" s="7" t="inlineStr">
        <is>
          <t>Security</t>
        </is>
      </c>
      <c r="C464" s="7" t="inlineStr">
        <is>
          <t>Project Manager</t>
        </is>
      </c>
      <c r="D464" s="7" t="inlineStr">
        <is>
          <t>PRJ028</t>
        </is>
      </c>
      <c r="E464" s="7" t="inlineStr">
        <is>
          <t>Mobile App 2</t>
        </is>
      </c>
      <c r="F464" s="8" t="n">
        <v>45931</v>
      </c>
      <c r="G464" s="7" t="n">
        <v>100</v>
      </c>
      <c r="H464" s="7" t="n">
        <v>100</v>
      </c>
    </row>
    <row r="465" ht="15" customHeight="1" s="5">
      <c r="A465" s="7" t="inlineStr">
        <is>
          <t>Resource 19</t>
        </is>
      </c>
      <c r="B465" s="7" t="inlineStr">
        <is>
          <t>Security</t>
        </is>
      </c>
      <c r="C465" s="7" t="inlineStr">
        <is>
          <t>Project Manager</t>
        </is>
      </c>
      <c r="D465" s="7" t="inlineStr">
        <is>
          <t>PRJ028</t>
        </is>
      </c>
      <c r="E465" s="7" t="inlineStr">
        <is>
          <t>Mobile App 2</t>
        </is>
      </c>
      <c r="F465" s="8" t="n">
        <v>45962</v>
      </c>
      <c r="G465" s="7" t="n">
        <v>100</v>
      </c>
      <c r="H465" s="7" t="n">
        <v>100</v>
      </c>
    </row>
    <row r="466" ht="15" customHeight="1" s="5">
      <c r="A466" s="7" t="inlineStr">
        <is>
          <t>Resource 19</t>
        </is>
      </c>
      <c r="B466" s="7" t="inlineStr">
        <is>
          <t>Security</t>
        </is>
      </c>
      <c r="C466" s="7" t="inlineStr">
        <is>
          <t>Project Manager</t>
        </is>
      </c>
      <c r="D466" s="7" t="inlineStr">
        <is>
          <t>PRJ028</t>
        </is>
      </c>
      <c r="E466" s="7" t="inlineStr">
        <is>
          <t>Mobile App 2</t>
        </is>
      </c>
      <c r="F466" s="8" t="n">
        <v>45992</v>
      </c>
      <c r="G466" s="7" t="n">
        <v>100</v>
      </c>
      <c r="H466" s="7" t="n">
        <v>100</v>
      </c>
    </row>
    <row r="467" ht="15" customHeight="1" s="5">
      <c r="A467" s="7" t="inlineStr">
        <is>
          <t>Resource 19</t>
        </is>
      </c>
      <c r="B467" s="7" t="inlineStr">
        <is>
          <t>Security</t>
        </is>
      </c>
      <c r="C467" s="7" t="inlineStr">
        <is>
          <t>Project Manager</t>
        </is>
      </c>
      <c r="D467" s="7" t="inlineStr">
        <is>
          <t>PRJ028</t>
        </is>
      </c>
      <c r="E467" s="7" t="inlineStr">
        <is>
          <t>Mobile App 2</t>
        </is>
      </c>
      <c r="F467" s="8" t="n">
        <v>46023</v>
      </c>
      <c r="G467" s="7" t="n">
        <v>100</v>
      </c>
      <c r="H467" s="7" t="n">
        <v>100</v>
      </c>
    </row>
    <row r="468" ht="15" customHeight="1" s="5">
      <c r="A468" s="7" t="inlineStr">
        <is>
          <t>Resource 19</t>
        </is>
      </c>
      <c r="B468" s="7" t="inlineStr">
        <is>
          <t>Security</t>
        </is>
      </c>
      <c r="C468" s="7" t="inlineStr">
        <is>
          <t>Project Manager</t>
        </is>
      </c>
      <c r="D468" s="7" t="inlineStr">
        <is>
          <t>PRJ028</t>
        </is>
      </c>
      <c r="E468" s="7" t="inlineStr">
        <is>
          <t>Mobile App 2</t>
        </is>
      </c>
      <c r="F468" s="8" t="n">
        <v>46054</v>
      </c>
      <c r="G468" s="7" t="n">
        <v>100</v>
      </c>
      <c r="H468" s="7" t="n">
        <v>100</v>
      </c>
    </row>
    <row r="469" ht="15" customHeight="1" s="5">
      <c r="A469" s="7" t="inlineStr">
        <is>
          <t>Resource 19</t>
        </is>
      </c>
      <c r="B469" s="7" t="inlineStr">
        <is>
          <t>Security</t>
        </is>
      </c>
      <c r="C469" s="7" t="inlineStr">
        <is>
          <t>Project Manager</t>
        </is>
      </c>
      <c r="D469" s="7" t="inlineStr">
        <is>
          <t>PRJ028</t>
        </is>
      </c>
      <c r="E469" s="7" t="inlineStr">
        <is>
          <t>Mobile App 2</t>
        </is>
      </c>
      <c r="F469" s="8" t="n">
        <v>46082</v>
      </c>
      <c r="G469" s="7" t="n">
        <v>100</v>
      </c>
      <c r="H469" s="7" t="n">
        <v>100</v>
      </c>
    </row>
    <row r="470" ht="15" customHeight="1" s="5">
      <c r="A470" s="7" t="inlineStr">
        <is>
          <t>Resource 19</t>
        </is>
      </c>
      <c r="B470" s="7" t="inlineStr">
        <is>
          <t>Security</t>
        </is>
      </c>
      <c r="C470" s="7" t="inlineStr">
        <is>
          <t>Project Manager</t>
        </is>
      </c>
      <c r="D470" s="7" t="inlineStr">
        <is>
          <t>PRJ028</t>
        </is>
      </c>
      <c r="E470" s="7" t="inlineStr">
        <is>
          <t>Mobile App 2</t>
        </is>
      </c>
      <c r="F470" s="8" t="n">
        <v>46113</v>
      </c>
      <c r="G470" s="7" t="n">
        <v>90</v>
      </c>
      <c r="H470" s="7" t="n">
        <v>100</v>
      </c>
    </row>
    <row r="471" ht="15" customHeight="1" s="5">
      <c r="A471" s="7" t="inlineStr">
        <is>
          <t>Resource 19</t>
        </is>
      </c>
      <c r="B471" s="7" t="inlineStr">
        <is>
          <t>Security</t>
        </is>
      </c>
      <c r="C471" s="7" t="inlineStr">
        <is>
          <t>Project Manager</t>
        </is>
      </c>
      <c r="D471" s="7" t="inlineStr">
        <is>
          <t>PRJ028</t>
        </is>
      </c>
      <c r="E471" s="7" t="inlineStr">
        <is>
          <t>Mobile App 2</t>
        </is>
      </c>
      <c r="F471" s="8" t="n">
        <v>46143</v>
      </c>
      <c r="G471" s="7" t="n">
        <v>100</v>
      </c>
      <c r="H471" s="7" t="n">
        <v>100</v>
      </c>
    </row>
    <row r="472" ht="15" customHeight="1" s="5">
      <c r="A472" s="7" t="inlineStr">
        <is>
          <t>Resource 19</t>
        </is>
      </c>
      <c r="B472" s="7" t="inlineStr">
        <is>
          <t>Security</t>
        </is>
      </c>
      <c r="C472" s="7" t="inlineStr">
        <is>
          <t>Project Manager</t>
        </is>
      </c>
      <c r="D472" s="7" t="inlineStr">
        <is>
          <t>PRJ028</t>
        </is>
      </c>
      <c r="E472" s="7" t="inlineStr">
        <is>
          <t>Mobile App 2</t>
        </is>
      </c>
      <c r="F472" s="8" t="n">
        <v>46174</v>
      </c>
      <c r="G472" s="7" t="n">
        <v>75</v>
      </c>
      <c r="H472" s="7" t="n">
        <v>100</v>
      </c>
    </row>
    <row r="473" ht="15" customHeight="1" s="5">
      <c r="A473" s="7" t="inlineStr">
        <is>
          <t>Resource 19</t>
        </is>
      </c>
      <c r="B473" s="7" t="inlineStr">
        <is>
          <t>Security</t>
        </is>
      </c>
      <c r="C473" s="7" t="inlineStr">
        <is>
          <t>Project Manager</t>
        </is>
      </c>
      <c r="D473" s="7" t="inlineStr">
        <is>
          <t>PRJ028</t>
        </is>
      </c>
      <c r="E473" s="7" t="inlineStr">
        <is>
          <t>Mobile App 2</t>
        </is>
      </c>
      <c r="F473" s="8" t="n">
        <v>46204</v>
      </c>
      <c r="G473" s="7" t="n">
        <v>75</v>
      </c>
      <c r="H473" s="7" t="n">
        <v>100</v>
      </c>
    </row>
    <row r="474" ht="15" customHeight="1" s="5">
      <c r="A474" s="7" t="inlineStr">
        <is>
          <t>Resource 20</t>
        </is>
      </c>
      <c r="B474" s="7" t="inlineStr">
        <is>
          <t>DevOps</t>
        </is>
      </c>
      <c r="C474" s="7" t="inlineStr">
        <is>
          <t>Analyst</t>
        </is>
      </c>
      <c r="D474" s="7" t="inlineStr">
        <is>
          <t>PRJ015</t>
        </is>
      </c>
      <c r="E474" s="7" t="inlineStr">
        <is>
          <t>Service Desk</t>
        </is>
      </c>
      <c r="F474" s="8" t="n">
        <v>45809</v>
      </c>
      <c r="G474" s="7" t="n">
        <v>25</v>
      </c>
      <c r="H474" s="7" t="n">
        <v>100</v>
      </c>
    </row>
    <row r="475" ht="15" customHeight="1" s="5">
      <c r="A475" s="7" t="inlineStr">
        <is>
          <t>Resource 20</t>
        </is>
      </c>
      <c r="B475" s="7" t="inlineStr">
        <is>
          <t>DevOps</t>
        </is>
      </c>
      <c r="C475" s="7" t="inlineStr">
        <is>
          <t>Analyst</t>
        </is>
      </c>
      <c r="D475" s="7" t="inlineStr">
        <is>
          <t>PRJ015</t>
        </is>
      </c>
      <c r="E475" s="7" t="inlineStr">
        <is>
          <t>Service Desk</t>
        </is>
      </c>
      <c r="F475" s="8" t="n">
        <v>45839</v>
      </c>
      <c r="G475" s="7" t="n">
        <v>25</v>
      </c>
      <c r="H475" s="7" t="n">
        <v>100</v>
      </c>
    </row>
    <row r="476" ht="15" customHeight="1" s="5">
      <c r="A476" s="7" t="inlineStr">
        <is>
          <t>Resource 20</t>
        </is>
      </c>
      <c r="B476" s="7" t="inlineStr">
        <is>
          <t>DevOps</t>
        </is>
      </c>
      <c r="C476" s="7" t="inlineStr">
        <is>
          <t>Analyst</t>
        </is>
      </c>
      <c r="D476" s="7" t="inlineStr">
        <is>
          <t>PRJ015</t>
        </is>
      </c>
      <c r="E476" s="7" t="inlineStr">
        <is>
          <t>Service Desk</t>
        </is>
      </c>
      <c r="F476" s="8" t="n">
        <v>45870</v>
      </c>
      <c r="G476" s="7" t="n">
        <v>65</v>
      </c>
      <c r="H476" s="7" t="n">
        <v>100</v>
      </c>
    </row>
    <row r="477" ht="15" customHeight="1" s="5">
      <c r="A477" s="7" t="inlineStr">
        <is>
          <t>Resource 20</t>
        </is>
      </c>
      <c r="B477" s="7" t="inlineStr">
        <is>
          <t>DevOps</t>
        </is>
      </c>
      <c r="C477" s="7" t="inlineStr">
        <is>
          <t>Analyst</t>
        </is>
      </c>
      <c r="D477" s="7" t="inlineStr">
        <is>
          <t>PRJ015</t>
        </is>
      </c>
      <c r="E477" s="7" t="inlineStr">
        <is>
          <t>Service Desk</t>
        </is>
      </c>
      <c r="F477" s="8" t="n">
        <v>45901</v>
      </c>
      <c r="G477" s="7" t="n">
        <v>25</v>
      </c>
      <c r="H477" s="7" t="n">
        <v>100</v>
      </c>
    </row>
    <row r="478" ht="15" customHeight="1" s="5">
      <c r="A478" s="7" t="inlineStr">
        <is>
          <t>Resource 20</t>
        </is>
      </c>
      <c r="B478" s="7" t="inlineStr">
        <is>
          <t>DevOps</t>
        </is>
      </c>
      <c r="C478" s="7" t="inlineStr">
        <is>
          <t>Analyst</t>
        </is>
      </c>
      <c r="D478" s="7" t="inlineStr">
        <is>
          <t>PRJ015</t>
        </is>
      </c>
      <c r="E478" s="7" t="inlineStr">
        <is>
          <t>Service Desk</t>
        </is>
      </c>
      <c r="F478" s="8" t="n">
        <v>45931</v>
      </c>
      <c r="G478" s="7" t="n">
        <v>25</v>
      </c>
      <c r="H478" s="7" t="n">
        <v>100</v>
      </c>
    </row>
    <row r="479" ht="15" customHeight="1" s="5">
      <c r="A479" s="7" t="inlineStr">
        <is>
          <t>Resource 20</t>
        </is>
      </c>
      <c r="B479" s="7" t="inlineStr">
        <is>
          <t>DevOps</t>
        </is>
      </c>
      <c r="C479" s="7" t="inlineStr">
        <is>
          <t>Analyst</t>
        </is>
      </c>
      <c r="D479" s="7" t="inlineStr">
        <is>
          <t>PRJ015</t>
        </is>
      </c>
      <c r="E479" s="7" t="inlineStr">
        <is>
          <t>Service Desk</t>
        </is>
      </c>
      <c r="F479" s="8" t="n">
        <v>45962</v>
      </c>
      <c r="G479" s="7" t="n">
        <v>50</v>
      </c>
      <c r="H479" s="7" t="n">
        <v>100</v>
      </c>
    </row>
    <row r="480" ht="15" customHeight="1" s="5">
      <c r="A480" s="7" t="inlineStr">
        <is>
          <t>Resource 20</t>
        </is>
      </c>
      <c r="B480" s="7" t="inlineStr">
        <is>
          <t>DevOps</t>
        </is>
      </c>
      <c r="C480" s="7" t="inlineStr">
        <is>
          <t>Analyst</t>
        </is>
      </c>
      <c r="D480" s="7" t="inlineStr">
        <is>
          <t>PRJ015</t>
        </is>
      </c>
      <c r="E480" s="7" t="inlineStr">
        <is>
          <t>Service Desk</t>
        </is>
      </c>
      <c r="F480" s="8" t="n">
        <v>45992</v>
      </c>
      <c r="G480" s="7" t="n">
        <v>65</v>
      </c>
      <c r="H480" s="7" t="n">
        <v>100</v>
      </c>
    </row>
    <row r="481" ht="15" customHeight="1" s="5">
      <c r="A481" s="7" t="inlineStr">
        <is>
          <t>Resource 20</t>
        </is>
      </c>
      <c r="B481" s="7" t="inlineStr">
        <is>
          <t>DevOps</t>
        </is>
      </c>
      <c r="C481" s="7" t="inlineStr">
        <is>
          <t>Analyst</t>
        </is>
      </c>
      <c r="D481" s="7" t="inlineStr">
        <is>
          <t>PRJ015</t>
        </is>
      </c>
      <c r="E481" s="7" t="inlineStr">
        <is>
          <t>Service Desk</t>
        </is>
      </c>
      <c r="F481" s="8" t="n">
        <v>46023</v>
      </c>
      <c r="G481" s="7" t="n">
        <v>25</v>
      </c>
      <c r="H481" s="7" t="n">
        <v>100</v>
      </c>
    </row>
    <row r="482" ht="15" customHeight="1" s="5">
      <c r="A482" s="7" t="inlineStr">
        <is>
          <t>Resource 20</t>
        </is>
      </c>
      <c r="B482" s="7" t="inlineStr">
        <is>
          <t>DevOps</t>
        </is>
      </c>
      <c r="C482" s="7" t="inlineStr">
        <is>
          <t>Analyst</t>
        </is>
      </c>
      <c r="D482" s="7" t="inlineStr">
        <is>
          <t>PRJ015</t>
        </is>
      </c>
      <c r="E482" s="7" t="inlineStr">
        <is>
          <t>Service Desk</t>
        </is>
      </c>
      <c r="F482" s="8" t="n">
        <v>46054</v>
      </c>
      <c r="G482" s="7" t="n">
        <v>40</v>
      </c>
      <c r="H482" s="7" t="n">
        <v>100</v>
      </c>
    </row>
    <row r="483" ht="15" customHeight="1" s="5">
      <c r="A483" s="7" t="inlineStr">
        <is>
          <t>Resource 20</t>
        </is>
      </c>
      <c r="B483" s="7" t="inlineStr">
        <is>
          <t>DevOps</t>
        </is>
      </c>
      <c r="C483" s="7" t="inlineStr">
        <is>
          <t>Analyst</t>
        </is>
      </c>
      <c r="D483" s="7" t="inlineStr">
        <is>
          <t>PRJ015</t>
        </is>
      </c>
      <c r="E483" s="7" t="inlineStr">
        <is>
          <t>Service Desk</t>
        </is>
      </c>
      <c r="F483" s="8" t="n">
        <v>46082</v>
      </c>
      <c r="G483" s="7" t="n">
        <v>50</v>
      </c>
      <c r="H483" s="7" t="n">
        <v>100</v>
      </c>
    </row>
    <row r="484" ht="15" customHeight="1" s="5">
      <c r="A484" s="7" t="inlineStr">
        <is>
          <t>Resource 20</t>
        </is>
      </c>
      <c r="B484" s="7" t="inlineStr">
        <is>
          <t>DevOps</t>
        </is>
      </c>
      <c r="C484" s="7" t="inlineStr">
        <is>
          <t>Analyst</t>
        </is>
      </c>
      <c r="D484" s="7" t="inlineStr">
        <is>
          <t>PRJ015</t>
        </is>
      </c>
      <c r="E484" s="7" t="inlineStr">
        <is>
          <t>Service Desk</t>
        </is>
      </c>
      <c r="F484" s="8" t="n">
        <v>46113</v>
      </c>
      <c r="G484" s="7" t="n">
        <v>60</v>
      </c>
      <c r="H484" s="7" t="n">
        <v>100</v>
      </c>
    </row>
    <row r="485" ht="15" customHeight="1" s="5">
      <c r="A485" s="7" t="inlineStr">
        <is>
          <t>Resource 20</t>
        </is>
      </c>
      <c r="B485" s="7" t="inlineStr">
        <is>
          <t>DevOps</t>
        </is>
      </c>
      <c r="C485" s="7" t="inlineStr">
        <is>
          <t>Analyst</t>
        </is>
      </c>
      <c r="D485" s="7" t="inlineStr">
        <is>
          <t>PRJ021</t>
        </is>
      </c>
      <c r="E485" s="7" t="inlineStr">
        <is>
          <t>Data Warehouse</t>
        </is>
      </c>
      <c r="F485" s="8" t="n">
        <v>45658</v>
      </c>
      <c r="G485" s="7" t="n">
        <v>50</v>
      </c>
      <c r="H485" s="7" t="n">
        <v>100</v>
      </c>
    </row>
    <row r="486" ht="15" customHeight="1" s="5">
      <c r="A486" s="7" t="inlineStr">
        <is>
          <t>Resource 20</t>
        </is>
      </c>
      <c r="B486" s="7" t="inlineStr">
        <is>
          <t>DevOps</t>
        </is>
      </c>
      <c r="C486" s="7" t="inlineStr">
        <is>
          <t>Analyst</t>
        </is>
      </c>
      <c r="D486" s="7" t="inlineStr">
        <is>
          <t>PRJ021</t>
        </is>
      </c>
      <c r="E486" s="7" t="inlineStr">
        <is>
          <t>Data Warehouse</t>
        </is>
      </c>
      <c r="F486" s="8" t="n">
        <v>45689</v>
      </c>
      <c r="G486" s="7" t="n">
        <v>60</v>
      </c>
      <c r="H486" s="7" t="n">
        <v>100</v>
      </c>
    </row>
    <row r="487" ht="15" customHeight="1" s="5">
      <c r="A487" s="7" t="inlineStr">
        <is>
          <t>Resource 20</t>
        </is>
      </c>
      <c r="B487" s="7" t="inlineStr">
        <is>
          <t>DevOps</t>
        </is>
      </c>
      <c r="C487" s="7" t="inlineStr">
        <is>
          <t>Analyst</t>
        </is>
      </c>
      <c r="D487" s="7" t="inlineStr">
        <is>
          <t>PRJ021</t>
        </is>
      </c>
      <c r="E487" s="7" t="inlineStr">
        <is>
          <t>Data Warehouse</t>
        </is>
      </c>
      <c r="F487" s="8" t="n">
        <v>45717</v>
      </c>
      <c r="G487" s="7" t="n">
        <v>60</v>
      </c>
      <c r="H487" s="7" t="n">
        <v>100</v>
      </c>
    </row>
    <row r="488" ht="15" customHeight="1" s="5">
      <c r="A488" s="7" t="inlineStr">
        <is>
          <t>Resource 20</t>
        </is>
      </c>
      <c r="B488" s="7" t="inlineStr">
        <is>
          <t>DevOps</t>
        </is>
      </c>
      <c r="C488" s="7" t="inlineStr">
        <is>
          <t>Analyst</t>
        </is>
      </c>
      <c r="D488" s="7" t="inlineStr">
        <is>
          <t>PRJ021</t>
        </is>
      </c>
      <c r="E488" s="7" t="inlineStr">
        <is>
          <t>Data Warehouse</t>
        </is>
      </c>
      <c r="F488" s="8" t="n">
        <v>45748</v>
      </c>
      <c r="G488" s="7" t="n">
        <v>25</v>
      </c>
      <c r="H488" s="7" t="n">
        <v>100</v>
      </c>
    </row>
    <row r="489" ht="15" customHeight="1" s="5">
      <c r="A489" s="7" t="inlineStr">
        <is>
          <t>Resource 20</t>
        </is>
      </c>
      <c r="B489" s="7" t="inlineStr">
        <is>
          <t>DevOps</t>
        </is>
      </c>
      <c r="C489" s="7" t="inlineStr">
        <is>
          <t>Analyst</t>
        </is>
      </c>
      <c r="D489" s="7" t="inlineStr">
        <is>
          <t>PRJ021</t>
        </is>
      </c>
      <c r="E489" s="7" t="inlineStr">
        <is>
          <t>Data Warehouse</t>
        </is>
      </c>
      <c r="F489" s="8" t="n">
        <v>45778</v>
      </c>
      <c r="G489" s="7" t="n">
        <v>25</v>
      </c>
      <c r="H489" s="7" t="n">
        <v>100</v>
      </c>
    </row>
    <row r="490" ht="15" customHeight="1" s="5">
      <c r="A490" s="7" t="inlineStr">
        <is>
          <t>Resource 20</t>
        </is>
      </c>
      <c r="B490" s="7" t="inlineStr">
        <is>
          <t>DevOps</t>
        </is>
      </c>
      <c r="C490" s="7" t="inlineStr">
        <is>
          <t>Analyst</t>
        </is>
      </c>
      <c r="D490" s="7" t="inlineStr">
        <is>
          <t>PRJ021</t>
        </is>
      </c>
      <c r="E490" s="7" t="inlineStr">
        <is>
          <t>Data Warehouse</t>
        </is>
      </c>
      <c r="F490" s="8" t="n">
        <v>45809</v>
      </c>
      <c r="G490" s="7" t="n">
        <v>65</v>
      </c>
      <c r="H490" s="7" t="n">
        <v>100</v>
      </c>
    </row>
    <row r="491" ht="15" customHeight="1" s="5">
      <c r="A491" s="7" t="inlineStr">
        <is>
          <t>Resource 21</t>
        </is>
      </c>
      <c r="B491" s="7" t="inlineStr">
        <is>
          <t>Architect</t>
        </is>
      </c>
      <c r="C491" s="7" t="inlineStr">
        <is>
          <t>Analyst</t>
        </is>
      </c>
      <c r="D491" s="7" t="inlineStr">
        <is>
          <t>PRJ013</t>
        </is>
      </c>
      <c r="E491" s="7" t="inlineStr">
        <is>
          <t>API Gateway</t>
        </is>
      </c>
      <c r="F491" s="8" t="n">
        <v>45992</v>
      </c>
      <c r="G491" s="7" t="n">
        <v>90</v>
      </c>
      <c r="H491" s="7" t="n">
        <v>100</v>
      </c>
    </row>
    <row r="492" ht="15" customHeight="1" s="5">
      <c r="A492" s="7" t="inlineStr">
        <is>
          <t>Resource 21</t>
        </is>
      </c>
      <c r="B492" s="7" t="inlineStr">
        <is>
          <t>Architect</t>
        </is>
      </c>
      <c r="C492" s="7" t="inlineStr">
        <is>
          <t>Analyst</t>
        </is>
      </c>
      <c r="D492" s="7" t="inlineStr">
        <is>
          <t>PRJ013</t>
        </is>
      </c>
      <c r="E492" s="7" t="inlineStr">
        <is>
          <t>API Gateway</t>
        </is>
      </c>
      <c r="F492" s="8" t="n">
        <v>46023</v>
      </c>
      <c r="G492" s="7" t="n">
        <v>75</v>
      </c>
      <c r="H492" s="7" t="n">
        <v>100</v>
      </c>
    </row>
    <row r="493" ht="15" customHeight="1" s="5">
      <c r="A493" s="7" t="inlineStr">
        <is>
          <t>Resource 21</t>
        </is>
      </c>
      <c r="B493" s="7" t="inlineStr">
        <is>
          <t>Architect</t>
        </is>
      </c>
      <c r="C493" s="7" t="inlineStr">
        <is>
          <t>Analyst</t>
        </is>
      </c>
      <c r="D493" s="7" t="inlineStr">
        <is>
          <t>PRJ013</t>
        </is>
      </c>
      <c r="E493" s="7" t="inlineStr">
        <is>
          <t>API Gateway</t>
        </is>
      </c>
      <c r="F493" s="8" t="n">
        <v>46054</v>
      </c>
      <c r="G493" s="7" t="n">
        <v>75</v>
      </c>
      <c r="H493" s="7" t="n">
        <v>100</v>
      </c>
    </row>
    <row r="494" ht="15" customHeight="1" s="5">
      <c r="A494" s="7" t="inlineStr">
        <is>
          <t>Resource 21</t>
        </is>
      </c>
      <c r="B494" s="7" t="inlineStr">
        <is>
          <t>Architect</t>
        </is>
      </c>
      <c r="C494" s="7" t="inlineStr">
        <is>
          <t>Analyst</t>
        </is>
      </c>
      <c r="D494" s="7" t="inlineStr">
        <is>
          <t>PRJ013</t>
        </is>
      </c>
      <c r="E494" s="7" t="inlineStr">
        <is>
          <t>API Gateway</t>
        </is>
      </c>
      <c r="F494" s="8" t="n">
        <v>46082</v>
      </c>
      <c r="G494" s="7" t="n">
        <v>85</v>
      </c>
      <c r="H494" s="7" t="n">
        <v>100</v>
      </c>
    </row>
    <row r="495" ht="15" customHeight="1" s="5">
      <c r="A495" s="7" t="inlineStr">
        <is>
          <t>Resource 21</t>
        </is>
      </c>
      <c r="B495" s="7" t="inlineStr">
        <is>
          <t>Architect</t>
        </is>
      </c>
      <c r="C495" s="7" t="inlineStr">
        <is>
          <t>Analyst</t>
        </is>
      </c>
      <c r="D495" s="7" t="inlineStr">
        <is>
          <t>PRJ013</t>
        </is>
      </c>
      <c r="E495" s="7" t="inlineStr">
        <is>
          <t>API Gateway</t>
        </is>
      </c>
      <c r="F495" s="8" t="n">
        <v>46113</v>
      </c>
      <c r="G495" s="7" t="n">
        <v>75</v>
      </c>
      <c r="H495" s="7" t="n">
        <v>100</v>
      </c>
    </row>
    <row r="496" ht="15" customHeight="1" s="5">
      <c r="A496" s="7" t="inlineStr">
        <is>
          <t>Resource 21</t>
        </is>
      </c>
      <c r="B496" s="7" t="inlineStr">
        <is>
          <t>Architect</t>
        </is>
      </c>
      <c r="C496" s="7" t="inlineStr">
        <is>
          <t>Analyst</t>
        </is>
      </c>
      <c r="D496" s="7" t="inlineStr">
        <is>
          <t>PRJ013</t>
        </is>
      </c>
      <c r="E496" s="7" t="inlineStr">
        <is>
          <t>API Gateway</t>
        </is>
      </c>
      <c r="F496" s="8" t="n">
        <v>46143</v>
      </c>
      <c r="G496" s="7" t="n">
        <v>85</v>
      </c>
      <c r="H496" s="7" t="n">
        <v>100</v>
      </c>
    </row>
    <row r="497" ht="15" customHeight="1" s="5">
      <c r="A497" s="7" t="inlineStr">
        <is>
          <t>Resource 21</t>
        </is>
      </c>
      <c r="B497" s="7" t="inlineStr">
        <is>
          <t>Architect</t>
        </is>
      </c>
      <c r="C497" s="7" t="inlineStr">
        <is>
          <t>Analyst</t>
        </is>
      </c>
      <c r="D497" s="7" t="inlineStr">
        <is>
          <t>PRJ013</t>
        </is>
      </c>
      <c r="E497" s="7" t="inlineStr">
        <is>
          <t>API Gateway</t>
        </is>
      </c>
      <c r="F497" s="8" t="n">
        <v>46174</v>
      </c>
      <c r="G497" s="7" t="n">
        <v>75</v>
      </c>
      <c r="H497" s="7" t="n">
        <v>100</v>
      </c>
    </row>
    <row r="498" ht="15" customHeight="1" s="5">
      <c r="A498" s="7" t="inlineStr">
        <is>
          <t>Resource 21</t>
        </is>
      </c>
      <c r="B498" s="7" t="inlineStr">
        <is>
          <t>Architect</t>
        </is>
      </c>
      <c r="C498" s="7" t="inlineStr">
        <is>
          <t>Analyst</t>
        </is>
      </c>
      <c r="D498" s="7" t="inlineStr">
        <is>
          <t>PRJ013</t>
        </is>
      </c>
      <c r="E498" s="7" t="inlineStr">
        <is>
          <t>API Gateway</t>
        </is>
      </c>
      <c r="F498" s="8" t="n">
        <v>46204</v>
      </c>
      <c r="G498" s="7" t="n">
        <v>85</v>
      </c>
      <c r="H498" s="7" t="n">
        <v>100</v>
      </c>
    </row>
    <row r="499" ht="15" customHeight="1" s="5">
      <c r="A499" s="7" t="inlineStr">
        <is>
          <t>Resource 21</t>
        </is>
      </c>
      <c r="B499" s="7" t="inlineStr">
        <is>
          <t>Architect</t>
        </is>
      </c>
      <c r="C499" s="7" t="inlineStr">
        <is>
          <t>Analyst</t>
        </is>
      </c>
      <c r="D499" s="7" t="inlineStr">
        <is>
          <t>PRJ013</t>
        </is>
      </c>
      <c r="E499" s="7" t="inlineStr">
        <is>
          <t>API Gateway</t>
        </is>
      </c>
      <c r="F499" s="8" t="n">
        <v>46235</v>
      </c>
      <c r="G499" s="7" t="n">
        <v>85</v>
      </c>
      <c r="H499" s="7" t="n">
        <v>100</v>
      </c>
    </row>
    <row r="500" ht="15" customHeight="1" s="5">
      <c r="A500" s="7" t="inlineStr">
        <is>
          <t>Resource 21</t>
        </is>
      </c>
      <c r="B500" s="7" t="inlineStr">
        <is>
          <t>Architect</t>
        </is>
      </c>
      <c r="C500" s="7" t="inlineStr">
        <is>
          <t>Analyst</t>
        </is>
      </c>
      <c r="D500" s="7" t="inlineStr">
        <is>
          <t>PRJ013</t>
        </is>
      </c>
      <c r="E500" s="7" t="inlineStr">
        <is>
          <t>API Gateway</t>
        </is>
      </c>
      <c r="F500" s="8" t="n">
        <v>46266</v>
      </c>
      <c r="G500" s="7" t="n">
        <v>50</v>
      </c>
      <c r="H500" s="7" t="n">
        <v>100</v>
      </c>
    </row>
    <row r="501" ht="15" customHeight="1" s="5">
      <c r="A501" s="7" t="inlineStr">
        <is>
          <t>Resource 21</t>
        </is>
      </c>
      <c r="B501" s="7" t="inlineStr">
        <is>
          <t>Architect</t>
        </is>
      </c>
      <c r="C501" s="7" t="inlineStr">
        <is>
          <t>Analyst</t>
        </is>
      </c>
      <c r="D501" s="7" t="inlineStr">
        <is>
          <t>PRJ013</t>
        </is>
      </c>
      <c r="E501" s="7" t="inlineStr">
        <is>
          <t>API Gateway</t>
        </is>
      </c>
      <c r="F501" s="8" t="n">
        <v>46296</v>
      </c>
      <c r="G501" s="7" t="n">
        <v>50</v>
      </c>
      <c r="H501" s="7" t="n">
        <v>100</v>
      </c>
    </row>
    <row r="502" ht="15" customHeight="1" s="5">
      <c r="A502" s="7" t="inlineStr">
        <is>
          <t>Resource 21</t>
        </is>
      </c>
      <c r="B502" s="7" t="inlineStr">
        <is>
          <t>Architect</t>
        </is>
      </c>
      <c r="C502" s="7" t="inlineStr">
        <is>
          <t>Analyst</t>
        </is>
      </c>
      <c r="D502" s="7" t="inlineStr">
        <is>
          <t>PRJ013</t>
        </is>
      </c>
      <c r="E502" s="7" t="inlineStr">
        <is>
          <t>API Gateway</t>
        </is>
      </c>
      <c r="F502" s="8" t="n">
        <v>46327</v>
      </c>
      <c r="G502" s="7" t="n">
        <v>75</v>
      </c>
      <c r="H502" s="7" t="n">
        <v>100</v>
      </c>
    </row>
    <row r="503" ht="15" customHeight="1" s="5">
      <c r="A503" s="7" t="inlineStr">
        <is>
          <t>Resource 21</t>
        </is>
      </c>
      <c r="B503" s="7" t="inlineStr">
        <is>
          <t>Architect</t>
        </is>
      </c>
      <c r="C503" s="7" t="inlineStr">
        <is>
          <t>Analyst</t>
        </is>
      </c>
      <c r="D503" s="7" t="inlineStr">
        <is>
          <t>PRJ013</t>
        </is>
      </c>
      <c r="E503" s="7" t="inlineStr">
        <is>
          <t>API Gateway</t>
        </is>
      </c>
      <c r="F503" s="8" t="n">
        <v>46357</v>
      </c>
      <c r="G503" s="7" t="n">
        <v>50</v>
      </c>
      <c r="H503" s="7" t="n">
        <v>100</v>
      </c>
    </row>
    <row r="504" ht="15" customHeight="1" s="5">
      <c r="A504" s="7" t="inlineStr">
        <is>
          <t>Resource 21</t>
        </is>
      </c>
      <c r="B504" s="7" t="inlineStr">
        <is>
          <t>Architect</t>
        </is>
      </c>
      <c r="C504" s="7" t="inlineStr">
        <is>
          <t>Analyst</t>
        </is>
      </c>
      <c r="D504" s="7" t="inlineStr">
        <is>
          <t>PRJ013</t>
        </is>
      </c>
      <c r="E504" s="7" t="inlineStr">
        <is>
          <t>API Gateway</t>
        </is>
      </c>
      <c r="F504" s="8" t="n">
        <v>46388</v>
      </c>
      <c r="G504" s="7" t="n">
        <v>75</v>
      </c>
      <c r="H504" s="7" t="n">
        <v>100</v>
      </c>
    </row>
    <row r="505" ht="15" customHeight="1" s="5">
      <c r="A505" s="7" t="inlineStr">
        <is>
          <t>Resource 21</t>
        </is>
      </c>
      <c r="B505" s="7" t="inlineStr">
        <is>
          <t>Architect</t>
        </is>
      </c>
      <c r="C505" s="7" t="inlineStr">
        <is>
          <t>Analyst</t>
        </is>
      </c>
      <c r="D505" s="7" t="inlineStr">
        <is>
          <t>PRJ013</t>
        </is>
      </c>
      <c r="E505" s="7" t="inlineStr">
        <is>
          <t>API Gateway</t>
        </is>
      </c>
      <c r="F505" s="8" t="n">
        <v>46419</v>
      </c>
      <c r="G505" s="7" t="n">
        <v>75</v>
      </c>
      <c r="H505" s="7" t="n">
        <v>100</v>
      </c>
    </row>
    <row r="506" ht="15" customHeight="1" s="5">
      <c r="A506" s="7" t="inlineStr">
        <is>
          <t>Resource 21</t>
        </is>
      </c>
      <c r="B506" s="7" t="inlineStr">
        <is>
          <t>Architect</t>
        </is>
      </c>
      <c r="C506" s="7" t="inlineStr">
        <is>
          <t>Analyst</t>
        </is>
      </c>
      <c r="D506" s="7" t="inlineStr">
        <is>
          <t>PRJ013</t>
        </is>
      </c>
      <c r="E506" s="7" t="inlineStr">
        <is>
          <t>API Gateway</t>
        </is>
      </c>
      <c r="F506" s="8" t="n">
        <v>46447</v>
      </c>
      <c r="G506" s="7" t="n">
        <v>75</v>
      </c>
      <c r="H506" s="7" t="n">
        <v>100</v>
      </c>
    </row>
    <row r="507" ht="15" customHeight="1" s="5">
      <c r="A507" s="7" t="inlineStr">
        <is>
          <t>Resource 21</t>
        </is>
      </c>
      <c r="B507" s="7" t="inlineStr">
        <is>
          <t>Architect</t>
        </is>
      </c>
      <c r="C507" s="7" t="inlineStr">
        <is>
          <t>Analyst</t>
        </is>
      </c>
      <c r="D507" s="7" t="inlineStr">
        <is>
          <t>PRJ025</t>
        </is>
      </c>
      <c r="E507" s="7" t="inlineStr">
        <is>
          <t>Customer Insights</t>
        </is>
      </c>
      <c r="F507" s="8" t="n">
        <v>45992</v>
      </c>
      <c r="G507" s="7" t="n">
        <v>100</v>
      </c>
      <c r="H507" s="7" t="n">
        <v>100</v>
      </c>
    </row>
    <row r="508" ht="15" customHeight="1" s="5">
      <c r="A508" s="7" t="inlineStr">
        <is>
          <t>Resource 21</t>
        </is>
      </c>
      <c r="B508" s="7" t="inlineStr">
        <is>
          <t>Architect</t>
        </is>
      </c>
      <c r="C508" s="7" t="inlineStr">
        <is>
          <t>Analyst</t>
        </is>
      </c>
      <c r="D508" s="7" t="inlineStr">
        <is>
          <t>PRJ025</t>
        </is>
      </c>
      <c r="E508" s="7" t="inlineStr">
        <is>
          <t>Customer Insights</t>
        </is>
      </c>
      <c r="F508" s="8" t="n">
        <v>46023</v>
      </c>
      <c r="G508" s="7" t="n">
        <v>75</v>
      </c>
      <c r="H508" s="7" t="n">
        <v>100</v>
      </c>
    </row>
    <row r="509" ht="15" customHeight="1" s="5">
      <c r="A509" s="7" t="inlineStr">
        <is>
          <t>Resource 21</t>
        </is>
      </c>
      <c r="B509" s="7" t="inlineStr">
        <is>
          <t>Architect</t>
        </is>
      </c>
      <c r="C509" s="7" t="inlineStr">
        <is>
          <t>Analyst</t>
        </is>
      </c>
      <c r="D509" s="7" t="inlineStr">
        <is>
          <t>PRJ025</t>
        </is>
      </c>
      <c r="E509" s="7" t="inlineStr">
        <is>
          <t>Customer Insights</t>
        </is>
      </c>
      <c r="F509" s="8" t="n">
        <v>46054</v>
      </c>
      <c r="G509" s="7" t="n">
        <v>75</v>
      </c>
      <c r="H509" s="7" t="n">
        <v>100</v>
      </c>
    </row>
    <row r="510" ht="15" customHeight="1" s="5">
      <c r="A510" s="7" t="inlineStr">
        <is>
          <t>Resource 21</t>
        </is>
      </c>
      <c r="B510" s="7" t="inlineStr">
        <is>
          <t>Architect</t>
        </is>
      </c>
      <c r="C510" s="7" t="inlineStr">
        <is>
          <t>Analyst</t>
        </is>
      </c>
      <c r="D510" s="7" t="inlineStr">
        <is>
          <t>PRJ025</t>
        </is>
      </c>
      <c r="E510" s="7" t="inlineStr">
        <is>
          <t>Customer Insights</t>
        </is>
      </c>
      <c r="F510" s="8" t="n">
        <v>46082</v>
      </c>
      <c r="G510" s="7" t="n">
        <v>90</v>
      </c>
      <c r="H510" s="7" t="n">
        <v>100</v>
      </c>
    </row>
    <row r="511" ht="15" customHeight="1" s="5">
      <c r="A511" s="7" t="inlineStr">
        <is>
          <t>Resource 21</t>
        </is>
      </c>
      <c r="B511" s="7" t="inlineStr">
        <is>
          <t>Architect</t>
        </is>
      </c>
      <c r="C511" s="7" t="inlineStr">
        <is>
          <t>Analyst</t>
        </is>
      </c>
      <c r="D511" s="7" t="inlineStr">
        <is>
          <t>PRJ025</t>
        </is>
      </c>
      <c r="E511" s="7" t="inlineStr">
        <is>
          <t>Customer Insights</t>
        </is>
      </c>
      <c r="F511" s="8" t="n">
        <v>46113</v>
      </c>
      <c r="G511" s="7" t="n">
        <v>100</v>
      </c>
      <c r="H511" s="7" t="n">
        <v>100</v>
      </c>
    </row>
    <row r="512" ht="15" customHeight="1" s="5">
      <c r="A512" s="7" t="inlineStr">
        <is>
          <t>Resource 21</t>
        </is>
      </c>
      <c r="B512" s="7" t="inlineStr">
        <is>
          <t>Architect</t>
        </is>
      </c>
      <c r="C512" s="7" t="inlineStr">
        <is>
          <t>Analyst</t>
        </is>
      </c>
      <c r="D512" s="7" t="inlineStr">
        <is>
          <t>PRJ025</t>
        </is>
      </c>
      <c r="E512" s="7" t="inlineStr">
        <is>
          <t>Customer Insights</t>
        </is>
      </c>
      <c r="F512" s="8" t="n">
        <v>46143</v>
      </c>
      <c r="G512" s="7" t="n">
        <v>100</v>
      </c>
      <c r="H512" s="7" t="n">
        <v>100</v>
      </c>
    </row>
    <row r="513" ht="15" customHeight="1" s="5">
      <c r="A513" s="7" t="inlineStr">
        <is>
          <t>Resource 21</t>
        </is>
      </c>
      <c r="B513" s="7" t="inlineStr">
        <is>
          <t>Architect</t>
        </is>
      </c>
      <c r="C513" s="7" t="inlineStr">
        <is>
          <t>Analyst</t>
        </is>
      </c>
      <c r="D513" s="7" t="inlineStr">
        <is>
          <t>PRJ025</t>
        </is>
      </c>
      <c r="E513" s="7" t="inlineStr">
        <is>
          <t>Customer Insights</t>
        </is>
      </c>
      <c r="F513" s="8" t="n">
        <v>46174</v>
      </c>
      <c r="G513" s="7" t="n">
        <v>100</v>
      </c>
      <c r="H513" s="7" t="n">
        <v>100</v>
      </c>
    </row>
    <row r="514" ht="15" customHeight="1" s="5">
      <c r="A514" s="7" t="inlineStr">
        <is>
          <t>Resource 21</t>
        </is>
      </c>
      <c r="B514" s="7" t="inlineStr">
        <is>
          <t>Architect</t>
        </is>
      </c>
      <c r="C514" s="7" t="inlineStr">
        <is>
          <t>Analyst</t>
        </is>
      </c>
      <c r="D514" s="7" t="inlineStr">
        <is>
          <t>PRJ025</t>
        </is>
      </c>
      <c r="E514" s="7" t="inlineStr">
        <is>
          <t>Customer Insights</t>
        </is>
      </c>
      <c r="F514" s="8" t="n">
        <v>46204</v>
      </c>
      <c r="G514" s="7" t="n">
        <v>100</v>
      </c>
      <c r="H514" s="7" t="n">
        <v>100</v>
      </c>
    </row>
    <row r="515" ht="15" customHeight="1" s="5">
      <c r="A515" s="7" t="inlineStr">
        <is>
          <t>Resource 21</t>
        </is>
      </c>
      <c r="B515" s="7" t="inlineStr">
        <is>
          <t>Architect</t>
        </is>
      </c>
      <c r="C515" s="7" t="inlineStr">
        <is>
          <t>Analyst</t>
        </is>
      </c>
      <c r="D515" s="7" t="inlineStr">
        <is>
          <t>PRJ025</t>
        </is>
      </c>
      <c r="E515" s="7" t="inlineStr">
        <is>
          <t>Customer Insights</t>
        </is>
      </c>
      <c r="F515" s="8" t="n">
        <v>46235</v>
      </c>
      <c r="G515" s="7" t="n">
        <v>90</v>
      </c>
      <c r="H515" s="7" t="n">
        <v>100</v>
      </c>
    </row>
    <row r="516" ht="15" customHeight="1" s="5">
      <c r="A516" s="7" t="inlineStr">
        <is>
          <t>Resource 21</t>
        </is>
      </c>
      <c r="B516" s="7" t="inlineStr">
        <is>
          <t>Architect</t>
        </is>
      </c>
      <c r="C516" s="7" t="inlineStr">
        <is>
          <t>Analyst</t>
        </is>
      </c>
      <c r="D516" s="7" t="inlineStr">
        <is>
          <t>PRJ025</t>
        </is>
      </c>
      <c r="E516" s="7" t="inlineStr">
        <is>
          <t>Customer Insights</t>
        </is>
      </c>
      <c r="F516" s="8" t="n">
        <v>46266</v>
      </c>
      <c r="G516" s="7" t="n">
        <v>100</v>
      </c>
      <c r="H516" s="7" t="n">
        <v>100</v>
      </c>
    </row>
    <row r="517" ht="15" customHeight="1" s="5">
      <c r="A517" s="7" t="inlineStr">
        <is>
          <t>Resource 21</t>
        </is>
      </c>
      <c r="B517" s="7" t="inlineStr">
        <is>
          <t>Architect</t>
        </is>
      </c>
      <c r="C517" s="7" t="inlineStr">
        <is>
          <t>Analyst</t>
        </is>
      </c>
      <c r="D517" s="7" t="inlineStr">
        <is>
          <t>PRJ025</t>
        </is>
      </c>
      <c r="E517" s="7" t="inlineStr">
        <is>
          <t>Customer Insights</t>
        </is>
      </c>
      <c r="F517" s="8" t="n">
        <v>46296</v>
      </c>
      <c r="G517" s="7" t="n">
        <v>100</v>
      </c>
      <c r="H517" s="7" t="n">
        <v>100</v>
      </c>
    </row>
    <row r="518" ht="15" customHeight="1" s="5">
      <c r="A518" s="7" t="inlineStr">
        <is>
          <t>Resource 21</t>
        </is>
      </c>
      <c r="B518" s="7" t="inlineStr">
        <is>
          <t>Architect</t>
        </is>
      </c>
      <c r="C518" s="7" t="inlineStr">
        <is>
          <t>Analyst</t>
        </is>
      </c>
      <c r="D518" s="7" t="inlineStr">
        <is>
          <t>PRJ025</t>
        </is>
      </c>
      <c r="E518" s="7" t="inlineStr">
        <is>
          <t>Customer Insights</t>
        </is>
      </c>
      <c r="F518" s="8" t="n">
        <v>46327</v>
      </c>
      <c r="G518" s="7" t="n">
        <v>90</v>
      </c>
      <c r="H518" s="7" t="n">
        <v>100</v>
      </c>
    </row>
    <row r="519" ht="15" customHeight="1" s="5">
      <c r="A519" s="7" t="inlineStr">
        <is>
          <t>Resource 21</t>
        </is>
      </c>
      <c r="B519" s="7" t="inlineStr">
        <is>
          <t>Architect</t>
        </is>
      </c>
      <c r="C519" s="7" t="inlineStr">
        <is>
          <t>Analyst</t>
        </is>
      </c>
      <c r="D519" s="7" t="inlineStr">
        <is>
          <t>PRJ025</t>
        </is>
      </c>
      <c r="E519" s="7" t="inlineStr">
        <is>
          <t>Customer Insights</t>
        </is>
      </c>
      <c r="F519" s="8" t="n">
        <v>46357</v>
      </c>
      <c r="G519" s="7" t="n">
        <v>100</v>
      </c>
      <c r="H519" s="7" t="n">
        <v>100</v>
      </c>
    </row>
    <row r="520" ht="15" customHeight="1" s="5">
      <c r="A520" s="7" t="inlineStr">
        <is>
          <t>Resource 21</t>
        </is>
      </c>
      <c r="B520" s="7" t="inlineStr">
        <is>
          <t>Architect</t>
        </is>
      </c>
      <c r="C520" s="7" t="inlineStr">
        <is>
          <t>Analyst</t>
        </is>
      </c>
      <c r="D520" s="7" t="inlineStr">
        <is>
          <t>PRJ025</t>
        </is>
      </c>
      <c r="E520" s="7" t="inlineStr">
        <is>
          <t>Customer Insights</t>
        </is>
      </c>
      <c r="F520" s="8" t="n">
        <v>46388</v>
      </c>
      <c r="G520" s="7" t="n">
        <v>100</v>
      </c>
      <c r="H520" s="7" t="n">
        <v>100</v>
      </c>
    </row>
    <row r="521" ht="15" customHeight="1" s="5">
      <c r="A521" s="7" t="inlineStr">
        <is>
          <t>Resource 21</t>
        </is>
      </c>
      <c r="B521" s="7" t="inlineStr">
        <is>
          <t>Architect</t>
        </is>
      </c>
      <c r="C521" s="7" t="inlineStr">
        <is>
          <t>Analyst</t>
        </is>
      </c>
      <c r="D521" s="7" t="inlineStr">
        <is>
          <t>PRJ025</t>
        </is>
      </c>
      <c r="E521" s="7" t="inlineStr">
        <is>
          <t>Customer Insights</t>
        </is>
      </c>
      <c r="F521" s="8" t="n">
        <v>46419</v>
      </c>
      <c r="G521" s="7" t="n">
        <v>100</v>
      </c>
      <c r="H521" s="7" t="n">
        <v>100</v>
      </c>
    </row>
    <row r="522" ht="15" customHeight="1" s="5">
      <c r="A522" s="7" t="inlineStr">
        <is>
          <t>Resource 22</t>
        </is>
      </c>
      <c r="B522" s="7" t="inlineStr">
        <is>
          <t>UX</t>
        </is>
      </c>
      <c r="C522" s="7" t="inlineStr">
        <is>
          <t>Project Manager</t>
        </is>
      </c>
      <c r="D522" s="7" t="inlineStr">
        <is>
          <t>PRJ032</t>
        </is>
      </c>
      <c r="E522" s="7" t="inlineStr">
        <is>
          <t>Compliance Hub</t>
        </is>
      </c>
      <c r="F522" s="8" t="n">
        <v>45992</v>
      </c>
      <c r="G522" s="7" t="n">
        <v>100</v>
      </c>
      <c r="H522" s="7" t="n">
        <v>100</v>
      </c>
    </row>
    <row r="523" ht="15" customHeight="1" s="5">
      <c r="A523" s="7" t="inlineStr">
        <is>
          <t>Resource 22</t>
        </is>
      </c>
      <c r="B523" s="7" t="inlineStr">
        <is>
          <t>UX</t>
        </is>
      </c>
      <c r="C523" s="7" t="inlineStr">
        <is>
          <t>Project Manager</t>
        </is>
      </c>
      <c r="D523" s="7" t="inlineStr">
        <is>
          <t>PRJ032</t>
        </is>
      </c>
      <c r="E523" s="7" t="inlineStr">
        <is>
          <t>Compliance Hub</t>
        </is>
      </c>
      <c r="F523" s="8" t="n">
        <v>46023</v>
      </c>
      <c r="G523" s="7" t="n">
        <v>100</v>
      </c>
      <c r="H523" s="7" t="n">
        <v>100</v>
      </c>
    </row>
    <row r="524" ht="15" customHeight="1" s="5">
      <c r="A524" s="7" t="inlineStr">
        <is>
          <t>Resource 22</t>
        </is>
      </c>
      <c r="B524" s="7" t="inlineStr">
        <is>
          <t>UX</t>
        </is>
      </c>
      <c r="C524" s="7" t="inlineStr">
        <is>
          <t>Project Manager</t>
        </is>
      </c>
      <c r="D524" s="7" t="inlineStr">
        <is>
          <t>PRJ032</t>
        </is>
      </c>
      <c r="E524" s="7" t="inlineStr">
        <is>
          <t>Compliance Hub</t>
        </is>
      </c>
      <c r="F524" s="8" t="n">
        <v>46054</v>
      </c>
      <c r="G524" s="7" t="n">
        <v>90</v>
      </c>
      <c r="H524" s="7" t="n">
        <v>100</v>
      </c>
    </row>
    <row r="525" ht="15" customHeight="1" s="5">
      <c r="A525" s="7" t="inlineStr">
        <is>
          <t>Resource 22</t>
        </is>
      </c>
      <c r="B525" s="7" t="inlineStr">
        <is>
          <t>UX</t>
        </is>
      </c>
      <c r="C525" s="7" t="inlineStr">
        <is>
          <t>Project Manager</t>
        </is>
      </c>
      <c r="D525" s="7" t="inlineStr">
        <is>
          <t>PRJ032</t>
        </is>
      </c>
      <c r="E525" s="7" t="inlineStr">
        <is>
          <t>Compliance Hub</t>
        </is>
      </c>
      <c r="F525" s="8" t="n">
        <v>46082</v>
      </c>
      <c r="G525" s="7" t="n">
        <v>100</v>
      </c>
      <c r="H525" s="7" t="n">
        <v>100</v>
      </c>
    </row>
    <row r="526" ht="15" customHeight="1" s="5">
      <c r="A526" s="7" t="inlineStr">
        <is>
          <t>Resource 22</t>
        </is>
      </c>
      <c r="B526" s="7" t="inlineStr">
        <is>
          <t>UX</t>
        </is>
      </c>
      <c r="C526" s="7" t="inlineStr">
        <is>
          <t>Project Manager</t>
        </is>
      </c>
      <c r="D526" s="7" t="inlineStr">
        <is>
          <t>PRJ032</t>
        </is>
      </c>
      <c r="E526" s="7" t="inlineStr">
        <is>
          <t>Compliance Hub</t>
        </is>
      </c>
      <c r="F526" s="8" t="n">
        <v>46113</v>
      </c>
      <c r="G526" s="7" t="n">
        <v>75</v>
      </c>
      <c r="H526" s="7" t="n">
        <v>100</v>
      </c>
    </row>
    <row r="527" ht="15" customHeight="1" s="5">
      <c r="A527" s="7" t="inlineStr">
        <is>
          <t>Resource 22</t>
        </is>
      </c>
      <c r="B527" s="7" t="inlineStr">
        <is>
          <t>UX</t>
        </is>
      </c>
      <c r="C527" s="7" t="inlineStr">
        <is>
          <t>Project Manager</t>
        </is>
      </c>
      <c r="D527" s="7" t="inlineStr">
        <is>
          <t>PRJ032</t>
        </is>
      </c>
      <c r="E527" s="7" t="inlineStr">
        <is>
          <t>Compliance Hub</t>
        </is>
      </c>
      <c r="F527" s="8" t="n">
        <v>46143</v>
      </c>
      <c r="G527" s="7" t="n">
        <v>100</v>
      </c>
      <c r="H527" s="7" t="n">
        <v>100</v>
      </c>
    </row>
    <row r="528" ht="15" customHeight="1" s="5">
      <c r="A528" s="7" t="inlineStr">
        <is>
          <t>Resource 22</t>
        </is>
      </c>
      <c r="B528" s="7" t="inlineStr">
        <is>
          <t>UX</t>
        </is>
      </c>
      <c r="C528" s="7" t="inlineStr">
        <is>
          <t>Project Manager</t>
        </is>
      </c>
      <c r="D528" s="7" t="inlineStr">
        <is>
          <t>PRJ032</t>
        </is>
      </c>
      <c r="E528" s="7" t="inlineStr">
        <is>
          <t>Compliance Hub</t>
        </is>
      </c>
      <c r="F528" s="8" t="n">
        <v>46174</v>
      </c>
      <c r="G528" s="7" t="n">
        <v>100</v>
      </c>
      <c r="H528" s="7" t="n">
        <v>100</v>
      </c>
    </row>
    <row r="529" ht="15" customHeight="1" s="5">
      <c r="A529" s="7" t="inlineStr">
        <is>
          <t>Resource 22</t>
        </is>
      </c>
      <c r="B529" s="7" t="inlineStr">
        <is>
          <t>UX</t>
        </is>
      </c>
      <c r="C529" s="7" t="inlineStr">
        <is>
          <t>Project Manager</t>
        </is>
      </c>
      <c r="D529" s="7" t="inlineStr">
        <is>
          <t>PRJ032</t>
        </is>
      </c>
      <c r="E529" s="7" t="inlineStr">
        <is>
          <t>Compliance Hub</t>
        </is>
      </c>
      <c r="F529" s="8" t="n">
        <v>46204</v>
      </c>
      <c r="G529" s="7" t="n">
        <v>100</v>
      </c>
      <c r="H529" s="7" t="n">
        <v>100</v>
      </c>
    </row>
    <row r="530" ht="15" customHeight="1" s="5">
      <c r="A530" s="7" t="inlineStr">
        <is>
          <t>Resource 22</t>
        </is>
      </c>
      <c r="B530" s="7" t="inlineStr">
        <is>
          <t>UX</t>
        </is>
      </c>
      <c r="C530" s="7" t="inlineStr">
        <is>
          <t>Project Manager</t>
        </is>
      </c>
      <c r="D530" s="7" t="inlineStr">
        <is>
          <t>PRJ032</t>
        </is>
      </c>
      <c r="E530" s="7" t="inlineStr">
        <is>
          <t>Compliance Hub</t>
        </is>
      </c>
      <c r="F530" s="8" t="n">
        <v>46235</v>
      </c>
      <c r="G530" s="7" t="n">
        <v>100</v>
      </c>
      <c r="H530" s="7" t="n">
        <v>100</v>
      </c>
    </row>
    <row r="531" ht="15" customHeight="1" s="5">
      <c r="A531" s="7" t="inlineStr">
        <is>
          <t>Resource 22</t>
        </is>
      </c>
      <c r="B531" s="7" t="inlineStr">
        <is>
          <t>UX</t>
        </is>
      </c>
      <c r="C531" s="7" t="inlineStr">
        <is>
          <t>Project Manager</t>
        </is>
      </c>
      <c r="D531" s="7" t="inlineStr">
        <is>
          <t>PRJ032</t>
        </is>
      </c>
      <c r="E531" s="7" t="inlineStr">
        <is>
          <t>Compliance Hub</t>
        </is>
      </c>
      <c r="F531" s="8" t="n">
        <v>46266</v>
      </c>
      <c r="G531" s="7" t="n">
        <v>100</v>
      </c>
      <c r="H531" s="7" t="n">
        <v>100</v>
      </c>
    </row>
    <row r="532" ht="15" customHeight="1" s="5">
      <c r="A532" s="7" t="inlineStr">
        <is>
          <t>Resource 22</t>
        </is>
      </c>
      <c r="B532" s="7" t="inlineStr">
        <is>
          <t>UX</t>
        </is>
      </c>
      <c r="C532" s="7" t="inlineStr">
        <is>
          <t>Project Manager</t>
        </is>
      </c>
      <c r="D532" s="7" t="inlineStr">
        <is>
          <t>PRJ032</t>
        </is>
      </c>
      <c r="E532" s="7" t="inlineStr">
        <is>
          <t>Compliance Hub</t>
        </is>
      </c>
      <c r="F532" s="8" t="n">
        <v>46296</v>
      </c>
      <c r="G532" s="7" t="n">
        <v>100</v>
      </c>
      <c r="H532" s="7" t="n">
        <v>100</v>
      </c>
    </row>
    <row r="533" ht="15" customHeight="1" s="5">
      <c r="A533" s="7" t="inlineStr">
        <is>
          <t>Resource 22</t>
        </is>
      </c>
      <c r="B533" s="7" t="inlineStr">
        <is>
          <t>UX</t>
        </is>
      </c>
      <c r="C533" s="7" t="inlineStr">
        <is>
          <t>Project Manager</t>
        </is>
      </c>
      <c r="D533" s="7" t="inlineStr">
        <is>
          <t>PRJ032</t>
        </is>
      </c>
      <c r="E533" s="7" t="inlineStr">
        <is>
          <t>Compliance Hub</t>
        </is>
      </c>
      <c r="F533" s="8" t="n">
        <v>46327</v>
      </c>
      <c r="G533" s="7" t="n">
        <v>100</v>
      </c>
      <c r="H533" s="7" t="n">
        <v>100</v>
      </c>
    </row>
    <row r="534" ht="15" customHeight="1" s="5">
      <c r="A534" s="7" t="inlineStr">
        <is>
          <t>Resource 22</t>
        </is>
      </c>
      <c r="B534" s="7" t="inlineStr">
        <is>
          <t>UX</t>
        </is>
      </c>
      <c r="C534" s="7" t="inlineStr">
        <is>
          <t>Project Manager</t>
        </is>
      </c>
      <c r="D534" s="7" t="inlineStr">
        <is>
          <t>PRJ032</t>
        </is>
      </c>
      <c r="E534" s="7" t="inlineStr">
        <is>
          <t>Compliance Hub</t>
        </is>
      </c>
      <c r="F534" s="8" t="n">
        <v>46357</v>
      </c>
      <c r="G534" s="7" t="n">
        <v>100</v>
      </c>
      <c r="H534" s="7" t="n">
        <v>100</v>
      </c>
    </row>
    <row r="535" ht="15" customHeight="1" s="5">
      <c r="A535" s="7" t="inlineStr">
        <is>
          <t>Resource 22</t>
        </is>
      </c>
      <c r="B535" s="7" t="inlineStr">
        <is>
          <t>UX</t>
        </is>
      </c>
      <c r="C535" s="7" t="inlineStr">
        <is>
          <t>Project Manager</t>
        </is>
      </c>
      <c r="D535" s="7" t="inlineStr">
        <is>
          <t>PRJ032</t>
        </is>
      </c>
      <c r="E535" s="7" t="inlineStr">
        <is>
          <t>Compliance Hub</t>
        </is>
      </c>
      <c r="F535" s="8" t="n">
        <v>46388</v>
      </c>
      <c r="G535" s="7" t="n">
        <v>100</v>
      </c>
      <c r="H535" s="7" t="n">
        <v>100</v>
      </c>
    </row>
    <row r="536" ht="15" customHeight="1" s="5">
      <c r="A536" s="7" t="inlineStr">
        <is>
          <t>Resource 22</t>
        </is>
      </c>
      <c r="B536" s="7" t="inlineStr">
        <is>
          <t>UX</t>
        </is>
      </c>
      <c r="C536" s="7" t="inlineStr">
        <is>
          <t>Project Manager</t>
        </is>
      </c>
      <c r="D536" s="7" t="inlineStr">
        <is>
          <t>PRJ032</t>
        </is>
      </c>
      <c r="E536" s="7" t="inlineStr">
        <is>
          <t>Compliance Hub</t>
        </is>
      </c>
      <c r="F536" s="8" t="n">
        <v>46419</v>
      </c>
      <c r="G536" s="7" t="n">
        <v>100</v>
      </c>
      <c r="H536" s="7" t="n">
        <v>100</v>
      </c>
    </row>
    <row r="537" ht="15" customHeight="1" s="5">
      <c r="A537" s="7" t="inlineStr">
        <is>
          <t>Resource 22</t>
        </is>
      </c>
      <c r="B537" s="7" t="inlineStr">
        <is>
          <t>UX</t>
        </is>
      </c>
      <c r="C537" s="7" t="inlineStr">
        <is>
          <t>Project Manager</t>
        </is>
      </c>
      <c r="D537" s="7" t="inlineStr">
        <is>
          <t>PRJ032</t>
        </is>
      </c>
      <c r="E537" s="7" t="inlineStr">
        <is>
          <t>Compliance Hub</t>
        </is>
      </c>
      <c r="F537" s="8" t="n">
        <v>46447</v>
      </c>
      <c r="G537" s="7" t="n">
        <v>75</v>
      </c>
      <c r="H537" s="7" t="n">
        <v>100</v>
      </c>
    </row>
    <row r="538" ht="15" customHeight="1" s="5">
      <c r="A538" s="7" t="inlineStr">
        <is>
          <t>Resource 22</t>
        </is>
      </c>
      <c r="B538" s="7" t="inlineStr">
        <is>
          <t>UX</t>
        </is>
      </c>
      <c r="C538" s="7" t="inlineStr">
        <is>
          <t>Project Manager</t>
        </is>
      </c>
      <c r="D538" s="7" t="inlineStr">
        <is>
          <t>PRJ032</t>
        </is>
      </c>
      <c r="E538" s="7" t="inlineStr">
        <is>
          <t>Compliance Hub</t>
        </is>
      </c>
      <c r="F538" s="8" t="n">
        <v>46478</v>
      </c>
      <c r="G538" s="7" t="n">
        <v>75</v>
      </c>
      <c r="H538" s="7" t="n">
        <v>100</v>
      </c>
    </row>
    <row r="539" ht="15" customHeight="1" s="5">
      <c r="A539" s="7" t="inlineStr">
        <is>
          <t>Resource 22</t>
        </is>
      </c>
      <c r="B539" s="7" t="inlineStr">
        <is>
          <t>UX</t>
        </is>
      </c>
      <c r="C539" s="7" t="inlineStr">
        <is>
          <t>Project Manager</t>
        </is>
      </c>
      <c r="D539" s="7" t="inlineStr">
        <is>
          <t>PRJ032</t>
        </is>
      </c>
      <c r="E539" s="7" t="inlineStr">
        <is>
          <t>Compliance Hub</t>
        </is>
      </c>
      <c r="F539" s="8" t="n">
        <v>46508</v>
      </c>
      <c r="G539" s="7" t="n">
        <v>100</v>
      </c>
      <c r="H539" s="7" t="n">
        <v>100</v>
      </c>
    </row>
    <row r="540" ht="15" customHeight="1" s="5">
      <c r="A540" s="7" t="inlineStr">
        <is>
          <t>Resource 22</t>
        </is>
      </c>
      <c r="B540" s="7" t="inlineStr">
        <is>
          <t>UX</t>
        </is>
      </c>
      <c r="C540" s="7" t="inlineStr">
        <is>
          <t>Project Manager</t>
        </is>
      </c>
      <c r="D540" s="7" t="inlineStr">
        <is>
          <t>PRJ003</t>
        </is>
      </c>
      <c r="E540" s="7" t="inlineStr">
        <is>
          <t>Data Platform</t>
        </is>
      </c>
      <c r="F540" s="8" t="n">
        <v>45748</v>
      </c>
      <c r="G540" s="7" t="n">
        <v>50</v>
      </c>
      <c r="H540" s="7" t="n">
        <v>100</v>
      </c>
    </row>
    <row r="541" ht="15" customHeight="1" s="5">
      <c r="A541" s="7" t="inlineStr">
        <is>
          <t>Resource 22</t>
        </is>
      </c>
      <c r="B541" s="7" t="inlineStr">
        <is>
          <t>UX</t>
        </is>
      </c>
      <c r="C541" s="7" t="inlineStr">
        <is>
          <t>Project Manager</t>
        </is>
      </c>
      <c r="D541" s="7" t="inlineStr">
        <is>
          <t>PRJ003</t>
        </is>
      </c>
      <c r="E541" s="7" t="inlineStr">
        <is>
          <t>Data Platform</t>
        </is>
      </c>
      <c r="F541" s="8" t="n">
        <v>45778</v>
      </c>
      <c r="G541" s="7" t="n">
        <v>50</v>
      </c>
      <c r="H541" s="7" t="n">
        <v>100</v>
      </c>
    </row>
    <row r="542" ht="15" customHeight="1" s="5">
      <c r="A542" s="7" t="inlineStr">
        <is>
          <t>Resource 22</t>
        </is>
      </c>
      <c r="B542" s="7" t="inlineStr">
        <is>
          <t>UX</t>
        </is>
      </c>
      <c r="C542" s="7" t="inlineStr">
        <is>
          <t>Project Manager</t>
        </is>
      </c>
      <c r="D542" s="7" t="inlineStr">
        <is>
          <t>PRJ003</t>
        </is>
      </c>
      <c r="E542" s="7" t="inlineStr">
        <is>
          <t>Data Platform</t>
        </is>
      </c>
      <c r="F542" s="8" t="n">
        <v>45809</v>
      </c>
      <c r="G542" s="7" t="n">
        <v>65</v>
      </c>
      <c r="H542" s="7" t="n">
        <v>100</v>
      </c>
    </row>
    <row r="543" ht="15" customHeight="1" s="5">
      <c r="A543" s="7" t="inlineStr">
        <is>
          <t>Resource 22</t>
        </is>
      </c>
      <c r="B543" s="7" t="inlineStr">
        <is>
          <t>UX</t>
        </is>
      </c>
      <c r="C543" s="7" t="inlineStr">
        <is>
          <t>Project Manager</t>
        </is>
      </c>
      <c r="D543" s="7" t="inlineStr">
        <is>
          <t>PRJ003</t>
        </is>
      </c>
      <c r="E543" s="7" t="inlineStr">
        <is>
          <t>Data Platform</t>
        </is>
      </c>
      <c r="F543" s="8" t="n">
        <v>45839</v>
      </c>
      <c r="G543" s="7" t="n">
        <v>60</v>
      </c>
      <c r="H543" s="7" t="n">
        <v>100</v>
      </c>
    </row>
    <row r="544" ht="15" customHeight="1" s="5">
      <c r="A544" s="7" t="inlineStr">
        <is>
          <t>Resource 22</t>
        </is>
      </c>
      <c r="B544" s="7" t="inlineStr">
        <is>
          <t>UX</t>
        </is>
      </c>
      <c r="C544" s="7" t="inlineStr">
        <is>
          <t>Project Manager</t>
        </is>
      </c>
      <c r="D544" s="7" t="inlineStr">
        <is>
          <t>PRJ003</t>
        </is>
      </c>
      <c r="E544" s="7" t="inlineStr">
        <is>
          <t>Data Platform</t>
        </is>
      </c>
      <c r="F544" s="8" t="n">
        <v>45870</v>
      </c>
      <c r="G544" s="7" t="n">
        <v>25</v>
      </c>
      <c r="H544" s="7" t="n">
        <v>100</v>
      </c>
    </row>
    <row r="545" ht="15" customHeight="1" s="5">
      <c r="A545" s="7" t="inlineStr">
        <is>
          <t>Resource 22</t>
        </is>
      </c>
      <c r="B545" s="7" t="inlineStr">
        <is>
          <t>UX</t>
        </is>
      </c>
      <c r="C545" s="7" t="inlineStr">
        <is>
          <t>Project Manager</t>
        </is>
      </c>
      <c r="D545" s="7" t="inlineStr">
        <is>
          <t>PRJ003</t>
        </is>
      </c>
      <c r="E545" s="7" t="inlineStr">
        <is>
          <t>Data Platform</t>
        </is>
      </c>
      <c r="F545" s="8" t="n">
        <v>45901</v>
      </c>
      <c r="G545" s="7" t="n">
        <v>65</v>
      </c>
      <c r="H545" s="7" t="n">
        <v>100</v>
      </c>
    </row>
    <row r="546" ht="15" customHeight="1" s="5">
      <c r="A546" s="7" t="inlineStr">
        <is>
          <t>Resource 22</t>
        </is>
      </c>
      <c r="B546" s="7" t="inlineStr">
        <is>
          <t>UX</t>
        </is>
      </c>
      <c r="C546" s="7" t="inlineStr">
        <is>
          <t>Project Manager</t>
        </is>
      </c>
      <c r="D546" s="7" t="inlineStr">
        <is>
          <t>PRJ003</t>
        </is>
      </c>
      <c r="E546" s="7" t="inlineStr">
        <is>
          <t>Data Platform</t>
        </is>
      </c>
      <c r="F546" s="8" t="n">
        <v>45931</v>
      </c>
      <c r="G546" s="7" t="n">
        <v>50</v>
      </c>
      <c r="H546" s="7" t="n">
        <v>100</v>
      </c>
    </row>
    <row r="547" ht="15" customHeight="1" s="5">
      <c r="A547" s="7" t="inlineStr">
        <is>
          <t>Resource 22</t>
        </is>
      </c>
      <c r="B547" s="7" t="inlineStr">
        <is>
          <t>UX</t>
        </is>
      </c>
      <c r="C547" s="7" t="inlineStr">
        <is>
          <t>Project Manager</t>
        </is>
      </c>
      <c r="D547" s="7" t="inlineStr">
        <is>
          <t>PRJ003</t>
        </is>
      </c>
      <c r="E547" s="7" t="inlineStr">
        <is>
          <t>Data Platform</t>
        </is>
      </c>
      <c r="F547" s="8" t="n">
        <v>45962</v>
      </c>
      <c r="G547" s="7" t="n">
        <v>50</v>
      </c>
      <c r="H547" s="7" t="n">
        <v>100</v>
      </c>
    </row>
    <row r="548" ht="15" customHeight="1" s="5">
      <c r="A548" s="7" t="inlineStr">
        <is>
          <t>Resource 22</t>
        </is>
      </c>
      <c r="B548" s="7" t="inlineStr">
        <is>
          <t>UX</t>
        </is>
      </c>
      <c r="C548" s="7" t="inlineStr">
        <is>
          <t>Project Manager</t>
        </is>
      </c>
      <c r="D548" s="7" t="inlineStr">
        <is>
          <t>PRJ003</t>
        </is>
      </c>
      <c r="E548" s="7" t="inlineStr">
        <is>
          <t>Data Platform</t>
        </is>
      </c>
      <c r="F548" s="8" t="n">
        <v>45992</v>
      </c>
      <c r="G548" s="7" t="n">
        <v>25</v>
      </c>
      <c r="H548" s="7" t="n">
        <v>100</v>
      </c>
    </row>
    <row r="549" ht="15" customHeight="1" s="5">
      <c r="A549" s="7" t="inlineStr">
        <is>
          <t>Resource 22</t>
        </is>
      </c>
      <c r="B549" s="7" t="inlineStr">
        <is>
          <t>UX</t>
        </is>
      </c>
      <c r="C549" s="7" t="inlineStr">
        <is>
          <t>Project Manager</t>
        </is>
      </c>
      <c r="D549" s="7" t="inlineStr">
        <is>
          <t>PRJ003</t>
        </is>
      </c>
      <c r="E549" s="7" t="inlineStr">
        <is>
          <t>Data Platform</t>
        </is>
      </c>
      <c r="F549" s="8" t="n">
        <v>46023</v>
      </c>
      <c r="G549" s="7" t="n">
        <v>50</v>
      </c>
      <c r="H549" s="7" t="n">
        <v>100</v>
      </c>
    </row>
    <row r="550" ht="15" customHeight="1" s="5">
      <c r="A550" s="7" t="inlineStr">
        <is>
          <t>Resource 22</t>
        </is>
      </c>
      <c r="B550" s="7" t="inlineStr">
        <is>
          <t>UX</t>
        </is>
      </c>
      <c r="C550" s="7" t="inlineStr">
        <is>
          <t>Project Manager</t>
        </is>
      </c>
      <c r="D550" s="7" t="inlineStr">
        <is>
          <t>PRJ003</t>
        </is>
      </c>
      <c r="E550" s="7" t="inlineStr">
        <is>
          <t>Data Platform</t>
        </is>
      </c>
      <c r="F550" s="8" t="n">
        <v>46054</v>
      </c>
      <c r="G550" s="7" t="n">
        <v>50</v>
      </c>
      <c r="H550" s="7" t="n">
        <v>100</v>
      </c>
    </row>
    <row r="551" ht="15" customHeight="1" s="5">
      <c r="A551" s="7" t="inlineStr">
        <is>
          <t>Resource 22</t>
        </is>
      </c>
      <c r="B551" s="7" t="inlineStr">
        <is>
          <t>UX</t>
        </is>
      </c>
      <c r="C551" s="7" t="inlineStr">
        <is>
          <t>Project Manager</t>
        </is>
      </c>
      <c r="D551" s="7" t="inlineStr">
        <is>
          <t>PRJ003</t>
        </is>
      </c>
      <c r="E551" s="7" t="inlineStr">
        <is>
          <t>Data Platform</t>
        </is>
      </c>
      <c r="F551" s="8" t="n">
        <v>46082</v>
      </c>
      <c r="G551" s="7" t="n">
        <v>50</v>
      </c>
      <c r="H551" s="7" t="n">
        <v>100</v>
      </c>
    </row>
    <row r="552" ht="15" customHeight="1" s="5">
      <c r="A552" s="7" t="inlineStr">
        <is>
          <t>Resource 22</t>
        </is>
      </c>
      <c r="B552" s="7" t="inlineStr">
        <is>
          <t>UX</t>
        </is>
      </c>
      <c r="C552" s="7" t="inlineStr">
        <is>
          <t>Project Manager</t>
        </is>
      </c>
      <c r="D552" s="7" t="inlineStr">
        <is>
          <t>PRJ003</t>
        </is>
      </c>
      <c r="E552" s="7" t="inlineStr">
        <is>
          <t>Data Platform</t>
        </is>
      </c>
      <c r="F552" s="8" t="n">
        <v>46113</v>
      </c>
      <c r="G552" s="7" t="n">
        <v>50</v>
      </c>
      <c r="H552" s="7" t="n">
        <v>100</v>
      </c>
    </row>
    <row r="553" ht="15" customHeight="1" s="5">
      <c r="A553" s="7" t="inlineStr">
        <is>
          <t>Resource 22</t>
        </is>
      </c>
      <c r="B553" s="7" t="inlineStr">
        <is>
          <t>UX</t>
        </is>
      </c>
      <c r="C553" s="7" t="inlineStr">
        <is>
          <t>Project Manager</t>
        </is>
      </c>
      <c r="D553" s="7" t="inlineStr">
        <is>
          <t>PRJ003</t>
        </is>
      </c>
      <c r="E553" s="7" t="inlineStr">
        <is>
          <t>Data Platform</t>
        </is>
      </c>
      <c r="F553" s="8" t="n">
        <v>46143</v>
      </c>
      <c r="G553" s="7" t="n">
        <v>50</v>
      </c>
      <c r="H553" s="7" t="n">
        <v>100</v>
      </c>
    </row>
    <row r="554" ht="15" customHeight="1" s="5">
      <c r="A554" s="7" t="inlineStr">
        <is>
          <t>Resource 22</t>
        </is>
      </c>
      <c r="B554" s="7" t="inlineStr">
        <is>
          <t>UX</t>
        </is>
      </c>
      <c r="C554" s="7" t="inlineStr">
        <is>
          <t>Project Manager</t>
        </is>
      </c>
      <c r="D554" s="7" t="inlineStr">
        <is>
          <t>PRJ003</t>
        </is>
      </c>
      <c r="E554" s="7" t="inlineStr">
        <is>
          <t>Data Platform</t>
        </is>
      </c>
      <c r="F554" s="8" t="n">
        <v>46174</v>
      </c>
      <c r="G554" s="7" t="n">
        <v>25</v>
      </c>
      <c r="H554" s="7" t="n">
        <v>100</v>
      </c>
    </row>
    <row r="555" ht="15" customHeight="1" s="5">
      <c r="A555" s="7" t="inlineStr">
        <is>
          <t>Resource 22</t>
        </is>
      </c>
      <c r="B555" s="7" t="inlineStr">
        <is>
          <t>UX</t>
        </is>
      </c>
      <c r="C555" s="7" t="inlineStr">
        <is>
          <t>Project Manager</t>
        </is>
      </c>
      <c r="D555" s="7" t="inlineStr">
        <is>
          <t>PRJ003</t>
        </is>
      </c>
      <c r="E555" s="7" t="inlineStr">
        <is>
          <t>Data Platform</t>
        </is>
      </c>
      <c r="F555" s="8" t="n">
        <v>46204</v>
      </c>
      <c r="G555" s="7" t="n">
        <v>65</v>
      </c>
      <c r="H555" s="7" t="n">
        <v>100</v>
      </c>
    </row>
    <row r="556" ht="15" customHeight="1" s="5">
      <c r="A556" s="7" t="inlineStr">
        <is>
          <t>Resource 22</t>
        </is>
      </c>
      <c r="B556" s="7" t="inlineStr">
        <is>
          <t>UX</t>
        </is>
      </c>
      <c r="C556" s="7" t="inlineStr">
        <is>
          <t>Project Manager</t>
        </is>
      </c>
      <c r="D556" s="7" t="inlineStr">
        <is>
          <t>PRJ016</t>
        </is>
      </c>
      <c r="E556" s="7" t="inlineStr">
        <is>
          <t>Infrastructure Upg</t>
        </is>
      </c>
      <c r="F556" s="8" t="n">
        <v>45992</v>
      </c>
      <c r="G556" s="7" t="n">
        <v>40</v>
      </c>
      <c r="H556" s="7" t="n">
        <v>100</v>
      </c>
    </row>
    <row r="557" ht="15" customHeight="1" s="5">
      <c r="A557" s="7" t="inlineStr">
        <is>
          <t>Resource 22</t>
        </is>
      </c>
      <c r="B557" s="7" t="inlineStr">
        <is>
          <t>UX</t>
        </is>
      </c>
      <c r="C557" s="7" t="inlineStr">
        <is>
          <t>Project Manager</t>
        </is>
      </c>
      <c r="D557" s="7" t="inlineStr">
        <is>
          <t>PRJ016</t>
        </is>
      </c>
      <c r="E557" s="7" t="inlineStr">
        <is>
          <t>Infrastructure Upg</t>
        </is>
      </c>
      <c r="F557" s="8" t="n">
        <v>46023</v>
      </c>
      <c r="G557" s="7" t="n">
        <v>65</v>
      </c>
      <c r="H557" s="7" t="n">
        <v>100</v>
      </c>
    </row>
    <row r="558" ht="15" customHeight="1" s="5">
      <c r="A558" s="7" t="inlineStr">
        <is>
          <t>Resource 22</t>
        </is>
      </c>
      <c r="B558" s="7" t="inlineStr">
        <is>
          <t>UX</t>
        </is>
      </c>
      <c r="C558" s="7" t="inlineStr">
        <is>
          <t>Project Manager</t>
        </is>
      </c>
      <c r="D558" s="7" t="inlineStr">
        <is>
          <t>PRJ016</t>
        </is>
      </c>
      <c r="E558" s="7" t="inlineStr">
        <is>
          <t>Infrastructure Upg</t>
        </is>
      </c>
      <c r="F558" s="8" t="n">
        <v>46054</v>
      </c>
      <c r="G558" s="7" t="n">
        <v>50</v>
      </c>
      <c r="H558" s="7" t="n">
        <v>100</v>
      </c>
    </row>
    <row r="559" ht="15" customHeight="1" s="5">
      <c r="A559" s="7" t="inlineStr">
        <is>
          <t>Resource 22</t>
        </is>
      </c>
      <c r="B559" s="7" t="inlineStr">
        <is>
          <t>UX</t>
        </is>
      </c>
      <c r="C559" s="7" t="inlineStr">
        <is>
          <t>Project Manager</t>
        </is>
      </c>
      <c r="D559" s="7" t="inlineStr">
        <is>
          <t>PRJ016</t>
        </is>
      </c>
      <c r="E559" s="7" t="inlineStr">
        <is>
          <t>Infrastructure Upg</t>
        </is>
      </c>
      <c r="F559" s="8" t="n">
        <v>46082</v>
      </c>
      <c r="G559" s="7" t="n">
        <v>60</v>
      </c>
      <c r="H559" s="7" t="n">
        <v>100</v>
      </c>
    </row>
    <row r="560" ht="15" customHeight="1" s="5">
      <c r="A560" s="7" t="inlineStr">
        <is>
          <t>Resource 22</t>
        </is>
      </c>
      <c r="B560" s="7" t="inlineStr">
        <is>
          <t>UX</t>
        </is>
      </c>
      <c r="C560" s="7" t="inlineStr">
        <is>
          <t>Project Manager</t>
        </is>
      </c>
      <c r="D560" s="7" t="inlineStr">
        <is>
          <t>PRJ016</t>
        </is>
      </c>
      <c r="E560" s="7" t="inlineStr">
        <is>
          <t>Infrastructure Upg</t>
        </is>
      </c>
      <c r="F560" s="8" t="n">
        <v>46113</v>
      </c>
      <c r="G560" s="7" t="n">
        <v>25</v>
      </c>
      <c r="H560" s="7" t="n">
        <v>100</v>
      </c>
    </row>
    <row r="561" ht="15" customHeight="1" s="5">
      <c r="A561" s="7" t="inlineStr">
        <is>
          <t>Resource 22</t>
        </is>
      </c>
      <c r="B561" s="7" t="inlineStr">
        <is>
          <t>UX</t>
        </is>
      </c>
      <c r="C561" s="7" t="inlineStr">
        <is>
          <t>Project Manager</t>
        </is>
      </c>
      <c r="D561" s="7" t="inlineStr">
        <is>
          <t>PRJ016</t>
        </is>
      </c>
      <c r="E561" s="7" t="inlineStr">
        <is>
          <t>Infrastructure Upg</t>
        </is>
      </c>
      <c r="F561" s="8" t="n">
        <v>46143</v>
      </c>
      <c r="G561" s="7" t="n">
        <v>65</v>
      </c>
      <c r="H561" s="7" t="n">
        <v>100</v>
      </c>
    </row>
    <row r="562" ht="15" customHeight="1" s="5">
      <c r="A562" s="7" t="inlineStr">
        <is>
          <t>Resource 22</t>
        </is>
      </c>
      <c r="B562" s="7" t="inlineStr">
        <is>
          <t>UX</t>
        </is>
      </c>
      <c r="C562" s="7" t="inlineStr">
        <is>
          <t>Project Manager</t>
        </is>
      </c>
      <c r="D562" s="7" t="inlineStr">
        <is>
          <t>PRJ016</t>
        </is>
      </c>
      <c r="E562" s="7" t="inlineStr">
        <is>
          <t>Infrastructure Upg</t>
        </is>
      </c>
      <c r="F562" s="8" t="n">
        <v>46174</v>
      </c>
      <c r="G562" s="7" t="n">
        <v>25</v>
      </c>
      <c r="H562" s="7" t="n">
        <v>100</v>
      </c>
    </row>
    <row r="563" ht="15" customHeight="1" s="5">
      <c r="A563" s="7" t="inlineStr">
        <is>
          <t>Resource 22</t>
        </is>
      </c>
      <c r="B563" s="7" t="inlineStr">
        <is>
          <t>UX</t>
        </is>
      </c>
      <c r="C563" s="7" t="inlineStr">
        <is>
          <t>Project Manager</t>
        </is>
      </c>
      <c r="D563" s="7" t="inlineStr">
        <is>
          <t>PRJ016</t>
        </is>
      </c>
      <c r="E563" s="7" t="inlineStr">
        <is>
          <t>Infrastructure Upg</t>
        </is>
      </c>
      <c r="F563" s="8" t="n">
        <v>46204</v>
      </c>
      <c r="G563" s="7" t="n">
        <v>50</v>
      </c>
      <c r="H563" s="7" t="n">
        <v>100</v>
      </c>
    </row>
    <row r="564" ht="15" customHeight="1" s="5">
      <c r="A564" s="7" t="inlineStr">
        <is>
          <t>Resource 22</t>
        </is>
      </c>
      <c r="B564" s="7" t="inlineStr">
        <is>
          <t>UX</t>
        </is>
      </c>
      <c r="C564" s="7" t="inlineStr">
        <is>
          <t>Project Manager</t>
        </is>
      </c>
      <c r="D564" s="7" t="inlineStr">
        <is>
          <t>PRJ016</t>
        </is>
      </c>
      <c r="E564" s="7" t="inlineStr">
        <is>
          <t>Infrastructure Upg</t>
        </is>
      </c>
      <c r="F564" s="8" t="n">
        <v>46235</v>
      </c>
      <c r="G564" s="7" t="n">
        <v>25</v>
      </c>
      <c r="H564" s="7" t="n">
        <v>100</v>
      </c>
    </row>
    <row r="565" ht="15" customHeight="1" s="5">
      <c r="A565" s="7" t="inlineStr">
        <is>
          <t>Resource 22</t>
        </is>
      </c>
      <c r="B565" s="7" t="inlineStr">
        <is>
          <t>UX</t>
        </is>
      </c>
      <c r="C565" s="7" t="inlineStr">
        <is>
          <t>Project Manager</t>
        </is>
      </c>
      <c r="D565" s="7" t="inlineStr">
        <is>
          <t>PRJ016</t>
        </is>
      </c>
      <c r="E565" s="7" t="inlineStr">
        <is>
          <t>Infrastructure Upg</t>
        </is>
      </c>
      <c r="F565" s="8" t="n">
        <v>46266</v>
      </c>
      <c r="G565" s="7" t="n">
        <v>50</v>
      </c>
      <c r="H565" s="7" t="n">
        <v>100</v>
      </c>
    </row>
    <row r="566" ht="15" customHeight="1" s="5">
      <c r="A566" s="7" t="inlineStr">
        <is>
          <t>Resource 22</t>
        </is>
      </c>
      <c r="B566" s="7" t="inlineStr">
        <is>
          <t>UX</t>
        </is>
      </c>
      <c r="C566" s="7" t="inlineStr">
        <is>
          <t>Project Manager</t>
        </is>
      </c>
      <c r="D566" s="7" t="inlineStr">
        <is>
          <t>PRJ016</t>
        </is>
      </c>
      <c r="E566" s="7" t="inlineStr">
        <is>
          <t>Infrastructure Upg</t>
        </is>
      </c>
      <c r="F566" s="8" t="n">
        <v>46296</v>
      </c>
      <c r="G566" s="7" t="n">
        <v>40</v>
      </c>
      <c r="H566" s="7" t="n">
        <v>100</v>
      </c>
    </row>
    <row r="567" ht="15" customHeight="1" s="5">
      <c r="A567" s="7" t="inlineStr">
        <is>
          <t>Resource 22</t>
        </is>
      </c>
      <c r="B567" s="7" t="inlineStr">
        <is>
          <t>UX</t>
        </is>
      </c>
      <c r="C567" s="7" t="inlineStr">
        <is>
          <t>Project Manager</t>
        </is>
      </c>
      <c r="D567" s="7" t="inlineStr">
        <is>
          <t>PRJ016</t>
        </is>
      </c>
      <c r="E567" s="7" t="inlineStr">
        <is>
          <t>Infrastructure Upg</t>
        </is>
      </c>
      <c r="F567" s="8" t="n">
        <v>46327</v>
      </c>
      <c r="G567" s="7" t="n">
        <v>25</v>
      </c>
      <c r="H567" s="7" t="n">
        <v>100</v>
      </c>
    </row>
    <row r="568" ht="15" customHeight="1" s="5">
      <c r="A568" s="7" t="inlineStr">
        <is>
          <t>Resource 23</t>
        </is>
      </c>
      <c r="B568" s="7" t="inlineStr">
        <is>
          <t>Architect</t>
        </is>
      </c>
      <c r="C568" s="7" t="inlineStr">
        <is>
          <t>Tester</t>
        </is>
      </c>
      <c r="D568" s="7" t="inlineStr">
        <is>
          <t>PRJ030</t>
        </is>
      </c>
      <c r="E568" s="7" t="inlineStr">
        <is>
          <t>Service Desk 2</t>
        </is>
      </c>
      <c r="F568" s="8" t="n">
        <v>45778</v>
      </c>
      <c r="G568" s="7" t="n">
        <v>100</v>
      </c>
      <c r="H568" s="7" t="n">
        <v>100</v>
      </c>
    </row>
    <row r="569" ht="15" customHeight="1" s="5">
      <c r="A569" s="7" t="inlineStr">
        <is>
          <t>Resource 23</t>
        </is>
      </c>
      <c r="B569" s="7" t="inlineStr">
        <is>
          <t>Architect</t>
        </is>
      </c>
      <c r="C569" s="7" t="inlineStr">
        <is>
          <t>Tester</t>
        </is>
      </c>
      <c r="D569" s="7" t="inlineStr">
        <is>
          <t>PRJ030</t>
        </is>
      </c>
      <c r="E569" s="7" t="inlineStr">
        <is>
          <t>Service Desk 2</t>
        </is>
      </c>
      <c r="F569" s="8" t="n">
        <v>45809</v>
      </c>
      <c r="G569" s="7" t="n">
        <v>100</v>
      </c>
      <c r="H569" s="7" t="n">
        <v>100</v>
      </c>
    </row>
    <row r="570" ht="15" customHeight="1" s="5">
      <c r="A570" s="7" t="inlineStr">
        <is>
          <t>Resource 23</t>
        </is>
      </c>
      <c r="B570" s="7" t="inlineStr">
        <is>
          <t>Architect</t>
        </is>
      </c>
      <c r="C570" s="7" t="inlineStr">
        <is>
          <t>Tester</t>
        </is>
      </c>
      <c r="D570" s="7" t="inlineStr">
        <is>
          <t>PRJ030</t>
        </is>
      </c>
      <c r="E570" s="7" t="inlineStr">
        <is>
          <t>Service Desk 2</t>
        </is>
      </c>
      <c r="F570" s="8" t="n">
        <v>45839</v>
      </c>
      <c r="G570" s="7" t="n">
        <v>100</v>
      </c>
      <c r="H570" s="7" t="n">
        <v>100</v>
      </c>
    </row>
    <row r="571" ht="15" customHeight="1" s="5">
      <c r="A571" s="7" t="inlineStr">
        <is>
          <t>Resource 23</t>
        </is>
      </c>
      <c r="B571" s="7" t="inlineStr">
        <is>
          <t>Architect</t>
        </is>
      </c>
      <c r="C571" s="7" t="inlineStr">
        <is>
          <t>Tester</t>
        </is>
      </c>
      <c r="D571" s="7" t="inlineStr">
        <is>
          <t>PRJ030</t>
        </is>
      </c>
      <c r="E571" s="7" t="inlineStr">
        <is>
          <t>Service Desk 2</t>
        </is>
      </c>
      <c r="F571" s="8" t="n">
        <v>45870</v>
      </c>
      <c r="G571" s="7" t="n">
        <v>100</v>
      </c>
      <c r="H571" s="7" t="n">
        <v>100</v>
      </c>
    </row>
    <row r="572" ht="15" customHeight="1" s="5">
      <c r="A572" s="7" t="inlineStr">
        <is>
          <t>Resource 23</t>
        </is>
      </c>
      <c r="B572" s="7" t="inlineStr">
        <is>
          <t>Architect</t>
        </is>
      </c>
      <c r="C572" s="7" t="inlineStr">
        <is>
          <t>Tester</t>
        </is>
      </c>
      <c r="D572" s="7" t="inlineStr">
        <is>
          <t>PRJ030</t>
        </is>
      </c>
      <c r="E572" s="7" t="inlineStr">
        <is>
          <t>Service Desk 2</t>
        </is>
      </c>
      <c r="F572" s="8" t="n">
        <v>45901</v>
      </c>
      <c r="G572" s="7" t="n">
        <v>75</v>
      </c>
      <c r="H572" s="7" t="n">
        <v>100</v>
      </c>
    </row>
    <row r="573" ht="15" customHeight="1" s="5">
      <c r="A573" s="7" t="inlineStr">
        <is>
          <t>Resource 23</t>
        </is>
      </c>
      <c r="B573" s="7" t="inlineStr">
        <is>
          <t>Architect</t>
        </is>
      </c>
      <c r="C573" s="7" t="inlineStr">
        <is>
          <t>Tester</t>
        </is>
      </c>
      <c r="D573" s="7" t="inlineStr">
        <is>
          <t>PRJ030</t>
        </is>
      </c>
      <c r="E573" s="7" t="inlineStr">
        <is>
          <t>Service Desk 2</t>
        </is>
      </c>
      <c r="F573" s="8" t="n">
        <v>45931</v>
      </c>
      <c r="G573" s="7" t="n">
        <v>100</v>
      </c>
      <c r="H573" s="7" t="n">
        <v>100</v>
      </c>
    </row>
    <row r="574" ht="15" customHeight="1" s="5">
      <c r="A574" s="7" t="inlineStr">
        <is>
          <t>Resource 23</t>
        </is>
      </c>
      <c r="B574" s="7" t="inlineStr">
        <is>
          <t>Architect</t>
        </is>
      </c>
      <c r="C574" s="7" t="inlineStr">
        <is>
          <t>Tester</t>
        </is>
      </c>
      <c r="D574" s="7" t="inlineStr">
        <is>
          <t>PRJ030</t>
        </is>
      </c>
      <c r="E574" s="7" t="inlineStr">
        <is>
          <t>Service Desk 2</t>
        </is>
      </c>
      <c r="F574" s="8" t="n">
        <v>45962</v>
      </c>
      <c r="G574" s="7" t="n">
        <v>100</v>
      </c>
      <c r="H574" s="7" t="n">
        <v>100</v>
      </c>
    </row>
    <row r="575" ht="15" customHeight="1" s="5">
      <c r="A575" s="7" t="inlineStr">
        <is>
          <t>Resource 23</t>
        </is>
      </c>
      <c r="B575" s="7" t="inlineStr">
        <is>
          <t>Architect</t>
        </is>
      </c>
      <c r="C575" s="7" t="inlineStr">
        <is>
          <t>Tester</t>
        </is>
      </c>
      <c r="D575" s="7" t="inlineStr">
        <is>
          <t>PRJ030</t>
        </is>
      </c>
      <c r="E575" s="7" t="inlineStr">
        <is>
          <t>Service Desk 2</t>
        </is>
      </c>
      <c r="F575" s="8" t="n">
        <v>45992</v>
      </c>
      <c r="G575" s="7" t="n">
        <v>100</v>
      </c>
      <c r="H575" s="7" t="n">
        <v>100</v>
      </c>
    </row>
    <row r="576" ht="15" customHeight="1" s="5">
      <c r="A576" s="7" t="inlineStr">
        <is>
          <t>Resource 23</t>
        </is>
      </c>
      <c r="B576" s="7" t="inlineStr">
        <is>
          <t>Architect</t>
        </is>
      </c>
      <c r="C576" s="7" t="inlineStr">
        <is>
          <t>Tester</t>
        </is>
      </c>
      <c r="D576" s="7" t="inlineStr">
        <is>
          <t>PRJ030</t>
        </is>
      </c>
      <c r="E576" s="7" t="inlineStr">
        <is>
          <t>Service Desk 2</t>
        </is>
      </c>
      <c r="F576" s="8" t="n">
        <v>46023</v>
      </c>
      <c r="G576" s="7" t="n">
        <v>75</v>
      </c>
      <c r="H576" s="7" t="n">
        <v>100</v>
      </c>
    </row>
    <row r="577" ht="15" customHeight="1" s="5">
      <c r="A577" s="7" t="inlineStr">
        <is>
          <t>Resource 23</t>
        </is>
      </c>
      <c r="B577" s="7" t="inlineStr">
        <is>
          <t>Architect</t>
        </is>
      </c>
      <c r="C577" s="7" t="inlineStr">
        <is>
          <t>Tester</t>
        </is>
      </c>
      <c r="D577" s="7" t="inlineStr">
        <is>
          <t>PRJ030</t>
        </is>
      </c>
      <c r="E577" s="7" t="inlineStr">
        <is>
          <t>Service Desk 2</t>
        </is>
      </c>
      <c r="F577" s="8" t="n">
        <v>46054</v>
      </c>
      <c r="G577" s="7" t="n">
        <v>100</v>
      </c>
      <c r="H577" s="7" t="n">
        <v>100</v>
      </c>
    </row>
    <row r="578" ht="15" customHeight="1" s="5">
      <c r="A578" s="7" t="inlineStr">
        <is>
          <t>Resource 23</t>
        </is>
      </c>
      <c r="B578" s="7" t="inlineStr">
        <is>
          <t>Architect</t>
        </is>
      </c>
      <c r="C578" s="7" t="inlineStr">
        <is>
          <t>Tester</t>
        </is>
      </c>
      <c r="D578" s="7" t="inlineStr">
        <is>
          <t>PRJ030</t>
        </is>
      </c>
      <c r="E578" s="7" t="inlineStr">
        <is>
          <t>Service Desk 2</t>
        </is>
      </c>
      <c r="F578" s="8" t="n">
        <v>46082</v>
      </c>
      <c r="G578" s="7" t="n">
        <v>100</v>
      </c>
      <c r="H578" s="7" t="n">
        <v>100</v>
      </c>
    </row>
    <row r="579" ht="15" customHeight="1" s="5">
      <c r="A579" s="7" t="inlineStr">
        <is>
          <t>Resource 23</t>
        </is>
      </c>
      <c r="B579" s="7" t="inlineStr">
        <is>
          <t>Architect</t>
        </is>
      </c>
      <c r="C579" s="7" t="inlineStr">
        <is>
          <t>Tester</t>
        </is>
      </c>
      <c r="D579" s="7" t="inlineStr">
        <is>
          <t>PRJ030</t>
        </is>
      </c>
      <c r="E579" s="7" t="inlineStr">
        <is>
          <t>Service Desk 2</t>
        </is>
      </c>
      <c r="F579" s="8" t="n">
        <v>46113</v>
      </c>
      <c r="G579" s="7" t="n">
        <v>100</v>
      </c>
      <c r="H579" s="7" t="n">
        <v>100</v>
      </c>
    </row>
    <row r="580" ht="15" customHeight="1" s="5">
      <c r="A580" s="7" t="inlineStr">
        <is>
          <t>Resource 23</t>
        </is>
      </c>
      <c r="B580" s="7" t="inlineStr">
        <is>
          <t>Architect</t>
        </is>
      </c>
      <c r="C580" s="7" t="inlineStr">
        <is>
          <t>Tester</t>
        </is>
      </c>
      <c r="D580" s="7" t="inlineStr">
        <is>
          <t>PRJ030</t>
        </is>
      </c>
      <c r="E580" s="7" t="inlineStr">
        <is>
          <t>Service Desk 2</t>
        </is>
      </c>
      <c r="F580" s="8" t="n">
        <v>46143</v>
      </c>
      <c r="G580" s="7" t="n">
        <v>100</v>
      </c>
      <c r="H580" s="7" t="n">
        <v>100</v>
      </c>
    </row>
    <row r="581" ht="15" customHeight="1" s="5">
      <c r="A581" s="7" t="inlineStr">
        <is>
          <t>Resource 23</t>
        </is>
      </c>
      <c r="B581" s="7" t="inlineStr">
        <is>
          <t>Architect</t>
        </is>
      </c>
      <c r="C581" s="7" t="inlineStr">
        <is>
          <t>Tester</t>
        </is>
      </c>
      <c r="D581" s="7" t="inlineStr">
        <is>
          <t>PRJ030</t>
        </is>
      </c>
      <c r="E581" s="7" t="inlineStr">
        <is>
          <t>Service Desk 2</t>
        </is>
      </c>
      <c r="F581" s="8" t="n">
        <v>46174</v>
      </c>
      <c r="G581" s="7" t="n">
        <v>100</v>
      </c>
      <c r="H581" s="7" t="n">
        <v>100</v>
      </c>
    </row>
    <row r="582" ht="15" customHeight="1" s="5">
      <c r="A582" s="7" t="inlineStr">
        <is>
          <t>Resource 23</t>
        </is>
      </c>
      <c r="B582" s="7" t="inlineStr">
        <is>
          <t>Architect</t>
        </is>
      </c>
      <c r="C582" s="7" t="inlineStr">
        <is>
          <t>Tester</t>
        </is>
      </c>
      <c r="D582" s="7" t="inlineStr">
        <is>
          <t>PRJ030</t>
        </is>
      </c>
      <c r="E582" s="7" t="inlineStr">
        <is>
          <t>Service Desk 2</t>
        </is>
      </c>
      <c r="F582" s="8" t="n">
        <v>46204</v>
      </c>
      <c r="G582" s="7" t="n">
        <v>100</v>
      </c>
      <c r="H582" s="7" t="n">
        <v>100</v>
      </c>
    </row>
    <row r="583" ht="15" customHeight="1" s="5">
      <c r="A583" s="7" t="inlineStr">
        <is>
          <t>Resource 23</t>
        </is>
      </c>
      <c r="B583" s="7" t="inlineStr">
        <is>
          <t>Architect</t>
        </is>
      </c>
      <c r="C583" s="7" t="inlineStr">
        <is>
          <t>Tester</t>
        </is>
      </c>
      <c r="D583" s="7" t="inlineStr">
        <is>
          <t>PRJ030</t>
        </is>
      </c>
      <c r="E583" s="7" t="inlineStr">
        <is>
          <t>Service Desk 2</t>
        </is>
      </c>
      <c r="F583" s="8" t="n">
        <v>46235</v>
      </c>
      <c r="G583" s="7" t="n">
        <v>75</v>
      </c>
      <c r="H583" s="7" t="n">
        <v>100</v>
      </c>
    </row>
    <row r="584" ht="15" customHeight="1" s="5">
      <c r="A584" s="7" t="inlineStr">
        <is>
          <t>Resource 23</t>
        </is>
      </c>
      <c r="B584" s="7" t="inlineStr">
        <is>
          <t>Architect</t>
        </is>
      </c>
      <c r="C584" s="7" t="inlineStr">
        <is>
          <t>Tester</t>
        </is>
      </c>
      <c r="D584" s="7" t="inlineStr">
        <is>
          <t>PRJ030</t>
        </is>
      </c>
      <c r="E584" s="7" t="inlineStr">
        <is>
          <t>Service Desk 2</t>
        </is>
      </c>
      <c r="F584" s="8" t="n">
        <v>46266</v>
      </c>
      <c r="G584" s="7" t="n">
        <v>100</v>
      </c>
      <c r="H584" s="7" t="n">
        <v>100</v>
      </c>
    </row>
    <row r="585" ht="15" customHeight="1" s="5">
      <c r="A585" s="7" t="inlineStr">
        <is>
          <t>Resource 23</t>
        </is>
      </c>
      <c r="B585" s="7" t="inlineStr">
        <is>
          <t>Architect</t>
        </is>
      </c>
      <c r="C585" s="7" t="inlineStr">
        <is>
          <t>Tester</t>
        </is>
      </c>
      <c r="D585" s="7" t="inlineStr">
        <is>
          <t>PRJ030</t>
        </is>
      </c>
      <c r="E585" s="7" t="inlineStr">
        <is>
          <t>Service Desk 2</t>
        </is>
      </c>
      <c r="F585" s="8" t="n">
        <v>46296</v>
      </c>
      <c r="G585" s="7" t="n">
        <v>75</v>
      </c>
      <c r="H585" s="7" t="n">
        <v>100</v>
      </c>
    </row>
    <row r="586" ht="15" customHeight="1" s="5">
      <c r="A586" s="7" t="inlineStr">
        <is>
          <t>Resource 24</t>
        </is>
      </c>
      <c r="B586" s="7" t="inlineStr">
        <is>
          <t>QA</t>
        </is>
      </c>
      <c r="C586" s="7" t="inlineStr">
        <is>
          <t>Tester</t>
        </is>
      </c>
      <c r="D586" s="7" t="inlineStr">
        <is>
          <t>PRJ033</t>
        </is>
      </c>
      <c r="E586" s="7" t="inlineStr">
        <is>
          <t>Risk Platform</t>
        </is>
      </c>
      <c r="F586" s="8" t="n">
        <v>45962</v>
      </c>
      <c r="G586" s="7" t="n">
        <v>65</v>
      </c>
      <c r="H586" s="7" t="n">
        <v>100</v>
      </c>
    </row>
    <row r="587" ht="15" customHeight="1" s="5">
      <c r="A587" s="7" t="inlineStr">
        <is>
          <t>Resource 24</t>
        </is>
      </c>
      <c r="B587" s="7" t="inlineStr">
        <is>
          <t>QA</t>
        </is>
      </c>
      <c r="C587" s="7" t="inlineStr">
        <is>
          <t>Tester</t>
        </is>
      </c>
      <c r="D587" s="7" t="inlineStr">
        <is>
          <t>PRJ033</t>
        </is>
      </c>
      <c r="E587" s="7" t="inlineStr">
        <is>
          <t>Risk Platform</t>
        </is>
      </c>
      <c r="F587" s="8" t="n">
        <v>45992</v>
      </c>
      <c r="G587" s="7" t="n">
        <v>85</v>
      </c>
      <c r="H587" s="7" t="n">
        <v>100</v>
      </c>
    </row>
    <row r="588" ht="15" customHeight="1" s="5">
      <c r="A588" s="7" t="inlineStr">
        <is>
          <t>Resource 24</t>
        </is>
      </c>
      <c r="B588" s="7" t="inlineStr">
        <is>
          <t>QA</t>
        </is>
      </c>
      <c r="C588" s="7" t="inlineStr">
        <is>
          <t>Tester</t>
        </is>
      </c>
      <c r="D588" s="7" t="inlineStr">
        <is>
          <t>PRJ033</t>
        </is>
      </c>
      <c r="E588" s="7" t="inlineStr">
        <is>
          <t>Risk Platform</t>
        </is>
      </c>
      <c r="F588" s="8" t="n">
        <v>46023</v>
      </c>
      <c r="G588" s="7" t="n">
        <v>75</v>
      </c>
      <c r="H588" s="7" t="n">
        <v>100</v>
      </c>
    </row>
    <row r="589" ht="15" customHeight="1" s="5">
      <c r="A589" s="7" t="inlineStr">
        <is>
          <t>Resource 24</t>
        </is>
      </c>
      <c r="B589" s="7" t="inlineStr">
        <is>
          <t>QA</t>
        </is>
      </c>
      <c r="C589" s="7" t="inlineStr">
        <is>
          <t>Tester</t>
        </is>
      </c>
      <c r="D589" s="7" t="inlineStr">
        <is>
          <t>PRJ033</t>
        </is>
      </c>
      <c r="E589" s="7" t="inlineStr">
        <is>
          <t>Risk Platform</t>
        </is>
      </c>
      <c r="F589" s="8" t="n">
        <v>46054</v>
      </c>
      <c r="G589" s="7" t="n">
        <v>75</v>
      </c>
      <c r="H589" s="7" t="n">
        <v>100</v>
      </c>
    </row>
    <row r="590" ht="15" customHeight="1" s="5">
      <c r="A590" s="7" t="inlineStr">
        <is>
          <t>Resource 24</t>
        </is>
      </c>
      <c r="B590" s="7" t="inlineStr">
        <is>
          <t>QA</t>
        </is>
      </c>
      <c r="C590" s="7" t="inlineStr">
        <is>
          <t>Tester</t>
        </is>
      </c>
      <c r="D590" s="7" t="inlineStr">
        <is>
          <t>PRJ033</t>
        </is>
      </c>
      <c r="E590" s="7" t="inlineStr">
        <is>
          <t>Risk Platform</t>
        </is>
      </c>
      <c r="F590" s="8" t="n">
        <v>46082</v>
      </c>
      <c r="G590" s="7" t="n">
        <v>75</v>
      </c>
      <c r="H590" s="7" t="n">
        <v>100</v>
      </c>
    </row>
    <row r="591" ht="15" customHeight="1" s="5">
      <c r="A591" s="7" t="inlineStr">
        <is>
          <t>Resource 24</t>
        </is>
      </c>
      <c r="B591" s="7" t="inlineStr">
        <is>
          <t>QA</t>
        </is>
      </c>
      <c r="C591" s="7" t="inlineStr">
        <is>
          <t>Tester</t>
        </is>
      </c>
      <c r="D591" s="7" t="inlineStr">
        <is>
          <t>PRJ033</t>
        </is>
      </c>
      <c r="E591" s="7" t="inlineStr">
        <is>
          <t>Risk Platform</t>
        </is>
      </c>
      <c r="F591" s="8" t="n">
        <v>46113</v>
      </c>
      <c r="G591" s="7" t="n">
        <v>65</v>
      </c>
      <c r="H591" s="7" t="n">
        <v>100</v>
      </c>
    </row>
    <row r="592" ht="15" customHeight="1" s="5">
      <c r="A592" s="7" t="inlineStr">
        <is>
          <t>Resource 24</t>
        </is>
      </c>
      <c r="B592" s="7" t="inlineStr">
        <is>
          <t>QA</t>
        </is>
      </c>
      <c r="C592" s="7" t="inlineStr">
        <is>
          <t>Tester</t>
        </is>
      </c>
      <c r="D592" s="7" t="inlineStr">
        <is>
          <t>PRJ033</t>
        </is>
      </c>
      <c r="E592" s="7" t="inlineStr">
        <is>
          <t>Risk Platform</t>
        </is>
      </c>
      <c r="F592" s="8" t="n">
        <v>46143</v>
      </c>
      <c r="G592" s="7" t="n">
        <v>75</v>
      </c>
      <c r="H592" s="7" t="n">
        <v>100</v>
      </c>
    </row>
    <row r="593" ht="15" customHeight="1" s="5">
      <c r="A593" s="7" t="inlineStr">
        <is>
          <t>Resource 24</t>
        </is>
      </c>
      <c r="B593" s="7" t="inlineStr">
        <is>
          <t>QA</t>
        </is>
      </c>
      <c r="C593" s="7" t="inlineStr">
        <is>
          <t>Tester</t>
        </is>
      </c>
      <c r="D593" s="7" t="inlineStr">
        <is>
          <t>PRJ033</t>
        </is>
      </c>
      <c r="E593" s="7" t="inlineStr">
        <is>
          <t>Risk Platform</t>
        </is>
      </c>
      <c r="F593" s="8" t="n">
        <v>46174</v>
      </c>
      <c r="G593" s="7" t="n">
        <v>90</v>
      </c>
      <c r="H593" s="7" t="n">
        <v>100</v>
      </c>
    </row>
    <row r="594" ht="15" customHeight="1" s="5">
      <c r="A594" s="7" t="inlineStr">
        <is>
          <t>Resource 24</t>
        </is>
      </c>
      <c r="B594" s="7" t="inlineStr">
        <is>
          <t>QA</t>
        </is>
      </c>
      <c r="C594" s="7" t="inlineStr">
        <is>
          <t>Tester</t>
        </is>
      </c>
      <c r="D594" s="7" t="inlineStr">
        <is>
          <t>PRJ033</t>
        </is>
      </c>
      <c r="E594" s="7" t="inlineStr">
        <is>
          <t>Risk Platform</t>
        </is>
      </c>
      <c r="F594" s="8" t="n">
        <v>46204</v>
      </c>
      <c r="G594" s="7" t="n">
        <v>50</v>
      </c>
      <c r="H594" s="7" t="n">
        <v>100</v>
      </c>
    </row>
    <row r="595" ht="15" customHeight="1" s="5">
      <c r="A595" s="7" t="inlineStr">
        <is>
          <t>Resource 24</t>
        </is>
      </c>
      <c r="B595" s="7" t="inlineStr">
        <is>
          <t>QA</t>
        </is>
      </c>
      <c r="C595" s="7" t="inlineStr">
        <is>
          <t>Tester</t>
        </is>
      </c>
      <c r="D595" s="7" t="inlineStr">
        <is>
          <t>PRJ033</t>
        </is>
      </c>
      <c r="E595" s="7" t="inlineStr">
        <is>
          <t>Risk Platform</t>
        </is>
      </c>
      <c r="F595" s="8" t="n">
        <v>46235</v>
      </c>
      <c r="G595" s="7" t="n">
        <v>85</v>
      </c>
      <c r="H595" s="7" t="n">
        <v>100</v>
      </c>
    </row>
    <row r="596" ht="15" customHeight="1" s="5">
      <c r="A596" s="7" t="inlineStr">
        <is>
          <t>Resource 24</t>
        </is>
      </c>
      <c r="B596" s="7" t="inlineStr">
        <is>
          <t>QA</t>
        </is>
      </c>
      <c r="C596" s="7" t="inlineStr">
        <is>
          <t>Tester</t>
        </is>
      </c>
      <c r="D596" s="7" t="inlineStr">
        <is>
          <t>PRJ033</t>
        </is>
      </c>
      <c r="E596" s="7" t="inlineStr">
        <is>
          <t>Risk Platform</t>
        </is>
      </c>
      <c r="F596" s="8" t="n">
        <v>46266</v>
      </c>
      <c r="G596" s="7" t="n">
        <v>65</v>
      </c>
      <c r="H596" s="7" t="n">
        <v>100</v>
      </c>
    </row>
    <row r="597" ht="15" customHeight="1" s="5">
      <c r="A597" s="7" t="inlineStr">
        <is>
          <t>Resource 24</t>
        </is>
      </c>
      <c r="B597" s="7" t="inlineStr">
        <is>
          <t>QA</t>
        </is>
      </c>
      <c r="C597" s="7" t="inlineStr">
        <is>
          <t>Tester</t>
        </is>
      </c>
      <c r="D597" s="7" t="inlineStr">
        <is>
          <t>PRJ033</t>
        </is>
      </c>
      <c r="E597" s="7" t="inlineStr">
        <is>
          <t>Risk Platform</t>
        </is>
      </c>
      <c r="F597" s="8" t="n">
        <v>46296</v>
      </c>
      <c r="G597" s="7" t="n">
        <v>75</v>
      </c>
      <c r="H597" s="7" t="n">
        <v>100</v>
      </c>
    </row>
    <row r="598" ht="15" customHeight="1" s="5">
      <c r="A598" s="7" t="inlineStr">
        <is>
          <t>Resource 24</t>
        </is>
      </c>
      <c r="B598" s="7" t="inlineStr">
        <is>
          <t>QA</t>
        </is>
      </c>
      <c r="C598" s="7" t="inlineStr">
        <is>
          <t>Tester</t>
        </is>
      </c>
      <c r="D598" s="7" t="inlineStr">
        <is>
          <t>PRJ033</t>
        </is>
      </c>
      <c r="E598" s="7" t="inlineStr">
        <is>
          <t>Risk Platform</t>
        </is>
      </c>
      <c r="F598" s="8" t="n">
        <v>46327</v>
      </c>
      <c r="G598" s="7" t="n">
        <v>75</v>
      </c>
      <c r="H598" s="7" t="n">
        <v>100</v>
      </c>
    </row>
    <row r="599" ht="15" customHeight="1" s="5">
      <c r="A599" s="7" t="inlineStr">
        <is>
          <t>Resource 24</t>
        </is>
      </c>
      <c r="B599" s="7" t="inlineStr">
        <is>
          <t>QA</t>
        </is>
      </c>
      <c r="C599" s="7" t="inlineStr">
        <is>
          <t>Tester</t>
        </is>
      </c>
      <c r="D599" s="7" t="inlineStr">
        <is>
          <t>PRJ033</t>
        </is>
      </c>
      <c r="E599" s="7" t="inlineStr">
        <is>
          <t>Risk Platform</t>
        </is>
      </c>
      <c r="F599" s="8" t="n">
        <v>46357</v>
      </c>
      <c r="G599" s="7" t="n">
        <v>50</v>
      </c>
      <c r="H599" s="7" t="n">
        <v>100</v>
      </c>
    </row>
    <row r="600" ht="15" customHeight="1" s="5">
      <c r="A600" s="7" t="inlineStr">
        <is>
          <t>Resource 24</t>
        </is>
      </c>
      <c r="B600" s="7" t="inlineStr">
        <is>
          <t>QA</t>
        </is>
      </c>
      <c r="C600" s="7" t="inlineStr">
        <is>
          <t>Tester</t>
        </is>
      </c>
      <c r="D600" s="7" t="inlineStr">
        <is>
          <t>PRJ033</t>
        </is>
      </c>
      <c r="E600" s="7" t="inlineStr">
        <is>
          <t>Risk Platform</t>
        </is>
      </c>
      <c r="F600" s="8" t="n">
        <v>46388</v>
      </c>
      <c r="G600" s="7" t="n">
        <v>75</v>
      </c>
      <c r="H600" s="7" t="n">
        <v>100</v>
      </c>
    </row>
    <row r="601" ht="15" customHeight="1" s="5">
      <c r="A601" s="7" t="inlineStr">
        <is>
          <t>Resource 24</t>
        </is>
      </c>
      <c r="B601" s="7" t="inlineStr">
        <is>
          <t>QA</t>
        </is>
      </c>
      <c r="C601" s="7" t="inlineStr">
        <is>
          <t>Tester</t>
        </is>
      </c>
      <c r="D601" s="7" t="inlineStr">
        <is>
          <t>PRJ033</t>
        </is>
      </c>
      <c r="E601" s="7" t="inlineStr">
        <is>
          <t>Risk Platform</t>
        </is>
      </c>
      <c r="F601" s="8" t="n">
        <v>46419</v>
      </c>
      <c r="G601" s="7" t="n">
        <v>85</v>
      </c>
      <c r="H601" s="7" t="n">
        <v>100</v>
      </c>
    </row>
    <row r="602" ht="15" customHeight="1" s="5">
      <c r="A602" s="7" t="inlineStr">
        <is>
          <t>Resource 24</t>
        </is>
      </c>
      <c r="B602" s="7" t="inlineStr">
        <is>
          <t>QA</t>
        </is>
      </c>
      <c r="C602" s="7" t="inlineStr">
        <is>
          <t>Tester</t>
        </is>
      </c>
      <c r="D602" s="7" t="inlineStr">
        <is>
          <t>PRJ033</t>
        </is>
      </c>
      <c r="E602" s="7" t="inlineStr">
        <is>
          <t>Risk Platform</t>
        </is>
      </c>
      <c r="F602" s="8" t="n">
        <v>46447</v>
      </c>
      <c r="G602" s="7" t="n">
        <v>75</v>
      </c>
      <c r="H602" s="7" t="n">
        <v>100</v>
      </c>
    </row>
    <row r="603" ht="15" customHeight="1" s="5">
      <c r="A603" s="7" t="inlineStr">
        <is>
          <t>Resource 24</t>
        </is>
      </c>
      <c r="B603" s="7" t="inlineStr">
        <is>
          <t>QA</t>
        </is>
      </c>
      <c r="C603" s="7" t="inlineStr">
        <is>
          <t>Tester</t>
        </is>
      </c>
      <c r="D603" s="7" t="inlineStr">
        <is>
          <t>PRJ033</t>
        </is>
      </c>
      <c r="E603" s="7" t="inlineStr">
        <is>
          <t>Risk Platform</t>
        </is>
      </c>
      <c r="F603" s="8" t="n">
        <v>46478</v>
      </c>
      <c r="G603" s="7" t="n">
        <v>65</v>
      </c>
      <c r="H603" s="7" t="n">
        <v>100</v>
      </c>
    </row>
    <row r="604" ht="15" customHeight="1" s="5">
      <c r="A604" s="7" t="inlineStr">
        <is>
          <t>Resource 24</t>
        </is>
      </c>
      <c r="B604" s="7" t="inlineStr">
        <is>
          <t>QA</t>
        </is>
      </c>
      <c r="C604" s="7" t="inlineStr">
        <is>
          <t>Tester</t>
        </is>
      </c>
      <c r="D604" s="7" t="inlineStr">
        <is>
          <t>PRJ033</t>
        </is>
      </c>
      <c r="E604" s="7" t="inlineStr">
        <is>
          <t>Risk Platform</t>
        </is>
      </c>
      <c r="F604" s="8" t="n">
        <v>46508</v>
      </c>
      <c r="G604" s="7" t="n">
        <v>85</v>
      </c>
      <c r="H604" s="7" t="n">
        <v>100</v>
      </c>
    </row>
    <row r="605" ht="15" customHeight="1" s="5">
      <c r="A605" s="7" t="inlineStr">
        <is>
          <t>Resource 24</t>
        </is>
      </c>
      <c r="B605" s="7" t="inlineStr">
        <is>
          <t>QA</t>
        </is>
      </c>
      <c r="C605" s="7" t="inlineStr">
        <is>
          <t>Tester</t>
        </is>
      </c>
      <c r="D605" s="7" t="inlineStr">
        <is>
          <t>PRJ006</t>
        </is>
      </c>
      <c r="E605" s="7" t="inlineStr">
        <is>
          <t>Cyber Security Program</t>
        </is>
      </c>
      <c r="F605" s="8" t="n">
        <v>45717</v>
      </c>
      <c r="G605" s="7" t="n">
        <v>35</v>
      </c>
      <c r="H605" s="7" t="n">
        <v>100</v>
      </c>
    </row>
    <row r="606" ht="15" customHeight="1" s="5">
      <c r="A606" s="7" t="inlineStr">
        <is>
          <t>Resource 24</t>
        </is>
      </c>
      <c r="B606" s="7" t="inlineStr">
        <is>
          <t>QA</t>
        </is>
      </c>
      <c r="C606" s="7" t="inlineStr">
        <is>
          <t>Tester</t>
        </is>
      </c>
      <c r="D606" s="7" t="inlineStr">
        <is>
          <t>PRJ006</t>
        </is>
      </c>
      <c r="E606" s="7" t="inlineStr">
        <is>
          <t>Cyber Security Program</t>
        </is>
      </c>
      <c r="F606" s="8" t="n">
        <v>45748</v>
      </c>
      <c r="G606" s="7" t="n">
        <v>25</v>
      </c>
      <c r="H606" s="7" t="n">
        <v>100</v>
      </c>
    </row>
    <row r="607" ht="15" customHeight="1" s="5">
      <c r="A607" s="7" t="inlineStr">
        <is>
          <t>Resource 24</t>
        </is>
      </c>
      <c r="B607" s="7" t="inlineStr">
        <is>
          <t>QA</t>
        </is>
      </c>
      <c r="C607" s="7" t="inlineStr">
        <is>
          <t>Tester</t>
        </is>
      </c>
      <c r="D607" s="7" t="inlineStr">
        <is>
          <t>PRJ006</t>
        </is>
      </c>
      <c r="E607" s="7" t="inlineStr">
        <is>
          <t>Cyber Security Program</t>
        </is>
      </c>
      <c r="F607" s="8" t="n">
        <v>45778</v>
      </c>
      <c r="G607" s="7" t="n">
        <v>25</v>
      </c>
      <c r="H607" s="7" t="n">
        <v>100</v>
      </c>
    </row>
    <row r="608" ht="15" customHeight="1" s="5">
      <c r="A608" s="7" t="inlineStr">
        <is>
          <t>Resource 24</t>
        </is>
      </c>
      <c r="B608" s="7" t="inlineStr">
        <is>
          <t>QA</t>
        </is>
      </c>
      <c r="C608" s="7" t="inlineStr">
        <is>
          <t>Tester</t>
        </is>
      </c>
      <c r="D608" s="7" t="inlineStr">
        <is>
          <t>PRJ006</t>
        </is>
      </c>
      <c r="E608" s="7" t="inlineStr">
        <is>
          <t>Cyber Security Program</t>
        </is>
      </c>
      <c r="F608" s="8" t="n">
        <v>45809</v>
      </c>
      <c r="G608" s="7" t="n">
        <v>0</v>
      </c>
      <c r="H608" s="7" t="n">
        <v>100</v>
      </c>
    </row>
    <row r="609" ht="15" customHeight="1" s="5">
      <c r="A609" s="7" t="inlineStr">
        <is>
          <t>Resource 24</t>
        </is>
      </c>
      <c r="B609" s="7" t="inlineStr">
        <is>
          <t>QA</t>
        </is>
      </c>
      <c r="C609" s="7" t="inlineStr">
        <is>
          <t>Tester</t>
        </is>
      </c>
      <c r="D609" s="7" t="inlineStr">
        <is>
          <t>PRJ006</t>
        </is>
      </c>
      <c r="E609" s="7" t="inlineStr">
        <is>
          <t>Cyber Security Program</t>
        </is>
      </c>
      <c r="F609" s="8" t="n">
        <v>45839</v>
      </c>
      <c r="G609" s="7" t="n">
        <v>35</v>
      </c>
      <c r="H609" s="7" t="n">
        <v>100</v>
      </c>
    </row>
    <row r="610" ht="15" customHeight="1" s="5">
      <c r="A610" s="7" t="inlineStr">
        <is>
          <t>Resource 24</t>
        </is>
      </c>
      <c r="B610" s="7" t="inlineStr">
        <is>
          <t>QA</t>
        </is>
      </c>
      <c r="C610" s="7" t="inlineStr">
        <is>
          <t>Tester</t>
        </is>
      </c>
      <c r="D610" s="7" t="inlineStr">
        <is>
          <t>PRJ006</t>
        </is>
      </c>
      <c r="E610" s="7" t="inlineStr">
        <is>
          <t>Cyber Security Program</t>
        </is>
      </c>
      <c r="F610" s="8" t="n">
        <v>45870</v>
      </c>
      <c r="G610" s="7" t="n">
        <v>35</v>
      </c>
      <c r="H610" s="7" t="n">
        <v>100</v>
      </c>
    </row>
    <row r="611" ht="15" customHeight="1" s="5">
      <c r="A611" s="7" t="inlineStr">
        <is>
          <t>Resource 24</t>
        </is>
      </c>
      <c r="B611" s="7" t="inlineStr">
        <is>
          <t>QA</t>
        </is>
      </c>
      <c r="C611" s="7" t="inlineStr">
        <is>
          <t>Tester</t>
        </is>
      </c>
      <c r="D611" s="7" t="inlineStr">
        <is>
          <t>PRJ006</t>
        </is>
      </c>
      <c r="E611" s="7" t="inlineStr">
        <is>
          <t>Cyber Security Program</t>
        </is>
      </c>
      <c r="F611" s="8" t="n">
        <v>45901</v>
      </c>
      <c r="G611" s="7" t="n">
        <v>25</v>
      </c>
      <c r="H611" s="7" t="n">
        <v>100</v>
      </c>
    </row>
    <row r="612" ht="15" customHeight="1" s="5">
      <c r="A612" s="7" t="inlineStr">
        <is>
          <t>Resource 24</t>
        </is>
      </c>
      <c r="B612" s="7" t="inlineStr">
        <is>
          <t>QA</t>
        </is>
      </c>
      <c r="C612" s="7" t="inlineStr">
        <is>
          <t>Tester</t>
        </is>
      </c>
      <c r="D612" s="7" t="inlineStr">
        <is>
          <t>PRJ006</t>
        </is>
      </c>
      <c r="E612" s="7" t="inlineStr">
        <is>
          <t>Cyber Security Program</t>
        </is>
      </c>
      <c r="F612" s="8" t="n">
        <v>45931</v>
      </c>
      <c r="G612" s="7" t="n">
        <v>25</v>
      </c>
      <c r="H612" s="7" t="n">
        <v>100</v>
      </c>
    </row>
    <row r="613" ht="15" customHeight="1" s="5">
      <c r="A613" s="7" t="inlineStr">
        <is>
          <t>Resource 24</t>
        </is>
      </c>
      <c r="B613" s="7" t="inlineStr">
        <is>
          <t>QA</t>
        </is>
      </c>
      <c r="C613" s="7" t="inlineStr">
        <is>
          <t>Tester</t>
        </is>
      </c>
      <c r="D613" s="7" t="inlineStr">
        <is>
          <t>PRJ006</t>
        </is>
      </c>
      <c r="E613" s="7" t="inlineStr">
        <is>
          <t>Cyber Security Program</t>
        </is>
      </c>
      <c r="F613" s="8" t="n">
        <v>45962</v>
      </c>
      <c r="G613" s="7" t="n">
        <v>15</v>
      </c>
      <c r="H613" s="7" t="n">
        <v>100</v>
      </c>
    </row>
    <row r="614" ht="15" customHeight="1" s="5">
      <c r="A614" s="7" t="inlineStr">
        <is>
          <t>Resource 24</t>
        </is>
      </c>
      <c r="B614" s="7" t="inlineStr">
        <is>
          <t>QA</t>
        </is>
      </c>
      <c r="C614" s="7" t="inlineStr">
        <is>
          <t>Tester</t>
        </is>
      </c>
      <c r="D614" s="7" t="inlineStr">
        <is>
          <t>PRJ006</t>
        </is>
      </c>
      <c r="E614" s="7" t="inlineStr">
        <is>
          <t>Cyber Security Program</t>
        </is>
      </c>
      <c r="F614" s="8" t="n">
        <v>45992</v>
      </c>
      <c r="G614" s="7" t="n">
        <v>25</v>
      </c>
      <c r="H614" s="7" t="n">
        <v>100</v>
      </c>
    </row>
    <row r="615" ht="15" customHeight="1" s="5">
      <c r="A615" s="7" t="inlineStr">
        <is>
          <t>Resource 24</t>
        </is>
      </c>
      <c r="B615" s="7" t="inlineStr">
        <is>
          <t>QA</t>
        </is>
      </c>
      <c r="C615" s="7" t="inlineStr">
        <is>
          <t>Tester</t>
        </is>
      </c>
      <c r="D615" s="7" t="inlineStr">
        <is>
          <t>PRJ006</t>
        </is>
      </c>
      <c r="E615" s="7" t="inlineStr">
        <is>
          <t>Cyber Security Program</t>
        </is>
      </c>
      <c r="F615" s="8" t="n">
        <v>46023</v>
      </c>
      <c r="G615" s="7" t="n">
        <v>0</v>
      </c>
      <c r="H615" s="7" t="n">
        <v>100</v>
      </c>
    </row>
    <row r="616" ht="15" customHeight="1" s="5">
      <c r="A616" s="7" t="inlineStr">
        <is>
          <t>Resource 24</t>
        </is>
      </c>
      <c r="B616" s="7" t="inlineStr">
        <is>
          <t>QA</t>
        </is>
      </c>
      <c r="C616" s="7" t="inlineStr">
        <is>
          <t>Tester</t>
        </is>
      </c>
      <c r="D616" s="7" t="inlineStr">
        <is>
          <t>PRJ006</t>
        </is>
      </c>
      <c r="E616" s="7" t="inlineStr">
        <is>
          <t>Cyber Security Program</t>
        </is>
      </c>
      <c r="F616" s="8" t="n">
        <v>46054</v>
      </c>
      <c r="G616" s="7" t="n">
        <v>40</v>
      </c>
      <c r="H616" s="7" t="n">
        <v>100</v>
      </c>
    </row>
    <row r="617" ht="15" customHeight="1" s="5">
      <c r="A617" s="7" t="inlineStr">
        <is>
          <t>Resource 24</t>
        </is>
      </c>
      <c r="B617" s="7" t="inlineStr">
        <is>
          <t>QA</t>
        </is>
      </c>
      <c r="C617" s="7" t="inlineStr">
        <is>
          <t>Tester</t>
        </is>
      </c>
      <c r="D617" s="7" t="inlineStr">
        <is>
          <t>PRJ006</t>
        </is>
      </c>
      <c r="E617" s="7" t="inlineStr">
        <is>
          <t>Cyber Security Program</t>
        </is>
      </c>
      <c r="F617" s="8" t="n">
        <v>46082</v>
      </c>
      <c r="G617" s="7" t="n">
        <v>25</v>
      </c>
      <c r="H617" s="7" t="n">
        <v>100</v>
      </c>
    </row>
    <row r="618" ht="15" customHeight="1" s="5">
      <c r="A618" s="7" t="inlineStr">
        <is>
          <t>Resource 24</t>
        </is>
      </c>
      <c r="B618" s="7" t="inlineStr">
        <is>
          <t>QA</t>
        </is>
      </c>
      <c r="C618" s="7" t="inlineStr">
        <is>
          <t>Tester</t>
        </is>
      </c>
      <c r="D618" s="7" t="inlineStr">
        <is>
          <t>PRJ006</t>
        </is>
      </c>
      <c r="E618" s="7" t="inlineStr">
        <is>
          <t>Cyber Security Program</t>
        </is>
      </c>
      <c r="F618" s="8" t="n">
        <v>46113</v>
      </c>
      <c r="G618" s="7" t="n">
        <v>35</v>
      </c>
      <c r="H618" s="7" t="n">
        <v>100</v>
      </c>
    </row>
    <row r="619" ht="15" customHeight="1" s="5">
      <c r="A619" s="7" t="inlineStr">
        <is>
          <t>Resource 24</t>
        </is>
      </c>
      <c r="B619" s="7" t="inlineStr">
        <is>
          <t>QA</t>
        </is>
      </c>
      <c r="C619" s="7" t="inlineStr">
        <is>
          <t>Tester</t>
        </is>
      </c>
      <c r="D619" s="7" t="inlineStr">
        <is>
          <t>PRJ006</t>
        </is>
      </c>
      <c r="E619" s="7" t="inlineStr">
        <is>
          <t>Cyber Security Program</t>
        </is>
      </c>
      <c r="F619" s="8" t="n">
        <v>46143</v>
      </c>
      <c r="G619" s="7" t="n">
        <v>25</v>
      </c>
      <c r="H619" s="7" t="n">
        <v>100</v>
      </c>
    </row>
    <row r="620" ht="15" customHeight="1" s="5">
      <c r="A620" s="7" t="inlineStr">
        <is>
          <t>Resource 25</t>
        </is>
      </c>
      <c r="B620" s="7" t="inlineStr">
        <is>
          <t>Security</t>
        </is>
      </c>
      <c r="C620" s="7" t="inlineStr">
        <is>
          <t>Architect</t>
        </is>
      </c>
      <c r="D620" s="7" t="inlineStr">
        <is>
          <t>PRJ013</t>
        </is>
      </c>
      <c r="E620" s="7" t="inlineStr">
        <is>
          <t>API Gateway</t>
        </is>
      </c>
      <c r="F620" s="8" t="n">
        <v>45992</v>
      </c>
      <c r="G620" s="7" t="n">
        <v>100</v>
      </c>
      <c r="H620" s="7" t="n">
        <v>100</v>
      </c>
    </row>
    <row r="621" ht="15" customHeight="1" s="5">
      <c r="A621" s="7" t="inlineStr">
        <is>
          <t>Resource 25</t>
        </is>
      </c>
      <c r="B621" s="7" t="inlineStr">
        <is>
          <t>Security</t>
        </is>
      </c>
      <c r="C621" s="7" t="inlineStr">
        <is>
          <t>Architect</t>
        </is>
      </c>
      <c r="D621" s="7" t="inlineStr">
        <is>
          <t>PRJ013</t>
        </is>
      </c>
      <c r="E621" s="7" t="inlineStr">
        <is>
          <t>API Gateway</t>
        </is>
      </c>
      <c r="F621" s="8" t="n">
        <v>46023</v>
      </c>
      <c r="G621" s="7" t="n">
        <v>100</v>
      </c>
      <c r="H621" s="7" t="n">
        <v>100</v>
      </c>
    </row>
    <row r="622" ht="15" customHeight="1" s="5">
      <c r="A622" s="7" t="inlineStr">
        <is>
          <t>Resource 25</t>
        </is>
      </c>
      <c r="B622" s="7" t="inlineStr">
        <is>
          <t>Security</t>
        </is>
      </c>
      <c r="C622" s="7" t="inlineStr">
        <is>
          <t>Architect</t>
        </is>
      </c>
      <c r="D622" s="7" t="inlineStr">
        <is>
          <t>PRJ013</t>
        </is>
      </c>
      <c r="E622" s="7" t="inlineStr">
        <is>
          <t>API Gateway</t>
        </is>
      </c>
      <c r="F622" s="8" t="n">
        <v>46054</v>
      </c>
      <c r="G622" s="7" t="n">
        <v>100</v>
      </c>
      <c r="H622" s="7" t="n">
        <v>100</v>
      </c>
    </row>
    <row r="623" ht="15" customHeight="1" s="5">
      <c r="A623" s="7" t="inlineStr">
        <is>
          <t>Resource 25</t>
        </is>
      </c>
      <c r="B623" s="7" t="inlineStr">
        <is>
          <t>Security</t>
        </is>
      </c>
      <c r="C623" s="7" t="inlineStr">
        <is>
          <t>Architect</t>
        </is>
      </c>
      <c r="D623" s="7" t="inlineStr">
        <is>
          <t>PRJ013</t>
        </is>
      </c>
      <c r="E623" s="7" t="inlineStr">
        <is>
          <t>API Gateway</t>
        </is>
      </c>
      <c r="F623" s="8" t="n">
        <v>46082</v>
      </c>
      <c r="G623" s="7" t="n">
        <v>100</v>
      </c>
      <c r="H623" s="7" t="n">
        <v>100</v>
      </c>
    </row>
    <row r="624" ht="15" customHeight="1" s="5">
      <c r="A624" s="7" t="inlineStr">
        <is>
          <t>Resource 25</t>
        </is>
      </c>
      <c r="B624" s="7" t="inlineStr">
        <is>
          <t>Security</t>
        </is>
      </c>
      <c r="C624" s="7" t="inlineStr">
        <is>
          <t>Architect</t>
        </is>
      </c>
      <c r="D624" s="7" t="inlineStr">
        <is>
          <t>PRJ013</t>
        </is>
      </c>
      <c r="E624" s="7" t="inlineStr">
        <is>
          <t>API Gateway</t>
        </is>
      </c>
      <c r="F624" s="8" t="n">
        <v>46113</v>
      </c>
      <c r="G624" s="7" t="n">
        <v>100</v>
      </c>
      <c r="H624" s="7" t="n">
        <v>100</v>
      </c>
    </row>
    <row r="625" ht="15" customHeight="1" s="5">
      <c r="A625" s="7" t="inlineStr">
        <is>
          <t>Resource 25</t>
        </is>
      </c>
      <c r="B625" s="7" t="inlineStr">
        <is>
          <t>Security</t>
        </is>
      </c>
      <c r="C625" s="7" t="inlineStr">
        <is>
          <t>Architect</t>
        </is>
      </c>
      <c r="D625" s="7" t="inlineStr">
        <is>
          <t>PRJ013</t>
        </is>
      </c>
      <c r="E625" s="7" t="inlineStr">
        <is>
          <t>API Gateway</t>
        </is>
      </c>
      <c r="F625" s="8" t="n">
        <v>46143</v>
      </c>
      <c r="G625" s="7" t="n">
        <v>100</v>
      </c>
      <c r="H625" s="7" t="n">
        <v>100</v>
      </c>
    </row>
    <row r="626" ht="15" customHeight="1" s="5">
      <c r="A626" s="7" t="inlineStr">
        <is>
          <t>Resource 25</t>
        </is>
      </c>
      <c r="B626" s="7" t="inlineStr">
        <is>
          <t>Security</t>
        </is>
      </c>
      <c r="C626" s="7" t="inlineStr">
        <is>
          <t>Architect</t>
        </is>
      </c>
      <c r="D626" s="7" t="inlineStr">
        <is>
          <t>PRJ013</t>
        </is>
      </c>
      <c r="E626" s="7" t="inlineStr">
        <is>
          <t>API Gateway</t>
        </is>
      </c>
      <c r="F626" s="8" t="n">
        <v>46174</v>
      </c>
      <c r="G626" s="7" t="n">
        <v>100</v>
      </c>
      <c r="H626" s="7" t="n">
        <v>100</v>
      </c>
    </row>
    <row r="627" ht="15" customHeight="1" s="5">
      <c r="A627" s="7" t="inlineStr">
        <is>
          <t>Resource 25</t>
        </is>
      </c>
      <c r="B627" s="7" t="inlineStr">
        <is>
          <t>Security</t>
        </is>
      </c>
      <c r="C627" s="7" t="inlineStr">
        <is>
          <t>Architect</t>
        </is>
      </c>
      <c r="D627" s="7" t="inlineStr">
        <is>
          <t>PRJ013</t>
        </is>
      </c>
      <c r="E627" s="7" t="inlineStr">
        <is>
          <t>API Gateway</t>
        </is>
      </c>
      <c r="F627" s="8" t="n">
        <v>46204</v>
      </c>
      <c r="G627" s="7" t="n">
        <v>90</v>
      </c>
      <c r="H627" s="7" t="n">
        <v>100</v>
      </c>
    </row>
    <row r="628" ht="15" customHeight="1" s="5">
      <c r="A628" s="7" t="inlineStr">
        <is>
          <t>Resource 25</t>
        </is>
      </c>
      <c r="B628" s="7" t="inlineStr">
        <is>
          <t>Security</t>
        </is>
      </c>
      <c r="C628" s="7" t="inlineStr">
        <is>
          <t>Architect</t>
        </is>
      </c>
      <c r="D628" s="7" t="inlineStr">
        <is>
          <t>PRJ013</t>
        </is>
      </c>
      <c r="E628" s="7" t="inlineStr">
        <is>
          <t>API Gateway</t>
        </is>
      </c>
      <c r="F628" s="8" t="n">
        <v>46235</v>
      </c>
      <c r="G628" s="7" t="n">
        <v>75</v>
      </c>
      <c r="H628" s="7" t="n">
        <v>100</v>
      </c>
    </row>
    <row r="629" ht="15" customHeight="1" s="5">
      <c r="A629" s="7" t="inlineStr">
        <is>
          <t>Resource 25</t>
        </is>
      </c>
      <c r="B629" s="7" t="inlineStr">
        <is>
          <t>Security</t>
        </is>
      </c>
      <c r="C629" s="7" t="inlineStr">
        <is>
          <t>Architect</t>
        </is>
      </c>
      <c r="D629" s="7" t="inlineStr">
        <is>
          <t>PRJ013</t>
        </is>
      </c>
      <c r="E629" s="7" t="inlineStr">
        <is>
          <t>API Gateway</t>
        </is>
      </c>
      <c r="F629" s="8" t="n">
        <v>46266</v>
      </c>
      <c r="G629" s="7" t="n">
        <v>100</v>
      </c>
      <c r="H629" s="7" t="n">
        <v>100</v>
      </c>
    </row>
    <row r="630" ht="15" customHeight="1" s="5">
      <c r="A630" s="7" t="inlineStr">
        <is>
          <t>Resource 25</t>
        </is>
      </c>
      <c r="B630" s="7" t="inlineStr">
        <is>
          <t>Security</t>
        </is>
      </c>
      <c r="C630" s="7" t="inlineStr">
        <is>
          <t>Architect</t>
        </is>
      </c>
      <c r="D630" s="7" t="inlineStr">
        <is>
          <t>PRJ013</t>
        </is>
      </c>
      <c r="E630" s="7" t="inlineStr">
        <is>
          <t>API Gateway</t>
        </is>
      </c>
      <c r="F630" s="8" t="n">
        <v>46296</v>
      </c>
      <c r="G630" s="7" t="n">
        <v>100</v>
      </c>
      <c r="H630" s="7" t="n">
        <v>100</v>
      </c>
    </row>
    <row r="631" ht="15" customHeight="1" s="5">
      <c r="A631" s="7" t="inlineStr">
        <is>
          <t>Resource 25</t>
        </is>
      </c>
      <c r="B631" s="7" t="inlineStr">
        <is>
          <t>Security</t>
        </is>
      </c>
      <c r="C631" s="7" t="inlineStr">
        <is>
          <t>Architect</t>
        </is>
      </c>
      <c r="D631" s="7" t="inlineStr">
        <is>
          <t>PRJ013</t>
        </is>
      </c>
      <c r="E631" s="7" t="inlineStr">
        <is>
          <t>API Gateway</t>
        </is>
      </c>
      <c r="F631" s="8" t="n">
        <v>46327</v>
      </c>
      <c r="G631" s="7" t="n">
        <v>100</v>
      </c>
      <c r="H631" s="7" t="n">
        <v>100</v>
      </c>
    </row>
    <row r="632" ht="15" customHeight="1" s="5">
      <c r="A632" s="7" t="inlineStr">
        <is>
          <t>Resource 25</t>
        </is>
      </c>
      <c r="B632" s="7" t="inlineStr">
        <is>
          <t>Security</t>
        </is>
      </c>
      <c r="C632" s="7" t="inlineStr">
        <is>
          <t>Architect</t>
        </is>
      </c>
      <c r="D632" s="7" t="inlineStr">
        <is>
          <t>PRJ013</t>
        </is>
      </c>
      <c r="E632" s="7" t="inlineStr">
        <is>
          <t>API Gateway</t>
        </is>
      </c>
      <c r="F632" s="8" t="n">
        <v>46357</v>
      </c>
      <c r="G632" s="7" t="n">
        <v>90</v>
      </c>
      <c r="H632" s="7" t="n">
        <v>100</v>
      </c>
    </row>
    <row r="633" ht="15" customHeight="1" s="5">
      <c r="A633" s="7" t="inlineStr">
        <is>
          <t>Resource 25</t>
        </is>
      </c>
      <c r="B633" s="7" t="inlineStr">
        <is>
          <t>Security</t>
        </is>
      </c>
      <c r="C633" s="7" t="inlineStr">
        <is>
          <t>Architect</t>
        </is>
      </c>
      <c r="D633" s="7" t="inlineStr">
        <is>
          <t>PRJ013</t>
        </is>
      </c>
      <c r="E633" s="7" t="inlineStr">
        <is>
          <t>API Gateway</t>
        </is>
      </c>
      <c r="F633" s="8" t="n">
        <v>46388</v>
      </c>
      <c r="G633" s="7" t="n">
        <v>100</v>
      </c>
      <c r="H633" s="7" t="n">
        <v>100</v>
      </c>
    </row>
    <row r="634" ht="15" customHeight="1" s="5">
      <c r="A634" s="7" t="inlineStr">
        <is>
          <t>Resource 25</t>
        </is>
      </c>
      <c r="B634" s="7" t="inlineStr">
        <is>
          <t>Security</t>
        </is>
      </c>
      <c r="C634" s="7" t="inlineStr">
        <is>
          <t>Architect</t>
        </is>
      </c>
      <c r="D634" s="7" t="inlineStr">
        <is>
          <t>PRJ013</t>
        </is>
      </c>
      <c r="E634" s="7" t="inlineStr">
        <is>
          <t>API Gateway</t>
        </is>
      </c>
      <c r="F634" s="8" t="n">
        <v>46419</v>
      </c>
      <c r="G634" s="7" t="n">
        <v>100</v>
      </c>
      <c r="H634" s="7" t="n">
        <v>100</v>
      </c>
    </row>
    <row r="635" ht="15" customHeight="1" s="5">
      <c r="A635" s="7" t="inlineStr">
        <is>
          <t>Resource 25</t>
        </is>
      </c>
      <c r="B635" s="7" t="inlineStr">
        <is>
          <t>Security</t>
        </is>
      </c>
      <c r="C635" s="7" t="inlineStr">
        <is>
          <t>Architect</t>
        </is>
      </c>
      <c r="D635" s="7" t="inlineStr">
        <is>
          <t>PRJ013</t>
        </is>
      </c>
      <c r="E635" s="7" t="inlineStr">
        <is>
          <t>API Gateway</t>
        </is>
      </c>
      <c r="F635" s="8" t="n">
        <v>46447</v>
      </c>
      <c r="G635" s="7" t="n">
        <v>90</v>
      </c>
      <c r="H635" s="7" t="n">
        <v>100</v>
      </c>
    </row>
    <row r="636" ht="15" customHeight="1" s="5">
      <c r="A636" s="7" t="inlineStr">
        <is>
          <t>Resource 25</t>
        </is>
      </c>
      <c r="B636" s="7" t="inlineStr">
        <is>
          <t>Security</t>
        </is>
      </c>
      <c r="C636" s="7" t="inlineStr">
        <is>
          <t>Architect</t>
        </is>
      </c>
      <c r="D636" s="7" t="inlineStr">
        <is>
          <t>PRJ030</t>
        </is>
      </c>
      <c r="E636" s="7" t="inlineStr">
        <is>
          <t>Service Desk 2</t>
        </is>
      </c>
      <c r="F636" s="8" t="n">
        <v>45778</v>
      </c>
      <c r="G636" s="7" t="n">
        <v>90</v>
      </c>
      <c r="H636" s="7" t="n">
        <v>100</v>
      </c>
    </row>
    <row r="637" ht="15" customHeight="1" s="5">
      <c r="A637" s="7" t="inlineStr">
        <is>
          <t>Resource 25</t>
        </is>
      </c>
      <c r="B637" s="7" t="inlineStr">
        <is>
          <t>Security</t>
        </is>
      </c>
      <c r="C637" s="7" t="inlineStr">
        <is>
          <t>Architect</t>
        </is>
      </c>
      <c r="D637" s="7" t="inlineStr">
        <is>
          <t>PRJ030</t>
        </is>
      </c>
      <c r="E637" s="7" t="inlineStr">
        <is>
          <t>Service Desk 2</t>
        </is>
      </c>
      <c r="F637" s="8" t="n">
        <v>45809</v>
      </c>
      <c r="G637" s="7" t="n">
        <v>85</v>
      </c>
      <c r="H637" s="7" t="n">
        <v>100</v>
      </c>
    </row>
    <row r="638" ht="15" customHeight="1" s="5">
      <c r="A638" s="7" t="inlineStr">
        <is>
          <t>Resource 25</t>
        </is>
      </c>
      <c r="B638" s="7" t="inlineStr">
        <is>
          <t>Security</t>
        </is>
      </c>
      <c r="C638" s="7" t="inlineStr">
        <is>
          <t>Architect</t>
        </is>
      </c>
      <c r="D638" s="7" t="inlineStr">
        <is>
          <t>PRJ030</t>
        </is>
      </c>
      <c r="E638" s="7" t="inlineStr">
        <is>
          <t>Service Desk 2</t>
        </is>
      </c>
      <c r="F638" s="8" t="n">
        <v>45839</v>
      </c>
      <c r="G638" s="7" t="n">
        <v>85</v>
      </c>
      <c r="H638" s="7" t="n">
        <v>100</v>
      </c>
    </row>
    <row r="639" ht="15" customHeight="1" s="5">
      <c r="A639" s="7" t="inlineStr">
        <is>
          <t>Resource 25</t>
        </is>
      </c>
      <c r="B639" s="7" t="inlineStr">
        <is>
          <t>Security</t>
        </is>
      </c>
      <c r="C639" s="7" t="inlineStr">
        <is>
          <t>Architect</t>
        </is>
      </c>
      <c r="D639" s="7" t="inlineStr">
        <is>
          <t>PRJ030</t>
        </is>
      </c>
      <c r="E639" s="7" t="inlineStr">
        <is>
          <t>Service Desk 2</t>
        </is>
      </c>
      <c r="F639" s="8" t="n">
        <v>45870</v>
      </c>
      <c r="G639" s="7" t="n">
        <v>75</v>
      </c>
      <c r="H639" s="7" t="n">
        <v>100</v>
      </c>
    </row>
    <row r="640" ht="15" customHeight="1" s="5">
      <c r="A640" s="7" t="inlineStr">
        <is>
          <t>Resource 25</t>
        </is>
      </c>
      <c r="B640" s="7" t="inlineStr">
        <is>
          <t>Security</t>
        </is>
      </c>
      <c r="C640" s="7" t="inlineStr">
        <is>
          <t>Architect</t>
        </is>
      </c>
      <c r="D640" s="7" t="inlineStr">
        <is>
          <t>PRJ030</t>
        </is>
      </c>
      <c r="E640" s="7" t="inlineStr">
        <is>
          <t>Service Desk 2</t>
        </is>
      </c>
      <c r="F640" s="8" t="n">
        <v>45901</v>
      </c>
      <c r="G640" s="7" t="n">
        <v>85</v>
      </c>
      <c r="H640" s="7" t="n">
        <v>100</v>
      </c>
    </row>
    <row r="641" ht="15" customHeight="1" s="5">
      <c r="A641" s="7" t="inlineStr">
        <is>
          <t>Resource 25</t>
        </is>
      </c>
      <c r="B641" s="7" t="inlineStr">
        <is>
          <t>Security</t>
        </is>
      </c>
      <c r="C641" s="7" t="inlineStr">
        <is>
          <t>Architect</t>
        </is>
      </c>
      <c r="D641" s="7" t="inlineStr">
        <is>
          <t>PRJ030</t>
        </is>
      </c>
      <c r="E641" s="7" t="inlineStr">
        <is>
          <t>Service Desk 2</t>
        </is>
      </c>
      <c r="F641" s="8" t="n">
        <v>45931</v>
      </c>
      <c r="G641" s="7" t="n">
        <v>90</v>
      </c>
      <c r="H641" s="7" t="n">
        <v>100</v>
      </c>
    </row>
    <row r="642" ht="15" customHeight="1" s="5">
      <c r="A642" s="7" t="inlineStr">
        <is>
          <t>Resource 25</t>
        </is>
      </c>
      <c r="B642" s="7" t="inlineStr">
        <is>
          <t>Security</t>
        </is>
      </c>
      <c r="C642" s="7" t="inlineStr">
        <is>
          <t>Architect</t>
        </is>
      </c>
      <c r="D642" s="7" t="inlineStr">
        <is>
          <t>PRJ030</t>
        </is>
      </c>
      <c r="E642" s="7" t="inlineStr">
        <is>
          <t>Service Desk 2</t>
        </is>
      </c>
      <c r="F642" s="8" t="n">
        <v>45962</v>
      </c>
      <c r="G642" s="7" t="n">
        <v>90</v>
      </c>
      <c r="H642" s="7" t="n">
        <v>100</v>
      </c>
    </row>
    <row r="643" ht="15" customHeight="1" s="5">
      <c r="A643" s="7" t="inlineStr">
        <is>
          <t>Resource 25</t>
        </is>
      </c>
      <c r="B643" s="7" t="inlineStr">
        <is>
          <t>Security</t>
        </is>
      </c>
      <c r="C643" s="7" t="inlineStr">
        <is>
          <t>Architect</t>
        </is>
      </c>
      <c r="D643" s="7" t="inlineStr">
        <is>
          <t>PRJ030</t>
        </is>
      </c>
      <c r="E643" s="7" t="inlineStr">
        <is>
          <t>Service Desk 2</t>
        </is>
      </c>
      <c r="F643" s="8" t="n">
        <v>45992</v>
      </c>
      <c r="G643" s="7" t="n">
        <v>50</v>
      </c>
      <c r="H643" s="7" t="n">
        <v>100</v>
      </c>
    </row>
    <row r="644" ht="15" customHeight="1" s="5">
      <c r="A644" s="7" t="inlineStr">
        <is>
          <t>Resource 25</t>
        </is>
      </c>
      <c r="B644" s="7" t="inlineStr">
        <is>
          <t>Security</t>
        </is>
      </c>
      <c r="C644" s="7" t="inlineStr">
        <is>
          <t>Architect</t>
        </is>
      </c>
      <c r="D644" s="7" t="inlineStr">
        <is>
          <t>PRJ030</t>
        </is>
      </c>
      <c r="E644" s="7" t="inlineStr">
        <is>
          <t>Service Desk 2</t>
        </is>
      </c>
      <c r="F644" s="8" t="n">
        <v>46023</v>
      </c>
      <c r="G644" s="7" t="n">
        <v>85</v>
      </c>
      <c r="H644" s="7" t="n">
        <v>100</v>
      </c>
    </row>
    <row r="645" ht="15" customHeight="1" s="5">
      <c r="A645" s="7" t="inlineStr">
        <is>
          <t>Resource 25</t>
        </is>
      </c>
      <c r="B645" s="7" t="inlineStr">
        <is>
          <t>Security</t>
        </is>
      </c>
      <c r="C645" s="7" t="inlineStr">
        <is>
          <t>Architect</t>
        </is>
      </c>
      <c r="D645" s="7" t="inlineStr">
        <is>
          <t>PRJ030</t>
        </is>
      </c>
      <c r="E645" s="7" t="inlineStr">
        <is>
          <t>Service Desk 2</t>
        </is>
      </c>
      <c r="F645" s="8" t="n">
        <v>46054</v>
      </c>
      <c r="G645" s="7" t="n">
        <v>65</v>
      </c>
      <c r="H645" s="7" t="n">
        <v>100</v>
      </c>
    </row>
    <row r="646" ht="15" customHeight="1" s="5">
      <c r="A646" s="7" t="inlineStr">
        <is>
          <t>Resource 25</t>
        </is>
      </c>
      <c r="B646" s="7" t="inlineStr">
        <is>
          <t>Security</t>
        </is>
      </c>
      <c r="C646" s="7" t="inlineStr">
        <is>
          <t>Architect</t>
        </is>
      </c>
      <c r="D646" s="7" t="inlineStr">
        <is>
          <t>PRJ030</t>
        </is>
      </c>
      <c r="E646" s="7" t="inlineStr">
        <is>
          <t>Service Desk 2</t>
        </is>
      </c>
      <c r="F646" s="8" t="n">
        <v>46082</v>
      </c>
      <c r="G646" s="7" t="n">
        <v>75</v>
      </c>
      <c r="H646" s="7" t="n">
        <v>100</v>
      </c>
    </row>
    <row r="647" ht="15" customHeight="1" s="5">
      <c r="A647" s="7" t="inlineStr">
        <is>
          <t>Resource 25</t>
        </is>
      </c>
      <c r="B647" s="7" t="inlineStr">
        <is>
          <t>Security</t>
        </is>
      </c>
      <c r="C647" s="7" t="inlineStr">
        <is>
          <t>Architect</t>
        </is>
      </c>
      <c r="D647" s="7" t="inlineStr">
        <is>
          <t>PRJ030</t>
        </is>
      </c>
      <c r="E647" s="7" t="inlineStr">
        <is>
          <t>Service Desk 2</t>
        </is>
      </c>
      <c r="F647" s="8" t="n">
        <v>46113</v>
      </c>
      <c r="G647" s="7" t="n">
        <v>75</v>
      </c>
      <c r="H647" s="7" t="n">
        <v>100</v>
      </c>
    </row>
    <row r="648" ht="15" customHeight="1" s="5">
      <c r="A648" s="7" t="inlineStr">
        <is>
          <t>Resource 25</t>
        </is>
      </c>
      <c r="B648" s="7" t="inlineStr">
        <is>
          <t>Security</t>
        </is>
      </c>
      <c r="C648" s="7" t="inlineStr">
        <is>
          <t>Architect</t>
        </is>
      </c>
      <c r="D648" s="7" t="inlineStr">
        <is>
          <t>PRJ030</t>
        </is>
      </c>
      <c r="E648" s="7" t="inlineStr">
        <is>
          <t>Service Desk 2</t>
        </is>
      </c>
      <c r="F648" s="8" t="n">
        <v>46143</v>
      </c>
      <c r="G648" s="7" t="n">
        <v>65</v>
      </c>
      <c r="H648" s="7" t="n">
        <v>100</v>
      </c>
    </row>
    <row r="649" ht="15" customHeight="1" s="5">
      <c r="A649" s="7" t="inlineStr">
        <is>
          <t>Resource 25</t>
        </is>
      </c>
      <c r="B649" s="7" t="inlineStr">
        <is>
          <t>Security</t>
        </is>
      </c>
      <c r="C649" s="7" t="inlineStr">
        <is>
          <t>Architect</t>
        </is>
      </c>
      <c r="D649" s="7" t="inlineStr">
        <is>
          <t>PRJ030</t>
        </is>
      </c>
      <c r="E649" s="7" t="inlineStr">
        <is>
          <t>Service Desk 2</t>
        </is>
      </c>
      <c r="F649" s="8" t="n">
        <v>46174</v>
      </c>
      <c r="G649" s="7" t="n">
        <v>65</v>
      </c>
      <c r="H649" s="7" t="n">
        <v>100</v>
      </c>
    </row>
    <row r="650" ht="15" customHeight="1" s="5">
      <c r="A650" s="7" t="inlineStr">
        <is>
          <t>Resource 25</t>
        </is>
      </c>
      <c r="B650" s="7" t="inlineStr">
        <is>
          <t>Security</t>
        </is>
      </c>
      <c r="C650" s="7" t="inlineStr">
        <is>
          <t>Architect</t>
        </is>
      </c>
      <c r="D650" s="7" t="inlineStr">
        <is>
          <t>PRJ030</t>
        </is>
      </c>
      <c r="E650" s="7" t="inlineStr">
        <is>
          <t>Service Desk 2</t>
        </is>
      </c>
      <c r="F650" s="8" t="n">
        <v>46204</v>
      </c>
      <c r="G650" s="7" t="n">
        <v>65</v>
      </c>
      <c r="H650" s="7" t="n">
        <v>100</v>
      </c>
    </row>
    <row r="651" ht="15" customHeight="1" s="5">
      <c r="A651" s="7" t="inlineStr">
        <is>
          <t>Resource 25</t>
        </is>
      </c>
      <c r="B651" s="7" t="inlineStr">
        <is>
          <t>Security</t>
        </is>
      </c>
      <c r="C651" s="7" t="inlineStr">
        <is>
          <t>Architect</t>
        </is>
      </c>
      <c r="D651" s="7" t="inlineStr">
        <is>
          <t>PRJ030</t>
        </is>
      </c>
      <c r="E651" s="7" t="inlineStr">
        <is>
          <t>Service Desk 2</t>
        </is>
      </c>
      <c r="F651" s="8" t="n">
        <v>46235</v>
      </c>
      <c r="G651" s="7" t="n">
        <v>90</v>
      </c>
      <c r="H651" s="7" t="n">
        <v>100</v>
      </c>
    </row>
    <row r="652" ht="15" customHeight="1" s="5">
      <c r="A652" s="7" t="inlineStr">
        <is>
          <t>Resource 25</t>
        </is>
      </c>
      <c r="B652" s="7" t="inlineStr">
        <is>
          <t>Security</t>
        </is>
      </c>
      <c r="C652" s="7" t="inlineStr">
        <is>
          <t>Architect</t>
        </is>
      </c>
      <c r="D652" s="7" t="inlineStr">
        <is>
          <t>PRJ030</t>
        </is>
      </c>
      <c r="E652" s="7" t="inlineStr">
        <is>
          <t>Service Desk 2</t>
        </is>
      </c>
      <c r="F652" s="8" t="n">
        <v>46266</v>
      </c>
      <c r="G652" s="7" t="n">
        <v>90</v>
      </c>
      <c r="H652" s="7" t="n">
        <v>100</v>
      </c>
    </row>
    <row r="653" ht="15" customHeight="1" s="5">
      <c r="A653" s="7" t="inlineStr">
        <is>
          <t>Resource 25</t>
        </is>
      </c>
      <c r="B653" s="7" t="inlineStr">
        <is>
          <t>Security</t>
        </is>
      </c>
      <c r="C653" s="7" t="inlineStr">
        <is>
          <t>Architect</t>
        </is>
      </c>
      <c r="D653" s="7" t="inlineStr">
        <is>
          <t>PRJ030</t>
        </is>
      </c>
      <c r="E653" s="7" t="inlineStr">
        <is>
          <t>Service Desk 2</t>
        </is>
      </c>
      <c r="F653" s="8" t="n">
        <v>46296</v>
      </c>
      <c r="G653" s="7" t="n">
        <v>75</v>
      </c>
      <c r="H653" s="7" t="n">
        <v>100</v>
      </c>
    </row>
    <row r="654" ht="15" customHeight="1" s="5">
      <c r="A654" s="7" t="inlineStr">
        <is>
          <t>Resource 26</t>
        </is>
      </c>
      <c r="B654" s="7" t="inlineStr">
        <is>
          <t>Security</t>
        </is>
      </c>
      <c r="C654" s="7" t="inlineStr">
        <is>
          <t>Analyst</t>
        </is>
      </c>
      <c r="D654" s="7" t="inlineStr">
        <is>
          <t>PRJ005</t>
        </is>
      </c>
      <c r="E654" s="7" t="inlineStr">
        <is>
          <t>Network Refresh</t>
        </is>
      </c>
      <c r="F654" s="8" t="n">
        <v>45839</v>
      </c>
      <c r="G654" s="7" t="n">
        <v>50</v>
      </c>
      <c r="H654" s="7" t="n">
        <v>100</v>
      </c>
    </row>
    <row r="655" ht="15" customHeight="1" s="5">
      <c r="A655" s="7" t="inlineStr">
        <is>
          <t>Resource 26</t>
        </is>
      </c>
      <c r="B655" s="7" t="inlineStr">
        <is>
          <t>Security</t>
        </is>
      </c>
      <c r="C655" s="7" t="inlineStr">
        <is>
          <t>Analyst</t>
        </is>
      </c>
      <c r="D655" s="7" t="inlineStr">
        <is>
          <t>PRJ005</t>
        </is>
      </c>
      <c r="E655" s="7" t="inlineStr">
        <is>
          <t>Network Refresh</t>
        </is>
      </c>
      <c r="F655" s="8" t="n">
        <v>45870</v>
      </c>
      <c r="G655" s="7" t="n">
        <v>50</v>
      </c>
      <c r="H655" s="7" t="n">
        <v>100</v>
      </c>
    </row>
    <row r="656" ht="15" customHeight="1" s="5">
      <c r="A656" s="7" t="inlineStr">
        <is>
          <t>Resource 26</t>
        </is>
      </c>
      <c r="B656" s="7" t="inlineStr">
        <is>
          <t>Security</t>
        </is>
      </c>
      <c r="C656" s="7" t="inlineStr">
        <is>
          <t>Analyst</t>
        </is>
      </c>
      <c r="D656" s="7" t="inlineStr">
        <is>
          <t>PRJ005</t>
        </is>
      </c>
      <c r="E656" s="7" t="inlineStr">
        <is>
          <t>Network Refresh</t>
        </is>
      </c>
      <c r="F656" s="8" t="n">
        <v>45901</v>
      </c>
      <c r="G656" s="7" t="n">
        <v>50</v>
      </c>
      <c r="H656" s="7" t="n">
        <v>100</v>
      </c>
    </row>
    <row r="657" ht="15" customHeight="1" s="5">
      <c r="A657" s="7" t="inlineStr">
        <is>
          <t>Resource 26</t>
        </is>
      </c>
      <c r="B657" s="7" t="inlineStr">
        <is>
          <t>Security</t>
        </is>
      </c>
      <c r="C657" s="7" t="inlineStr">
        <is>
          <t>Analyst</t>
        </is>
      </c>
      <c r="D657" s="7" t="inlineStr">
        <is>
          <t>PRJ005</t>
        </is>
      </c>
      <c r="E657" s="7" t="inlineStr">
        <is>
          <t>Network Refresh</t>
        </is>
      </c>
      <c r="F657" s="8" t="n">
        <v>45931</v>
      </c>
      <c r="G657" s="7" t="n">
        <v>65</v>
      </c>
      <c r="H657" s="7" t="n">
        <v>100</v>
      </c>
    </row>
    <row r="658" ht="15" customHeight="1" s="5">
      <c r="A658" s="7" t="inlineStr">
        <is>
          <t>Resource 26</t>
        </is>
      </c>
      <c r="B658" s="7" t="inlineStr">
        <is>
          <t>Security</t>
        </is>
      </c>
      <c r="C658" s="7" t="inlineStr">
        <is>
          <t>Analyst</t>
        </is>
      </c>
      <c r="D658" s="7" t="inlineStr">
        <is>
          <t>PRJ005</t>
        </is>
      </c>
      <c r="E658" s="7" t="inlineStr">
        <is>
          <t>Network Refresh</t>
        </is>
      </c>
      <c r="F658" s="8" t="n">
        <v>45962</v>
      </c>
      <c r="G658" s="7" t="n">
        <v>40</v>
      </c>
      <c r="H658" s="7" t="n">
        <v>100</v>
      </c>
    </row>
    <row r="659" ht="15" customHeight="1" s="5">
      <c r="A659" s="7" t="inlineStr">
        <is>
          <t>Resource 26</t>
        </is>
      </c>
      <c r="B659" s="7" t="inlineStr">
        <is>
          <t>Security</t>
        </is>
      </c>
      <c r="C659" s="7" t="inlineStr">
        <is>
          <t>Analyst</t>
        </is>
      </c>
      <c r="D659" s="7" t="inlineStr">
        <is>
          <t>PRJ005</t>
        </is>
      </c>
      <c r="E659" s="7" t="inlineStr">
        <is>
          <t>Network Refresh</t>
        </is>
      </c>
      <c r="F659" s="8" t="n">
        <v>45992</v>
      </c>
      <c r="G659" s="7" t="n">
        <v>50</v>
      </c>
      <c r="H659" s="7" t="n">
        <v>100</v>
      </c>
    </row>
    <row r="660" ht="15" customHeight="1" s="5">
      <c r="A660" s="7" t="inlineStr">
        <is>
          <t>Resource 26</t>
        </is>
      </c>
      <c r="B660" s="7" t="inlineStr">
        <is>
          <t>Security</t>
        </is>
      </c>
      <c r="C660" s="7" t="inlineStr">
        <is>
          <t>Analyst</t>
        </is>
      </c>
      <c r="D660" s="7" t="inlineStr">
        <is>
          <t>PRJ005</t>
        </is>
      </c>
      <c r="E660" s="7" t="inlineStr">
        <is>
          <t>Network Refresh</t>
        </is>
      </c>
      <c r="F660" s="8" t="n">
        <v>46023</v>
      </c>
      <c r="G660" s="7" t="n">
        <v>65</v>
      </c>
      <c r="H660" s="7" t="n">
        <v>100</v>
      </c>
    </row>
    <row r="661" ht="15" customHeight="1" s="5">
      <c r="A661" s="7" t="inlineStr">
        <is>
          <t>Resource 26</t>
        </is>
      </c>
      <c r="B661" s="7" t="inlineStr">
        <is>
          <t>Security</t>
        </is>
      </c>
      <c r="C661" s="7" t="inlineStr">
        <is>
          <t>Analyst</t>
        </is>
      </c>
      <c r="D661" s="7" t="inlineStr">
        <is>
          <t>PRJ005</t>
        </is>
      </c>
      <c r="E661" s="7" t="inlineStr">
        <is>
          <t>Network Refresh</t>
        </is>
      </c>
      <c r="F661" s="8" t="n">
        <v>46054</v>
      </c>
      <c r="G661" s="7" t="n">
        <v>60</v>
      </c>
      <c r="H661" s="7" t="n">
        <v>100</v>
      </c>
    </row>
    <row r="662" ht="15" customHeight="1" s="5">
      <c r="A662" s="7" t="inlineStr">
        <is>
          <t>Resource 26</t>
        </is>
      </c>
      <c r="B662" s="7" t="inlineStr">
        <is>
          <t>Security</t>
        </is>
      </c>
      <c r="C662" s="7" t="inlineStr">
        <is>
          <t>Analyst</t>
        </is>
      </c>
      <c r="D662" s="7" t="inlineStr">
        <is>
          <t>PRJ005</t>
        </is>
      </c>
      <c r="E662" s="7" t="inlineStr">
        <is>
          <t>Network Refresh</t>
        </is>
      </c>
      <c r="F662" s="8" t="n">
        <v>46082</v>
      </c>
      <c r="G662" s="7" t="n">
        <v>40</v>
      </c>
      <c r="H662" s="7" t="n">
        <v>100</v>
      </c>
    </row>
    <row r="663" ht="15" customHeight="1" s="5">
      <c r="A663" s="7" t="inlineStr">
        <is>
          <t>Resource 26</t>
        </is>
      </c>
      <c r="B663" s="7" t="inlineStr">
        <is>
          <t>Security</t>
        </is>
      </c>
      <c r="C663" s="7" t="inlineStr">
        <is>
          <t>Analyst</t>
        </is>
      </c>
      <c r="D663" s="7" t="inlineStr">
        <is>
          <t>PRJ005</t>
        </is>
      </c>
      <c r="E663" s="7" t="inlineStr">
        <is>
          <t>Network Refresh</t>
        </is>
      </c>
      <c r="F663" s="8" t="n">
        <v>46113</v>
      </c>
      <c r="G663" s="7" t="n">
        <v>50</v>
      </c>
      <c r="H663" s="7" t="n">
        <v>100</v>
      </c>
    </row>
    <row r="664" ht="15" customHeight="1" s="5">
      <c r="A664" s="7" t="inlineStr">
        <is>
          <t>Resource 26</t>
        </is>
      </c>
      <c r="B664" s="7" t="inlineStr">
        <is>
          <t>Security</t>
        </is>
      </c>
      <c r="C664" s="7" t="inlineStr">
        <is>
          <t>Analyst</t>
        </is>
      </c>
      <c r="D664" s="7" t="inlineStr">
        <is>
          <t>PRJ005</t>
        </is>
      </c>
      <c r="E664" s="7" t="inlineStr">
        <is>
          <t>Network Refresh</t>
        </is>
      </c>
      <c r="F664" s="8" t="n">
        <v>46143</v>
      </c>
      <c r="G664" s="7" t="n">
        <v>40</v>
      </c>
      <c r="H664" s="7" t="n">
        <v>100</v>
      </c>
    </row>
    <row r="665" ht="15" customHeight="1" s="5">
      <c r="A665" s="7" t="inlineStr">
        <is>
          <t>Resource 26</t>
        </is>
      </c>
      <c r="B665" s="7" t="inlineStr">
        <is>
          <t>Security</t>
        </is>
      </c>
      <c r="C665" s="7" t="inlineStr">
        <is>
          <t>Analyst</t>
        </is>
      </c>
      <c r="D665" s="7" t="inlineStr">
        <is>
          <t>PRJ005</t>
        </is>
      </c>
      <c r="E665" s="7" t="inlineStr">
        <is>
          <t>Network Refresh</t>
        </is>
      </c>
      <c r="F665" s="8" t="n">
        <v>46174</v>
      </c>
      <c r="G665" s="7" t="n">
        <v>25</v>
      </c>
      <c r="H665" s="7" t="n">
        <v>100</v>
      </c>
    </row>
    <row r="666" ht="15" customHeight="1" s="5">
      <c r="A666" s="7" t="inlineStr">
        <is>
          <t>Resource 26</t>
        </is>
      </c>
      <c r="B666" s="7" t="inlineStr">
        <is>
          <t>Security</t>
        </is>
      </c>
      <c r="C666" s="7" t="inlineStr">
        <is>
          <t>Analyst</t>
        </is>
      </c>
      <c r="D666" s="7" t="inlineStr">
        <is>
          <t>PRJ005</t>
        </is>
      </c>
      <c r="E666" s="7" t="inlineStr">
        <is>
          <t>Network Refresh</t>
        </is>
      </c>
      <c r="F666" s="8" t="n">
        <v>46204</v>
      </c>
      <c r="G666" s="7" t="n">
        <v>40</v>
      </c>
      <c r="H666" s="7" t="n">
        <v>100</v>
      </c>
    </row>
    <row r="667" ht="15" customHeight="1" s="5">
      <c r="A667" s="7" t="inlineStr">
        <is>
          <t>Resource 26</t>
        </is>
      </c>
      <c r="B667" s="7" t="inlineStr">
        <is>
          <t>Security</t>
        </is>
      </c>
      <c r="C667" s="7" t="inlineStr">
        <is>
          <t>Analyst</t>
        </is>
      </c>
      <c r="D667" s="7" t="inlineStr">
        <is>
          <t>PRJ005</t>
        </is>
      </c>
      <c r="E667" s="7" t="inlineStr">
        <is>
          <t>Network Refresh</t>
        </is>
      </c>
      <c r="F667" s="8" t="n">
        <v>46235</v>
      </c>
      <c r="G667" s="7" t="n">
        <v>40</v>
      </c>
      <c r="H667" s="7" t="n">
        <v>100</v>
      </c>
    </row>
    <row r="668" ht="15" customHeight="1" s="5">
      <c r="A668" s="7" t="inlineStr">
        <is>
          <t>Resource 26</t>
        </is>
      </c>
      <c r="B668" s="7" t="inlineStr">
        <is>
          <t>Security</t>
        </is>
      </c>
      <c r="C668" s="7" t="inlineStr">
        <is>
          <t>Analyst</t>
        </is>
      </c>
      <c r="D668" s="7" t="inlineStr">
        <is>
          <t>PRJ005</t>
        </is>
      </c>
      <c r="E668" s="7" t="inlineStr">
        <is>
          <t>Network Refresh</t>
        </is>
      </c>
      <c r="F668" s="8" t="n">
        <v>46266</v>
      </c>
      <c r="G668" s="7" t="n">
        <v>25</v>
      </c>
      <c r="H668" s="7" t="n">
        <v>100</v>
      </c>
    </row>
    <row r="669" ht="15" customHeight="1" s="5">
      <c r="A669" s="7" t="inlineStr">
        <is>
          <t>Resource 26</t>
        </is>
      </c>
      <c r="B669" s="7" t="inlineStr">
        <is>
          <t>Security</t>
        </is>
      </c>
      <c r="C669" s="7" t="inlineStr">
        <is>
          <t>Analyst</t>
        </is>
      </c>
      <c r="D669" s="7" t="inlineStr">
        <is>
          <t>PRJ005</t>
        </is>
      </c>
      <c r="E669" s="7" t="inlineStr">
        <is>
          <t>Network Refresh</t>
        </is>
      </c>
      <c r="F669" s="8" t="n">
        <v>46296</v>
      </c>
      <c r="G669" s="7" t="n">
        <v>40</v>
      </c>
      <c r="H669" s="7" t="n">
        <v>100</v>
      </c>
    </row>
    <row r="670" ht="15" customHeight="1" s="5">
      <c r="A670" s="7" t="inlineStr">
        <is>
          <t>Resource 26</t>
        </is>
      </c>
      <c r="B670" s="7" t="inlineStr">
        <is>
          <t>Security</t>
        </is>
      </c>
      <c r="C670" s="7" t="inlineStr">
        <is>
          <t>Analyst</t>
        </is>
      </c>
      <c r="D670" s="7" t="inlineStr">
        <is>
          <t>PRJ005</t>
        </is>
      </c>
      <c r="E670" s="7" t="inlineStr">
        <is>
          <t>Network Refresh</t>
        </is>
      </c>
      <c r="F670" s="8" t="n">
        <v>46327</v>
      </c>
      <c r="G670" s="7" t="n">
        <v>50</v>
      </c>
      <c r="H670" s="7" t="n">
        <v>100</v>
      </c>
    </row>
    <row r="671" ht="15" customHeight="1" s="5">
      <c r="A671" s="7" t="inlineStr">
        <is>
          <t>Resource 26</t>
        </is>
      </c>
      <c r="B671" s="7" t="inlineStr">
        <is>
          <t>Security</t>
        </is>
      </c>
      <c r="C671" s="7" t="inlineStr">
        <is>
          <t>Analyst</t>
        </is>
      </c>
      <c r="D671" s="7" t="inlineStr">
        <is>
          <t>PRJ005</t>
        </is>
      </c>
      <c r="E671" s="7" t="inlineStr">
        <is>
          <t>Network Refresh</t>
        </is>
      </c>
      <c r="F671" s="8" t="n">
        <v>46357</v>
      </c>
      <c r="G671" s="7" t="n">
        <v>50</v>
      </c>
      <c r="H671" s="7" t="n">
        <v>100</v>
      </c>
    </row>
    <row r="672" ht="15" customHeight="1" s="5">
      <c r="A672" s="7" t="inlineStr">
        <is>
          <t>Resource 26</t>
        </is>
      </c>
      <c r="B672" s="7" t="inlineStr">
        <is>
          <t>Security</t>
        </is>
      </c>
      <c r="C672" s="7" t="inlineStr">
        <is>
          <t>Analyst</t>
        </is>
      </c>
      <c r="D672" s="7" t="inlineStr">
        <is>
          <t>PRJ005</t>
        </is>
      </c>
      <c r="E672" s="7" t="inlineStr">
        <is>
          <t>Network Refresh</t>
        </is>
      </c>
      <c r="F672" s="8" t="n">
        <v>46388</v>
      </c>
      <c r="G672" s="7" t="n">
        <v>50</v>
      </c>
      <c r="H672" s="7" t="n">
        <v>100</v>
      </c>
    </row>
    <row r="673" ht="15" customHeight="1" s="5">
      <c r="A673" s="7" t="inlineStr">
        <is>
          <t>Resource 26</t>
        </is>
      </c>
      <c r="B673" s="7" t="inlineStr">
        <is>
          <t>Security</t>
        </is>
      </c>
      <c r="C673" s="7" t="inlineStr">
        <is>
          <t>Analyst</t>
        </is>
      </c>
      <c r="D673" s="7" t="inlineStr">
        <is>
          <t>PRJ036</t>
        </is>
      </c>
      <c r="E673" s="7" t="inlineStr">
        <is>
          <t>HR Self-Service</t>
        </is>
      </c>
      <c r="F673" s="8" t="n">
        <v>45778</v>
      </c>
      <c r="G673" s="7" t="n">
        <v>100</v>
      </c>
      <c r="H673" s="7" t="n">
        <v>100</v>
      </c>
    </row>
    <row r="674" ht="15" customHeight="1" s="5">
      <c r="A674" s="7" t="inlineStr">
        <is>
          <t>Resource 26</t>
        </is>
      </c>
      <c r="B674" s="7" t="inlineStr">
        <is>
          <t>Security</t>
        </is>
      </c>
      <c r="C674" s="7" t="inlineStr">
        <is>
          <t>Analyst</t>
        </is>
      </c>
      <c r="D674" s="7" t="inlineStr">
        <is>
          <t>PRJ036</t>
        </is>
      </c>
      <c r="E674" s="7" t="inlineStr">
        <is>
          <t>HR Self-Service</t>
        </is>
      </c>
      <c r="F674" s="8" t="n">
        <v>45809</v>
      </c>
      <c r="G674" s="7" t="n">
        <v>100</v>
      </c>
      <c r="H674" s="7" t="n">
        <v>100</v>
      </c>
    </row>
    <row r="675" ht="15" customHeight="1" s="5">
      <c r="A675" s="7" t="inlineStr">
        <is>
          <t>Resource 26</t>
        </is>
      </c>
      <c r="B675" s="7" t="inlineStr">
        <is>
          <t>Security</t>
        </is>
      </c>
      <c r="C675" s="7" t="inlineStr">
        <is>
          <t>Analyst</t>
        </is>
      </c>
      <c r="D675" s="7" t="inlineStr">
        <is>
          <t>PRJ036</t>
        </is>
      </c>
      <c r="E675" s="7" t="inlineStr">
        <is>
          <t>HR Self-Service</t>
        </is>
      </c>
      <c r="F675" s="8" t="n">
        <v>45839</v>
      </c>
      <c r="G675" s="7" t="n">
        <v>75</v>
      </c>
      <c r="H675" s="7" t="n">
        <v>100</v>
      </c>
    </row>
    <row r="676" ht="15" customHeight="1" s="5">
      <c r="A676" s="7" t="inlineStr">
        <is>
          <t>Resource 26</t>
        </is>
      </c>
      <c r="B676" s="7" t="inlineStr">
        <is>
          <t>Security</t>
        </is>
      </c>
      <c r="C676" s="7" t="inlineStr">
        <is>
          <t>Analyst</t>
        </is>
      </c>
      <c r="D676" s="7" t="inlineStr">
        <is>
          <t>PRJ036</t>
        </is>
      </c>
      <c r="E676" s="7" t="inlineStr">
        <is>
          <t>HR Self-Service</t>
        </is>
      </c>
      <c r="F676" s="8" t="n">
        <v>45870</v>
      </c>
      <c r="G676" s="7" t="n">
        <v>90</v>
      </c>
      <c r="H676" s="7" t="n">
        <v>100</v>
      </c>
    </row>
    <row r="677" ht="15" customHeight="1" s="5">
      <c r="A677" s="7" t="inlineStr">
        <is>
          <t>Resource 26</t>
        </is>
      </c>
      <c r="B677" s="7" t="inlineStr">
        <is>
          <t>Security</t>
        </is>
      </c>
      <c r="C677" s="7" t="inlineStr">
        <is>
          <t>Analyst</t>
        </is>
      </c>
      <c r="D677" s="7" t="inlineStr">
        <is>
          <t>PRJ036</t>
        </is>
      </c>
      <c r="E677" s="7" t="inlineStr">
        <is>
          <t>HR Self-Service</t>
        </is>
      </c>
      <c r="F677" s="8" t="n">
        <v>45901</v>
      </c>
      <c r="G677" s="7" t="n">
        <v>90</v>
      </c>
      <c r="H677" s="7" t="n">
        <v>100</v>
      </c>
    </row>
    <row r="678" ht="15" customHeight="1" s="5">
      <c r="A678" s="7" t="inlineStr">
        <is>
          <t>Resource 26</t>
        </is>
      </c>
      <c r="B678" s="7" t="inlineStr">
        <is>
          <t>Security</t>
        </is>
      </c>
      <c r="C678" s="7" t="inlineStr">
        <is>
          <t>Analyst</t>
        </is>
      </c>
      <c r="D678" s="7" t="inlineStr">
        <is>
          <t>PRJ036</t>
        </is>
      </c>
      <c r="E678" s="7" t="inlineStr">
        <is>
          <t>HR Self-Service</t>
        </is>
      </c>
      <c r="F678" s="8" t="n">
        <v>45931</v>
      </c>
      <c r="G678" s="7" t="n">
        <v>100</v>
      </c>
      <c r="H678" s="7" t="n">
        <v>100</v>
      </c>
    </row>
    <row r="679" ht="15" customHeight="1" s="5">
      <c r="A679" s="7" t="inlineStr">
        <is>
          <t>Resource 26</t>
        </is>
      </c>
      <c r="B679" s="7" t="inlineStr">
        <is>
          <t>Security</t>
        </is>
      </c>
      <c r="C679" s="7" t="inlineStr">
        <is>
          <t>Analyst</t>
        </is>
      </c>
      <c r="D679" s="7" t="inlineStr">
        <is>
          <t>PRJ036</t>
        </is>
      </c>
      <c r="E679" s="7" t="inlineStr">
        <is>
          <t>HR Self-Service</t>
        </is>
      </c>
      <c r="F679" s="8" t="n">
        <v>45962</v>
      </c>
      <c r="G679" s="7" t="n">
        <v>90</v>
      </c>
      <c r="H679" s="7" t="n">
        <v>100</v>
      </c>
    </row>
    <row r="680" ht="15" customHeight="1" s="5">
      <c r="A680" s="7" t="inlineStr">
        <is>
          <t>Resource 26</t>
        </is>
      </c>
      <c r="B680" s="7" t="inlineStr">
        <is>
          <t>Security</t>
        </is>
      </c>
      <c r="C680" s="7" t="inlineStr">
        <is>
          <t>Analyst</t>
        </is>
      </c>
      <c r="D680" s="7" t="inlineStr">
        <is>
          <t>PRJ036</t>
        </is>
      </c>
      <c r="E680" s="7" t="inlineStr">
        <is>
          <t>HR Self-Service</t>
        </is>
      </c>
      <c r="F680" s="8" t="n">
        <v>45992</v>
      </c>
      <c r="G680" s="7" t="n">
        <v>75</v>
      </c>
      <c r="H680" s="7" t="n">
        <v>100</v>
      </c>
    </row>
    <row r="681" ht="15" customHeight="1" s="5">
      <c r="A681" s="7" t="inlineStr">
        <is>
          <t>Resource 27</t>
        </is>
      </c>
      <c r="B681" s="7" t="inlineStr">
        <is>
          <t>DevOps</t>
        </is>
      </c>
      <c r="C681" s="7" t="inlineStr">
        <is>
          <t>Tester</t>
        </is>
      </c>
      <c r="D681" s="7" t="inlineStr">
        <is>
          <t>PRJ036</t>
        </is>
      </c>
      <c r="E681" s="7" t="inlineStr">
        <is>
          <t>HR Self-Service</t>
        </is>
      </c>
      <c r="F681" s="8" t="n">
        <v>45778</v>
      </c>
      <c r="G681" s="7" t="n">
        <v>65</v>
      </c>
      <c r="H681" s="7" t="n">
        <v>100</v>
      </c>
    </row>
    <row r="682" ht="15" customHeight="1" s="5">
      <c r="A682" s="7" t="inlineStr">
        <is>
          <t>Resource 27</t>
        </is>
      </c>
      <c r="B682" s="7" t="inlineStr">
        <is>
          <t>DevOps</t>
        </is>
      </c>
      <c r="C682" s="7" t="inlineStr">
        <is>
          <t>Tester</t>
        </is>
      </c>
      <c r="D682" s="7" t="inlineStr">
        <is>
          <t>PRJ036</t>
        </is>
      </c>
      <c r="E682" s="7" t="inlineStr">
        <is>
          <t>HR Self-Service</t>
        </is>
      </c>
      <c r="F682" s="8" t="n">
        <v>45809</v>
      </c>
      <c r="G682" s="7" t="n">
        <v>25</v>
      </c>
      <c r="H682" s="7" t="n">
        <v>100</v>
      </c>
    </row>
    <row r="683" ht="15" customHeight="1" s="5">
      <c r="A683" s="7" t="inlineStr">
        <is>
          <t>Resource 27</t>
        </is>
      </c>
      <c r="B683" s="7" t="inlineStr">
        <is>
          <t>DevOps</t>
        </is>
      </c>
      <c r="C683" s="7" t="inlineStr">
        <is>
          <t>Tester</t>
        </is>
      </c>
      <c r="D683" s="7" t="inlineStr">
        <is>
          <t>PRJ036</t>
        </is>
      </c>
      <c r="E683" s="7" t="inlineStr">
        <is>
          <t>HR Self-Service</t>
        </is>
      </c>
      <c r="F683" s="8" t="n">
        <v>45839</v>
      </c>
      <c r="G683" s="7" t="n">
        <v>65</v>
      </c>
      <c r="H683" s="7" t="n">
        <v>100</v>
      </c>
    </row>
    <row r="684" ht="15" customHeight="1" s="5">
      <c r="A684" s="7" t="inlineStr">
        <is>
          <t>Resource 27</t>
        </is>
      </c>
      <c r="B684" s="7" t="inlineStr">
        <is>
          <t>DevOps</t>
        </is>
      </c>
      <c r="C684" s="7" t="inlineStr">
        <is>
          <t>Tester</t>
        </is>
      </c>
      <c r="D684" s="7" t="inlineStr">
        <is>
          <t>PRJ036</t>
        </is>
      </c>
      <c r="E684" s="7" t="inlineStr">
        <is>
          <t>HR Self-Service</t>
        </is>
      </c>
      <c r="F684" s="8" t="n">
        <v>45870</v>
      </c>
      <c r="G684" s="7" t="n">
        <v>50</v>
      </c>
      <c r="H684" s="7" t="n">
        <v>100</v>
      </c>
    </row>
    <row r="685" ht="15" customHeight="1" s="5">
      <c r="A685" s="7" t="inlineStr">
        <is>
          <t>Resource 27</t>
        </is>
      </c>
      <c r="B685" s="7" t="inlineStr">
        <is>
          <t>DevOps</t>
        </is>
      </c>
      <c r="C685" s="7" t="inlineStr">
        <is>
          <t>Tester</t>
        </is>
      </c>
      <c r="D685" s="7" t="inlineStr">
        <is>
          <t>PRJ036</t>
        </is>
      </c>
      <c r="E685" s="7" t="inlineStr">
        <is>
          <t>HR Self-Service</t>
        </is>
      </c>
      <c r="F685" s="8" t="n">
        <v>45901</v>
      </c>
      <c r="G685" s="7" t="n">
        <v>25</v>
      </c>
      <c r="H685" s="7" t="n">
        <v>100</v>
      </c>
    </row>
    <row r="686" ht="15" customHeight="1" s="5">
      <c r="A686" s="7" t="inlineStr">
        <is>
          <t>Resource 27</t>
        </is>
      </c>
      <c r="B686" s="7" t="inlineStr">
        <is>
          <t>DevOps</t>
        </is>
      </c>
      <c r="C686" s="7" t="inlineStr">
        <is>
          <t>Tester</t>
        </is>
      </c>
      <c r="D686" s="7" t="inlineStr">
        <is>
          <t>PRJ036</t>
        </is>
      </c>
      <c r="E686" s="7" t="inlineStr">
        <is>
          <t>HR Self-Service</t>
        </is>
      </c>
      <c r="F686" s="8" t="n">
        <v>45931</v>
      </c>
      <c r="G686" s="7" t="n">
        <v>25</v>
      </c>
      <c r="H686" s="7" t="n">
        <v>100</v>
      </c>
    </row>
    <row r="687" ht="15" customHeight="1" s="5">
      <c r="A687" s="7" t="inlineStr">
        <is>
          <t>Resource 27</t>
        </is>
      </c>
      <c r="B687" s="7" t="inlineStr">
        <is>
          <t>DevOps</t>
        </is>
      </c>
      <c r="C687" s="7" t="inlineStr">
        <is>
          <t>Tester</t>
        </is>
      </c>
      <c r="D687" s="7" t="inlineStr">
        <is>
          <t>PRJ036</t>
        </is>
      </c>
      <c r="E687" s="7" t="inlineStr">
        <is>
          <t>HR Self-Service</t>
        </is>
      </c>
      <c r="F687" s="8" t="n">
        <v>45962</v>
      </c>
      <c r="G687" s="7" t="n">
        <v>25</v>
      </c>
      <c r="H687" s="7" t="n">
        <v>100</v>
      </c>
    </row>
    <row r="688" ht="15" customHeight="1" s="5">
      <c r="A688" s="7" t="inlineStr">
        <is>
          <t>Resource 27</t>
        </is>
      </c>
      <c r="B688" s="7" t="inlineStr">
        <is>
          <t>DevOps</t>
        </is>
      </c>
      <c r="C688" s="7" t="inlineStr">
        <is>
          <t>Tester</t>
        </is>
      </c>
      <c r="D688" s="7" t="inlineStr">
        <is>
          <t>PRJ036</t>
        </is>
      </c>
      <c r="E688" s="7" t="inlineStr">
        <is>
          <t>HR Self-Service</t>
        </is>
      </c>
      <c r="F688" s="8" t="n">
        <v>45992</v>
      </c>
      <c r="G688" s="7" t="n">
        <v>50</v>
      </c>
      <c r="H688" s="7" t="n">
        <v>100</v>
      </c>
    </row>
    <row r="689" ht="15" customHeight="1" s="5">
      <c r="A689" s="7" t="inlineStr">
        <is>
          <t>Resource 27</t>
        </is>
      </c>
      <c r="B689" s="7" t="inlineStr">
        <is>
          <t>DevOps</t>
        </is>
      </c>
      <c r="C689" s="7" t="inlineStr">
        <is>
          <t>Tester</t>
        </is>
      </c>
      <c r="D689" s="7" t="inlineStr">
        <is>
          <t>PRJ039</t>
        </is>
      </c>
      <c r="E689" s="7" t="inlineStr">
        <is>
          <t>M365 Rollout</t>
        </is>
      </c>
      <c r="F689" s="8" t="n">
        <v>45962</v>
      </c>
      <c r="G689" s="7" t="n">
        <v>50</v>
      </c>
      <c r="H689" s="7" t="n">
        <v>100</v>
      </c>
    </row>
    <row r="690" ht="15" customHeight="1" s="5">
      <c r="A690" s="7" t="inlineStr">
        <is>
          <t>Resource 27</t>
        </is>
      </c>
      <c r="B690" s="7" t="inlineStr">
        <is>
          <t>DevOps</t>
        </is>
      </c>
      <c r="C690" s="7" t="inlineStr">
        <is>
          <t>Tester</t>
        </is>
      </c>
      <c r="D690" s="7" t="inlineStr">
        <is>
          <t>PRJ039</t>
        </is>
      </c>
      <c r="E690" s="7" t="inlineStr">
        <is>
          <t>M365 Rollout</t>
        </is>
      </c>
      <c r="F690" s="8" t="n">
        <v>45992</v>
      </c>
      <c r="G690" s="7" t="n">
        <v>75</v>
      </c>
      <c r="H690" s="7" t="n">
        <v>100</v>
      </c>
    </row>
    <row r="691" ht="15" customHeight="1" s="5">
      <c r="A691" s="7" t="inlineStr">
        <is>
          <t>Resource 27</t>
        </is>
      </c>
      <c r="B691" s="7" t="inlineStr">
        <is>
          <t>DevOps</t>
        </is>
      </c>
      <c r="C691" s="7" t="inlineStr">
        <is>
          <t>Tester</t>
        </is>
      </c>
      <c r="D691" s="7" t="inlineStr">
        <is>
          <t>PRJ039</t>
        </is>
      </c>
      <c r="E691" s="7" t="inlineStr">
        <is>
          <t>M365 Rollout</t>
        </is>
      </c>
      <c r="F691" s="8" t="n">
        <v>46023</v>
      </c>
      <c r="G691" s="7" t="n">
        <v>75</v>
      </c>
      <c r="H691" s="7" t="n">
        <v>100</v>
      </c>
    </row>
    <row r="692" ht="15" customHeight="1" s="5">
      <c r="A692" s="7" t="inlineStr">
        <is>
          <t>Resource 27</t>
        </is>
      </c>
      <c r="B692" s="7" t="inlineStr">
        <is>
          <t>DevOps</t>
        </is>
      </c>
      <c r="C692" s="7" t="inlineStr">
        <is>
          <t>Tester</t>
        </is>
      </c>
      <c r="D692" s="7" t="inlineStr">
        <is>
          <t>PRJ039</t>
        </is>
      </c>
      <c r="E692" s="7" t="inlineStr">
        <is>
          <t>M365 Rollout</t>
        </is>
      </c>
      <c r="F692" s="8" t="n">
        <v>46054</v>
      </c>
      <c r="G692" s="7" t="n">
        <v>90</v>
      </c>
      <c r="H692" s="7" t="n">
        <v>100</v>
      </c>
    </row>
    <row r="693" ht="15" customHeight="1" s="5">
      <c r="A693" s="7" t="inlineStr">
        <is>
          <t>Resource 27</t>
        </is>
      </c>
      <c r="B693" s="7" t="inlineStr">
        <is>
          <t>DevOps</t>
        </is>
      </c>
      <c r="C693" s="7" t="inlineStr">
        <is>
          <t>Tester</t>
        </is>
      </c>
      <c r="D693" s="7" t="inlineStr">
        <is>
          <t>PRJ039</t>
        </is>
      </c>
      <c r="E693" s="7" t="inlineStr">
        <is>
          <t>M365 Rollout</t>
        </is>
      </c>
      <c r="F693" s="8" t="n">
        <v>46082</v>
      </c>
      <c r="G693" s="7" t="n">
        <v>90</v>
      </c>
      <c r="H693" s="7" t="n">
        <v>100</v>
      </c>
    </row>
    <row r="694" ht="15" customHeight="1" s="5">
      <c r="A694" s="7" t="inlineStr">
        <is>
          <t>Resource 27</t>
        </is>
      </c>
      <c r="B694" s="7" t="inlineStr">
        <is>
          <t>DevOps</t>
        </is>
      </c>
      <c r="C694" s="7" t="inlineStr">
        <is>
          <t>Tester</t>
        </is>
      </c>
      <c r="D694" s="7" t="inlineStr">
        <is>
          <t>PRJ006</t>
        </is>
      </c>
      <c r="E694" s="7" t="inlineStr">
        <is>
          <t>Cyber Security Program</t>
        </is>
      </c>
      <c r="F694" s="8" t="n">
        <v>45717</v>
      </c>
      <c r="G694" s="7" t="n">
        <v>100</v>
      </c>
      <c r="H694" s="7" t="n">
        <v>100</v>
      </c>
    </row>
    <row r="695" ht="15" customHeight="1" s="5">
      <c r="A695" s="7" t="inlineStr">
        <is>
          <t>Resource 27</t>
        </is>
      </c>
      <c r="B695" s="7" t="inlineStr">
        <is>
          <t>DevOps</t>
        </is>
      </c>
      <c r="C695" s="7" t="inlineStr">
        <is>
          <t>Tester</t>
        </is>
      </c>
      <c r="D695" s="7" t="inlineStr">
        <is>
          <t>PRJ006</t>
        </is>
      </c>
      <c r="E695" s="7" t="inlineStr">
        <is>
          <t>Cyber Security Program</t>
        </is>
      </c>
      <c r="F695" s="8" t="n">
        <v>45748</v>
      </c>
      <c r="G695" s="7" t="n">
        <v>90</v>
      </c>
      <c r="H695" s="7" t="n">
        <v>100</v>
      </c>
    </row>
    <row r="696" ht="15" customHeight="1" s="5">
      <c r="A696" s="7" t="inlineStr">
        <is>
          <t>Resource 27</t>
        </is>
      </c>
      <c r="B696" s="7" t="inlineStr">
        <is>
          <t>DevOps</t>
        </is>
      </c>
      <c r="C696" s="7" t="inlineStr">
        <is>
          <t>Tester</t>
        </is>
      </c>
      <c r="D696" s="7" t="inlineStr">
        <is>
          <t>PRJ006</t>
        </is>
      </c>
      <c r="E696" s="7" t="inlineStr">
        <is>
          <t>Cyber Security Program</t>
        </is>
      </c>
      <c r="F696" s="8" t="n">
        <v>45778</v>
      </c>
      <c r="G696" s="7" t="n">
        <v>90</v>
      </c>
      <c r="H696" s="7" t="n">
        <v>100</v>
      </c>
    </row>
    <row r="697" ht="15" customHeight="1" s="5">
      <c r="A697" s="7" t="inlineStr">
        <is>
          <t>Resource 27</t>
        </is>
      </c>
      <c r="B697" s="7" t="inlineStr">
        <is>
          <t>DevOps</t>
        </is>
      </c>
      <c r="C697" s="7" t="inlineStr">
        <is>
          <t>Tester</t>
        </is>
      </c>
      <c r="D697" s="7" t="inlineStr">
        <is>
          <t>PRJ006</t>
        </is>
      </c>
      <c r="E697" s="7" t="inlineStr">
        <is>
          <t>Cyber Security Program</t>
        </is>
      </c>
      <c r="F697" s="8" t="n">
        <v>45809</v>
      </c>
      <c r="G697" s="7" t="n">
        <v>75</v>
      </c>
      <c r="H697" s="7" t="n">
        <v>100</v>
      </c>
    </row>
    <row r="698" ht="15" customHeight="1" s="5">
      <c r="A698" s="7" t="inlineStr">
        <is>
          <t>Resource 27</t>
        </is>
      </c>
      <c r="B698" s="7" t="inlineStr">
        <is>
          <t>DevOps</t>
        </is>
      </c>
      <c r="C698" s="7" t="inlineStr">
        <is>
          <t>Tester</t>
        </is>
      </c>
      <c r="D698" s="7" t="inlineStr">
        <is>
          <t>PRJ006</t>
        </is>
      </c>
      <c r="E698" s="7" t="inlineStr">
        <is>
          <t>Cyber Security Program</t>
        </is>
      </c>
      <c r="F698" s="8" t="n">
        <v>45839</v>
      </c>
      <c r="G698" s="7" t="n">
        <v>100</v>
      </c>
      <c r="H698" s="7" t="n">
        <v>100</v>
      </c>
    </row>
    <row r="699" ht="15" customHeight="1" s="5">
      <c r="A699" s="7" t="inlineStr">
        <is>
          <t>Resource 27</t>
        </is>
      </c>
      <c r="B699" s="7" t="inlineStr">
        <is>
          <t>DevOps</t>
        </is>
      </c>
      <c r="C699" s="7" t="inlineStr">
        <is>
          <t>Tester</t>
        </is>
      </c>
      <c r="D699" s="7" t="inlineStr">
        <is>
          <t>PRJ006</t>
        </is>
      </c>
      <c r="E699" s="7" t="inlineStr">
        <is>
          <t>Cyber Security Program</t>
        </is>
      </c>
      <c r="F699" s="8" t="n">
        <v>45870</v>
      </c>
      <c r="G699" s="7" t="n">
        <v>100</v>
      </c>
      <c r="H699" s="7" t="n">
        <v>100</v>
      </c>
    </row>
    <row r="700" ht="15" customHeight="1" s="5">
      <c r="A700" s="7" t="inlineStr">
        <is>
          <t>Resource 27</t>
        </is>
      </c>
      <c r="B700" s="7" t="inlineStr">
        <is>
          <t>DevOps</t>
        </is>
      </c>
      <c r="C700" s="7" t="inlineStr">
        <is>
          <t>Tester</t>
        </is>
      </c>
      <c r="D700" s="7" t="inlineStr">
        <is>
          <t>PRJ006</t>
        </is>
      </c>
      <c r="E700" s="7" t="inlineStr">
        <is>
          <t>Cyber Security Program</t>
        </is>
      </c>
      <c r="F700" s="8" t="n">
        <v>45901</v>
      </c>
      <c r="G700" s="7" t="n">
        <v>100</v>
      </c>
      <c r="H700" s="7" t="n">
        <v>100</v>
      </c>
    </row>
    <row r="701" ht="15" customHeight="1" s="5">
      <c r="A701" s="7" t="inlineStr">
        <is>
          <t>Resource 27</t>
        </is>
      </c>
      <c r="B701" s="7" t="inlineStr">
        <is>
          <t>DevOps</t>
        </is>
      </c>
      <c r="C701" s="7" t="inlineStr">
        <is>
          <t>Tester</t>
        </is>
      </c>
      <c r="D701" s="7" t="inlineStr">
        <is>
          <t>PRJ006</t>
        </is>
      </c>
      <c r="E701" s="7" t="inlineStr">
        <is>
          <t>Cyber Security Program</t>
        </is>
      </c>
      <c r="F701" s="8" t="n">
        <v>45931</v>
      </c>
      <c r="G701" s="7" t="n">
        <v>75</v>
      </c>
      <c r="H701" s="7" t="n">
        <v>100</v>
      </c>
    </row>
    <row r="702" ht="15" customHeight="1" s="5">
      <c r="A702" s="7" t="inlineStr">
        <is>
          <t>Resource 27</t>
        </is>
      </c>
      <c r="B702" s="7" t="inlineStr">
        <is>
          <t>DevOps</t>
        </is>
      </c>
      <c r="C702" s="7" t="inlineStr">
        <is>
          <t>Tester</t>
        </is>
      </c>
      <c r="D702" s="7" t="inlineStr">
        <is>
          <t>PRJ006</t>
        </is>
      </c>
      <c r="E702" s="7" t="inlineStr">
        <is>
          <t>Cyber Security Program</t>
        </is>
      </c>
      <c r="F702" s="8" t="n">
        <v>45962</v>
      </c>
      <c r="G702" s="7" t="n">
        <v>100</v>
      </c>
      <c r="H702" s="7" t="n">
        <v>100</v>
      </c>
    </row>
    <row r="703" ht="15" customHeight="1" s="5">
      <c r="A703" s="7" t="inlineStr">
        <is>
          <t>Resource 27</t>
        </is>
      </c>
      <c r="B703" s="7" t="inlineStr">
        <is>
          <t>DevOps</t>
        </is>
      </c>
      <c r="C703" s="7" t="inlineStr">
        <is>
          <t>Tester</t>
        </is>
      </c>
      <c r="D703" s="7" t="inlineStr">
        <is>
          <t>PRJ006</t>
        </is>
      </c>
      <c r="E703" s="7" t="inlineStr">
        <is>
          <t>Cyber Security Program</t>
        </is>
      </c>
      <c r="F703" s="8" t="n">
        <v>45992</v>
      </c>
      <c r="G703" s="7" t="n">
        <v>100</v>
      </c>
      <c r="H703" s="7" t="n">
        <v>100</v>
      </c>
    </row>
    <row r="704" ht="15" customHeight="1" s="5">
      <c r="A704" s="7" t="inlineStr">
        <is>
          <t>Resource 27</t>
        </is>
      </c>
      <c r="B704" s="7" t="inlineStr">
        <is>
          <t>DevOps</t>
        </is>
      </c>
      <c r="C704" s="7" t="inlineStr">
        <is>
          <t>Tester</t>
        </is>
      </c>
      <c r="D704" s="7" t="inlineStr">
        <is>
          <t>PRJ006</t>
        </is>
      </c>
      <c r="E704" s="7" t="inlineStr">
        <is>
          <t>Cyber Security Program</t>
        </is>
      </c>
      <c r="F704" s="8" t="n">
        <v>46023</v>
      </c>
      <c r="G704" s="7" t="n">
        <v>100</v>
      </c>
      <c r="H704" s="7" t="n">
        <v>100</v>
      </c>
    </row>
    <row r="705" ht="15" customHeight="1" s="5">
      <c r="A705" s="7" t="inlineStr">
        <is>
          <t>Resource 27</t>
        </is>
      </c>
      <c r="B705" s="7" t="inlineStr">
        <is>
          <t>DevOps</t>
        </is>
      </c>
      <c r="C705" s="7" t="inlineStr">
        <is>
          <t>Tester</t>
        </is>
      </c>
      <c r="D705" s="7" t="inlineStr">
        <is>
          <t>PRJ006</t>
        </is>
      </c>
      <c r="E705" s="7" t="inlineStr">
        <is>
          <t>Cyber Security Program</t>
        </is>
      </c>
      <c r="F705" s="8" t="n">
        <v>46054</v>
      </c>
      <c r="G705" s="7" t="n">
        <v>100</v>
      </c>
      <c r="H705" s="7" t="n">
        <v>100</v>
      </c>
    </row>
    <row r="706" ht="15" customHeight="1" s="5">
      <c r="A706" s="7" t="inlineStr">
        <is>
          <t>Resource 27</t>
        </is>
      </c>
      <c r="B706" s="7" t="inlineStr">
        <is>
          <t>DevOps</t>
        </is>
      </c>
      <c r="C706" s="7" t="inlineStr">
        <is>
          <t>Tester</t>
        </is>
      </c>
      <c r="D706" s="7" t="inlineStr">
        <is>
          <t>PRJ006</t>
        </is>
      </c>
      <c r="E706" s="7" t="inlineStr">
        <is>
          <t>Cyber Security Program</t>
        </is>
      </c>
      <c r="F706" s="8" t="n">
        <v>46082</v>
      </c>
      <c r="G706" s="7" t="n">
        <v>100</v>
      </c>
      <c r="H706" s="7" t="n">
        <v>100</v>
      </c>
    </row>
    <row r="707" ht="15" customHeight="1" s="5">
      <c r="A707" s="7" t="inlineStr">
        <is>
          <t>Resource 27</t>
        </is>
      </c>
      <c r="B707" s="7" t="inlineStr">
        <is>
          <t>DevOps</t>
        </is>
      </c>
      <c r="C707" s="7" t="inlineStr">
        <is>
          <t>Tester</t>
        </is>
      </c>
      <c r="D707" s="7" t="inlineStr">
        <is>
          <t>PRJ006</t>
        </is>
      </c>
      <c r="E707" s="7" t="inlineStr">
        <is>
          <t>Cyber Security Program</t>
        </is>
      </c>
      <c r="F707" s="8" t="n">
        <v>46113</v>
      </c>
      <c r="G707" s="7" t="n">
        <v>100</v>
      </c>
      <c r="H707" s="7" t="n">
        <v>100</v>
      </c>
    </row>
    <row r="708" ht="15" customHeight="1" s="5">
      <c r="A708" s="7" t="inlineStr">
        <is>
          <t>Resource 27</t>
        </is>
      </c>
      <c r="B708" s="7" t="inlineStr">
        <is>
          <t>DevOps</t>
        </is>
      </c>
      <c r="C708" s="7" t="inlineStr">
        <is>
          <t>Tester</t>
        </is>
      </c>
      <c r="D708" s="7" t="inlineStr">
        <is>
          <t>PRJ006</t>
        </is>
      </c>
      <c r="E708" s="7" t="inlineStr">
        <is>
          <t>Cyber Security Program</t>
        </is>
      </c>
      <c r="F708" s="8" t="n">
        <v>46143</v>
      </c>
      <c r="G708" s="7" t="n">
        <v>75</v>
      </c>
      <c r="H708" s="7" t="n">
        <v>100</v>
      </c>
    </row>
    <row r="709" ht="15" customHeight="1" s="5">
      <c r="A709" s="7" t="inlineStr">
        <is>
          <t>Resource 28</t>
        </is>
      </c>
      <c r="B709" s="7" t="inlineStr">
        <is>
          <t>QA</t>
        </is>
      </c>
      <c r="C709" s="7" t="inlineStr">
        <is>
          <t>Architect</t>
        </is>
      </c>
      <c r="D709" s="7" t="inlineStr">
        <is>
          <t>PRJ021</t>
        </is>
      </c>
      <c r="E709" s="7" t="inlineStr">
        <is>
          <t>Data Warehouse</t>
        </is>
      </c>
      <c r="F709" s="8" t="n">
        <v>45658</v>
      </c>
      <c r="G709" s="7" t="n">
        <v>85</v>
      </c>
      <c r="H709" s="7" t="n">
        <v>100</v>
      </c>
    </row>
    <row r="710" ht="15" customHeight="1" s="5">
      <c r="A710" s="7" t="inlineStr">
        <is>
          <t>Resource 28</t>
        </is>
      </c>
      <c r="B710" s="7" t="inlineStr">
        <is>
          <t>QA</t>
        </is>
      </c>
      <c r="C710" s="7" t="inlineStr">
        <is>
          <t>Architect</t>
        </is>
      </c>
      <c r="D710" s="7" t="inlineStr">
        <is>
          <t>PRJ021</t>
        </is>
      </c>
      <c r="E710" s="7" t="inlineStr">
        <is>
          <t>Data Warehouse</t>
        </is>
      </c>
      <c r="F710" s="8" t="n">
        <v>45689</v>
      </c>
      <c r="G710" s="7" t="n">
        <v>90</v>
      </c>
      <c r="H710" s="7" t="n">
        <v>100</v>
      </c>
    </row>
    <row r="711" ht="15" customHeight="1" s="5">
      <c r="A711" s="7" t="inlineStr">
        <is>
          <t>Resource 28</t>
        </is>
      </c>
      <c r="B711" s="7" t="inlineStr">
        <is>
          <t>QA</t>
        </is>
      </c>
      <c r="C711" s="7" t="inlineStr">
        <is>
          <t>Architect</t>
        </is>
      </c>
      <c r="D711" s="7" t="inlineStr">
        <is>
          <t>PRJ021</t>
        </is>
      </c>
      <c r="E711" s="7" t="inlineStr">
        <is>
          <t>Data Warehouse</t>
        </is>
      </c>
      <c r="F711" s="8" t="n">
        <v>45717</v>
      </c>
      <c r="G711" s="7" t="n">
        <v>75</v>
      </c>
      <c r="H711" s="7" t="n">
        <v>100</v>
      </c>
    </row>
    <row r="712" ht="15" customHeight="1" s="5">
      <c r="A712" s="7" t="inlineStr">
        <is>
          <t>Resource 28</t>
        </is>
      </c>
      <c r="B712" s="7" t="inlineStr">
        <is>
          <t>QA</t>
        </is>
      </c>
      <c r="C712" s="7" t="inlineStr">
        <is>
          <t>Architect</t>
        </is>
      </c>
      <c r="D712" s="7" t="inlineStr">
        <is>
          <t>PRJ021</t>
        </is>
      </c>
      <c r="E712" s="7" t="inlineStr">
        <is>
          <t>Data Warehouse</t>
        </is>
      </c>
      <c r="F712" s="8" t="n">
        <v>45748</v>
      </c>
      <c r="G712" s="7" t="n">
        <v>90</v>
      </c>
      <c r="H712" s="7" t="n">
        <v>100</v>
      </c>
    </row>
    <row r="713" ht="15" customHeight="1" s="5">
      <c r="A713" s="7" t="inlineStr">
        <is>
          <t>Resource 28</t>
        </is>
      </c>
      <c r="B713" s="7" t="inlineStr">
        <is>
          <t>QA</t>
        </is>
      </c>
      <c r="C713" s="7" t="inlineStr">
        <is>
          <t>Architect</t>
        </is>
      </c>
      <c r="D713" s="7" t="inlineStr">
        <is>
          <t>PRJ021</t>
        </is>
      </c>
      <c r="E713" s="7" t="inlineStr">
        <is>
          <t>Data Warehouse</t>
        </is>
      </c>
      <c r="F713" s="8" t="n">
        <v>45778</v>
      </c>
      <c r="G713" s="7" t="n">
        <v>90</v>
      </c>
      <c r="H713" s="7" t="n">
        <v>100</v>
      </c>
    </row>
    <row r="714" ht="15" customHeight="1" s="5">
      <c r="A714" s="7" t="inlineStr">
        <is>
          <t>Resource 28</t>
        </is>
      </c>
      <c r="B714" s="7" t="inlineStr">
        <is>
          <t>QA</t>
        </is>
      </c>
      <c r="C714" s="7" t="inlineStr">
        <is>
          <t>Architect</t>
        </is>
      </c>
      <c r="D714" s="7" t="inlineStr">
        <is>
          <t>PRJ021</t>
        </is>
      </c>
      <c r="E714" s="7" t="inlineStr">
        <is>
          <t>Data Warehouse</t>
        </is>
      </c>
      <c r="F714" s="8" t="n">
        <v>45809</v>
      </c>
      <c r="G714" s="7" t="n">
        <v>65</v>
      </c>
      <c r="H714" s="7" t="n">
        <v>100</v>
      </c>
    </row>
    <row r="715" ht="15" customHeight="1" s="5">
      <c r="A715" s="7" t="inlineStr">
        <is>
          <t>Resource 29</t>
        </is>
      </c>
      <c r="B715" s="7" t="inlineStr">
        <is>
          <t>Security</t>
        </is>
      </c>
      <c r="C715" s="7" t="inlineStr">
        <is>
          <t>Developer</t>
        </is>
      </c>
      <c r="D715" s="7" t="inlineStr">
        <is>
          <t>PRJ007</t>
        </is>
      </c>
      <c r="E715" s="7" t="inlineStr">
        <is>
          <t>CRM Upgrade</t>
        </is>
      </c>
      <c r="F715" s="8" t="n">
        <v>45778</v>
      </c>
      <c r="G715" s="7" t="n">
        <v>40</v>
      </c>
      <c r="H715" s="7" t="n">
        <v>100</v>
      </c>
    </row>
    <row r="716" ht="15" customHeight="1" s="5">
      <c r="A716" s="7" t="inlineStr">
        <is>
          <t>Resource 29</t>
        </is>
      </c>
      <c r="B716" s="7" t="inlineStr">
        <is>
          <t>Security</t>
        </is>
      </c>
      <c r="C716" s="7" t="inlineStr">
        <is>
          <t>Developer</t>
        </is>
      </c>
      <c r="D716" s="7" t="inlineStr">
        <is>
          <t>PRJ007</t>
        </is>
      </c>
      <c r="E716" s="7" t="inlineStr">
        <is>
          <t>CRM Upgrade</t>
        </is>
      </c>
      <c r="F716" s="8" t="n">
        <v>45809</v>
      </c>
      <c r="G716" s="7" t="n">
        <v>50</v>
      </c>
      <c r="H716" s="7" t="n">
        <v>100</v>
      </c>
    </row>
    <row r="717" ht="15" customHeight="1" s="5">
      <c r="A717" s="7" t="inlineStr">
        <is>
          <t>Resource 29</t>
        </is>
      </c>
      <c r="B717" s="7" t="inlineStr">
        <is>
          <t>Security</t>
        </is>
      </c>
      <c r="C717" s="7" t="inlineStr">
        <is>
          <t>Developer</t>
        </is>
      </c>
      <c r="D717" s="7" t="inlineStr">
        <is>
          <t>PRJ007</t>
        </is>
      </c>
      <c r="E717" s="7" t="inlineStr">
        <is>
          <t>CRM Upgrade</t>
        </is>
      </c>
      <c r="F717" s="8" t="n">
        <v>45839</v>
      </c>
      <c r="G717" s="7" t="n">
        <v>50</v>
      </c>
      <c r="H717" s="7" t="n">
        <v>100</v>
      </c>
    </row>
    <row r="718" ht="15" customHeight="1" s="5">
      <c r="A718" s="7" t="inlineStr">
        <is>
          <t>Resource 29</t>
        </is>
      </c>
      <c r="B718" s="7" t="inlineStr">
        <is>
          <t>Security</t>
        </is>
      </c>
      <c r="C718" s="7" t="inlineStr">
        <is>
          <t>Developer</t>
        </is>
      </c>
      <c r="D718" s="7" t="inlineStr">
        <is>
          <t>PRJ007</t>
        </is>
      </c>
      <c r="E718" s="7" t="inlineStr">
        <is>
          <t>CRM Upgrade</t>
        </is>
      </c>
      <c r="F718" s="8" t="n">
        <v>45870</v>
      </c>
      <c r="G718" s="7" t="n">
        <v>50</v>
      </c>
      <c r="H718" s="7" t="n">
        <v>100</v>
      </c>
    </row>
    <row r="719" ht="15" customHeight="1" s="5">
      <c r="A719" s="7" t="inlineStr">
        <is>
          <t>Resource 29</t>
        </is>
      </c>
      <c r="B719" s="7" t="inlineStr">
        <is>
          <t>Security</t>
        </is>
      </c>
      <c r="C719" s="7" t="inlineStr">
        <is>
          <t>Developer</t>
        </is>
      </c>
      <c r="D719" s="7" t="inlineStr">
        <is>
          <t>PRJ007</t>
        </is>
      </c>
      <c r="E719" s="7" t="inlineStr">
        <is>
          <t>CRM Upgrade</t>
        </is>
      </c>
      <c r="F719" s="8" t="n">
        <v>45901</v>
      </c>
      <c r="G719" s="7" t="n">
        <v>50</v>
      </c>
      <c r="H719" s="7" t="n">
        <v>100</v>
      </c>
    </row>
    <row r="720" ht="15" customHeight="1" s="5">
      <c r="A720" s="7" t="inlineStr">
        <is>
          <t>Resource 29</t>
        </is>
      </c>
      <c r="B720" s="7" t="inlineStr">
        <is>
          <t>Security</t>
        </is>
      </c>
      <c r="C720" s="7" t="inlineStr">
        <is>
          <t>Developer</t>
        </is>
      </c>
      <c r="D720" s="7" t="inlineStr">
        <is>
          <t>PRJ007</t>
        </is>
      </c>
      <c r="E720" s="7" t="inlineStr">
        <is>
          <t>CRM Upgrade</t>
        </is>
      </c>
      <c r="F720" s="8" t="n">
        <v>45931</v>
      </c>
      <c r="G720" s="7" t="n">
        <v>60</v>
      </c>
      <c r="H720" s="7" t="n">
        <v>100</v>
      </c>
    </row>
    <row r="721" ht="15" customHeight="1" s="5">
      <c r="A721" s="7" t="inlineStr">
        <is>
          <t>Resource 29</t>
        </is>
      </c>
      <c r="B721" s="7" t="inlineStr">
        <is>
          <t>Security</t>
        </is>
      </c>
      <c r="C721" s="7" t="inlineStr">
        <is>
          <t>Developer</t>
        </is>
      </c>
      <c r="D721" s="7" t="inlineStr">
        <is>
          <t>PRJ007</t>
        </is>
      </c>
      <c r="E721" s="7" t="inlineStr">
        <is>
          <t>CRM Upgrade</t>
        </is>
      </c>
      <c r="F721" s="8" t="n">
        <v>45962</v>
      </c>
      <c r="G721" s="7" t="n">
        <v>25</v>
      </c>
      <c r="H721" s="7" t="n">
        <v>100</v>
      </c>
    </row>
    <row r="722" ht="15" customHeight="1" s="5">
      <c r="A722" s="7" t="inlineStr">
        <is>
          <t>Resource 29</t>
        </is>
      </c>
      <c r="B722" s="7" t="inlineStr">
        <is>
          <t>Security</t>
        </is>
      </c>
      <c r="C722" s="7" t="inlineStr">
        <is>
          <t>Developer</t>
        </is>
      </c>
      <c r="D722" s="7" t="inlineStr">
        <is>
          <t>PRJ007</t>
        </is>
      </c>
      <c r="E722" s="7" t="inlineStr">
        <is>
          <t>CRM Upgrade</t>
        </is>
      </c>
      <c r="F722" s="8" t="n">
        <v>45992</v>
      </c>
      <c r="G722" s="7" t="n">
        <v>50</v>
      </c>
      <c r="H722" s="7" t="n">
        <v>100</v>
      </c>
    </row>
    <row r="723" ht="15" customHeight="1" s="5">
      <c r="A723" s="7" t="inlineStr">
        <is>
          <t>Resource 29</t>
        </is>
      </c>
      <c r="B723" s="7" t="inlineStr">
        <is>
          <t>Security</t>
        </is>
      </c>
      <c r="C723" s="7" t="inlineStr">
        <is>
          <t>Developer</t>
        </is>
      </c>
      <c r="D723" s="7" t="inlineStr">
        <is>
          <t>PRJ007</t>
        </is>
      </c>
      <c r="E723" s="7" t="inlineStr">
        <is>
          <t>CRM Upgrade</t>
        </is>
      </c>
      <c r="F723" s="8" t="n">
        <v>46023</v>
      </c>
      <c r="G723" s="7" t="n">
        <v>60</v>
      </c>
      <c r="H723" s="7" t="n">
        <v>100</v>
      </c>
    </row>
    <row r="724" ht="15" customHeight="1" s="5">
      <c r="A724" s="7" t="inlineStr">
        <is>
          <t>Resource 29</t>
        </is>
      </c>
      <c r="B724" s="7" t="inlineStr">
        <is>
          <t>Security</t>
        </is>
      </c>
      <c r="C724" s="7" t="inlineStr">
        <is>
          <t>Developer</t>
        </is>
      </c>
      <c r="D724" s="7" t="inlineStr">
        <is>
          <t>PRJ007</t>
        </is>
      </c>
      <c r="E724" s="7" t="inlineStr">
        <is>
          <t>CRM Upgrade</t>
        </is>
      </c>
      <c r="F724" s="8" t="n">
        <v>46054</v>
      </c>
      <c r="G724" s="7" t="n">
        <v>50</v>
      </c>
      <c r="H724" s="7" t="n">
        <v>100</v>
      </c>
    </row>
    <row r="725" ht="15" customHeight="1" s="5">
      <c r="A725" s="7" t="inlineStr">
        <is>
          <t>Resource 29</t>
        </is>
      </c>
      <c r="B725" s="7" t="inlineStr">
        <is>
          <t>Security</t>
        </is>
      </c>
      <c r="C725" s="7" t="inlineStr">
        <is>
          <t>Developer</t>
        </is>
      </c>
      <c r="D725" s="7" t="inlineStr">
        <is>
          <t>PRJ007</t>
        </is>
      </c>
      <c r="E725" s="7" t="inlineStr">
        <is>
          <t>CRM Upgrade</t>
        </is>
      </c>
      <c r="F725" s="8" t="n">
        <v>46082</v>
      </c>
      <c r="G725" s="7" t="n">
        <v>65</v>
      </c>
      <c r="H725" s="7" t="n">
        <v>100</v>
      </c>
    </row>
    <row r="726" ht="15" customHeight="1" s="5">
      <c r="A726" s="7" t="inlineStr">
        <is>
          <t>Resource 29</t>
        </is>
      </c>
      <c r="B726" s="7" t="inlineStr">
        <is>
          <t>Security</t>
        </is>
      </c>
      <c r="C726" s="7" t="inlineStr">
        <is>
          <t>Developer</t>
        </is>
      </c>
      <c r="D726" s="7" t="inlineStr">
        <is>
          <t>PRJ007</t>
        </is>
      </c>
      <c r="E726" s="7" t="inlineStr">
        <is>
          <t>CRM Upgrade</t>
        </is>
      </c>
      <c r="F726" s="8" t="n">
        <v>46113</v>
      </c>
      <c r="G726" s="7" t="n">
        <v>25</v>
      </c>
      <c r="H726" s="7" t="n">
        <v>100</v>
      </c>
    </row>
    <row r="727" ht="15" customHeight="1" s="5">
      <c r="A727" s="7" t="inlineStr">
        <is>
          <t>Resource 29</t>
        </is>
      </c>
      <c r="B727" s="7" t="inlineStr">
        <is>
          <t>Security</t>
        </is>
      </c>
      <c r="C727" s="7" t="inlineStr">
        <is>
          <t>Developer</t>
        </is>
      </c>
      <c r="D727" s="7" t="inlineStr">
        <is>
          <t>PRJ007</t>
        </is>
      </c>
      <c r="E727" s="7" t="inlineStr">
        <is>
          <t>CRM Upgrade</t>
        </is>
      </c>
      <c r="F727" s="8" t="n">
        <v>46143</v>
      </c>
      <c r="G727" s="7" t="n">
        <v>50</v>
      </c>
      <c r="H727" s="7" t="n">
        <v>100</v>
      </c>
    </row>
    <row r="728" ht="15" customHeight="1" s="5">
      <c r="A728" s="7" t="inlineStr">
        <is>
          <t>Resource 29</t>
        </is>
      </c>
      <c r="B728" s="7" t="inlineStr">
        <is>
          <t>Security</t>
        </is>
      </c>
      <c r="C728" s="7" t="inlineStr">
        <is>
          <t>Developer</t>
        </is>
      </c>
      <c r="D728" s="7" t="inlineStr">
        <is>
          <t>PRJ007</t>
        </is>
      </c>
      <c r="E728" s="7" t="inlineStr">
        <is>
          <t>CRM Upgrade</t>
        </is>
      </c>
      <c r="F728" s="8" t="n">
        <v>46174</v>
      </c>
      <c r="G728" s="7" t="n">
        <v>60</v>
      </c>
      <c r="H728" s="7" t="n">
        <v>100</v>
      </c>
    </row>
    <row r="729" ht="15" customHeight="1" s="5">
      <c r="A729" s="7" t="inlineStr">
        <is>
          <t>Resource 29</t>
        </is>
      </c>
      <c r="B729" s="7" t="inlineStr">
        <is>
          <t>Security</t>
        </is>
      </c>
      <c r="C729" s="7" t="inlineStr">
        <is>
          <t>Developer</t>
        </is>
      </c>
      <c r="D729" s="7" t="inlineStr">
        <is>
          <t>PRJ007</t>
        </is>
      </c>
      <c r="E729" s="7" t="inlineStr">
        <is>
          <t>CRM Upgrade</t>
        </is>
      </c>
      <c r="F729" s="8" t="n">
        <v>46204</v>
      </c>
      <c r="G729" s="7" t="n">
        <v>50</v>
      </c>
      <c r="H729" s="7" t="n">
        <v>100</v>
      </c>
    </row>
    <row r="730" ht="15" customHeight="1" s="5">
      <c r="A730" s="7" t="inlineStr">
        <is>
          <t>Resource 29</t>
        </is>
      </c>
      <c r="B730" s="7" t="inlineStr">
        <is>
          <t>Security</t>
        </is>
      </c>
      <c r="C730" s="7" t="inlineStr">
        <is>
          <t>Developer</t>
        </is>
      </c>
      <c r="D730" s="7" t="inlineStr">
        <is>
          <t>PRJ007</t>
        </is>
      </c>
      <c r="E730" s="7" t="inlineStr">
        <is>
          <t>CRM Upgrade</t>
        </is>
      </c>
      <c r="F730" s="8" t="n">
        <v>46235</v>
      </c>
      <c r="G730" s="7" t="n">
        <v>50</v>
      </c>
      <c r="H730" s="7" t="n">
        <v>100</v>
      </c>
    </row>
    <row r="731" ht="15" customHeight="1" s="5">
      <c r="A731" s="7" t="inlineStr">
        <is>
          <t>Resource 29</t>
        </is>
      </c>
      <c r="B731" s="7" t="inlineStr">
        <is>
          <t>Security</t>
        </is>
      </c>
      <c r="C731" s="7" t="inlineStr">
        <is>
          <t>Developer</t>
        </is>
      </c>
      <c r="D731" s="7" t="inlineStr">
        <is>
          <t>PRJ007</t>
        </is>
      </c>
      <c r="E731" s="7" t="inlineStr">
        <is>
          <t>CRM Upgrade</t>
        </is>
      </c>
      <c r="F731" s="8" t="n">
        <v>46266</v>
      </c>
      <c r="G731" s="7" t="n">
        <v>65</v>
      </c>
      <c r="H731" s="7" t="n">
        <v>100</v>
      </c>
    </row>
    <row r="732" ht="15" customHeight="1" s="5">
      <c r="A732" s="7" t="inlineStr">
        <is>
          <t>Resource 29</t>
        </is>
      </c>
      <c r="B732" s="7" t="inlineStr">
        <is>
          <t>Security</t>
        </is>
      </c>
      <c r="C732" s="7" t="inlineStr">
        <is>
          <t>Developer</t>
        </is>
      </c>
      <c r="D732" s="7" t="inlineStr">
        <is>
          <t>PRJ007</t>
        </is>
      </c>
      <c r="E732" s="7" t="inlineStr">
        <is>
          <t>CRM Upgrade</t>
        </is>
      </c>
      <c r="F732" s="8" t="n">
        <v>46296</v>
      </c>
      <c r="G732" s="7" t="n">
        <v>40</v>
      </c>
      <c r="H732" s="7" t="n">
        <v>100</v>
      </c>
    </row>
    <row r="733" ht="15" customHeight="1" s="5">
      <c r="A733" s="7" t="inlineStr">
        <is>
          <t>Resource 29</t>
        </is>
      </c>
      <c r="B733" s="7" t="inlineStr">
        <is>
          <t>Security</t>
        </is>
      </c>
      <c r="C733" s="7" t="inlineStr">
        <is>
          <t>Developer</t>
        </is>
      </c>
      <c r="D733" s="7" t="inlineStr">
        <is>
          <t>PRJ007</t>
        </is>
      </c>
      <c r="E733" s="7" t="inlineStr">
        <is>
          <t>CRM Upgrade</t>
        </is>
      </c>
      <c r="F733" s="8" t="n">
        <v>46327</v>
      </c>
      <c r="G733" s="7" t="n">
        <v>50</v>
      </c>
      <c r="H733" s="7" t="n">
        <v>100</v>
      </c>
    </row>
    <row r="734" ht="15" customHeight="1" s="5">
      <c r="A734" s="7" t="inlineStr">
        <is>
          <t>Resource 29</t>
        </is>
      </c>
      <c r="B734" s="7" t="inlineStr">
        <is>
          <t>Security</t>
        </is>
      </c>
      <c r="C734" s="7" t="inlineStr">
        <is>
          <t>Developer</t>
        </is>
      </c>
      <c r="D734" s="7" t="inlineStr">
        <is>
          <t>PRJ007</t>
        </is>
      </c>
      <c r="E734" s="7" t="inlineStr">
        <is>
          <t>CRM Upgrade</t>
        </is>
      </c>
      <c r="F734" s="8" t="n">
        <v>46357</v>
      </c>
      <c r="G734" s="7" t="n">
        <v>40</v>
      </c>
      <c r="H734" s="7" t="n">
        <v>100</v>
      </c>
    </row>
    <row r="735" ht="15" customHeight="1" s="5">
      <c r="A735" s="7" t="inlineStr">
        <is>
          <t>Resource 30</t>
        </is>
      </c>
      <c r="B735" s="7" t="inlineStr">
        <is>
          <t>Data</t>
        </is>
      </c>
      <c r="C735" s="7" t="inlineStr">
        <is>
          <t>Analyst</t>
        </is>
      </c>
      <c r="D735" s="7" t="inlineStr">
        <is>
          <t>PRJ024</t>
        </is>
      </c>
      <c r="E735" s="7" t="inlineStr">
        <is>
          <t>Process Mining</t>
        </is>
      </c>
      <c r="F735" s="8" t="n">
        <v>45992</v>
      </c>
      <c r="G735" s="7" t="n">
        <v>50</v>
      </c>
      <c r="H735" s="7" t="n">
        <v>100</v>
      </c>
    </row>
    <row r="736" ht="15" customHeight="1" s="5">
      <c r="A736" s="7" t="inlineStr">
        <is>
          <t>Resource 30</t>
        </is>
      </c>
      <c r="B736" s="7" t="inlineStr">
        <is>
          <t>Data</t>
        </is>
      </c>
      <c r="C736" s="7" t="inlineStr">
        <is>
          <t>Analyst</t>
        </is>
      </c>
      <c r="D736" s="7" t="inlineStr">
        <is>
          <t>PRJ024</t>
        </is>
      </c>
      <c r="E736" s="7" t="inlineStr">
        <is>
          <t>Process Mining</t>
        </is>
      </c>
      <c r="F736" s="8" t="n">
        <v>46023</v>
      </c>
      <c r="G736" s="7" t="n">
        <v>90</v>
      </c>
      <c r="H736" s="7" t="n">
        <v>100</v>
      </c>
    </row>
    <row r="737" ht="15" customHeight="1" s="5">
      <c r="A737" s="7" t="inlineStr">
        <is>
          <t>Resource 30</t>
        </is>
      </c>
      <c r="B737" s="7" t="inlineStr">
        <is>
          <t>Data</t>
        </is>
      </c>
      <c r="C737" s="7" t="inlineStr">
        <is>
          <t>Analyst</t>
        </is>
      </c>
      <c r="D737" s="7" t="inlineStr">
        <is>
          <t>PRJ024</t>
        </is>
      </c>
      <c r="E737" s="7" t="inlineStr">
        <is>
          <t>Process Mining</t>
        </is>
      </c>
      <c r="F737" s="8" t="n">
        <v>46054</v>
      </c>
      <c r="G737" s="7" t="n">
        <v>85</v>
      </c>
      <c r="H737" s="7" t="n">
        <v>100</v>
      </c>
    </row>
    <row r="738" ht="15" customHeight="1" s="5">
      <c r="A738" s="7" t="inlineStr">
        <is>
          <t>Resource 30</t>
        </is>
      </c>
      <c r="B738" s="7" t="inlineStr">
        <is>
          <t>Data</t>
        </is>
      </c>
      <c r="C738" s="7" t="inlineStr">
        <is>
          <t>Analyst</t>
        </is>
      </c>
      <c r="D738" s="7" t="inlineStr">
        <is>
          <t>PRJ024</t>
        </is>
      </c>
      <c r="E738" s="7" t="inlineStr">
        <is>
          <t>Process Mining</t>
        </is>
      </c>
      <c r="F738" s="8" t="n">
        <v>46082</v>
      </c>
      <c r="G738" s="7" t="n">
        <v>50</v>
      </c>
      <c r="H738" s="7" t="n">
        <v>100</v>
      </c>
    </row>
    <row r="739" ht="15" customHeight="1" s="5">
      <c r="A739" s="7" t="inlineStr">
        <is>
          <t>Resource 30</t>
        </is>
      </c>
      <c r="B739" s="7" t="inlineStr">
        <is>
          <t>Data</t>
        </is>
      </c>
      <c r="C739" s="7" t="inlineStr">
        <is>
          <t>Analyst</t>
        </is>
      </c>
      <c r="D739" s="7" t="inlineStr">
        <is>
          <t>PRJ024</t>
        </is>
      </c>
      <c r="E739" s="7" t="inlineStr">
        <is>
          <t>Process Mining</t>
        </is>
      </c>
      <c r="F739" s="8" t="n">
        <v>46113</v>
      </c>
      <c r="G739" s="7" t="n">
        <v>90</v>
      </c>
      <c r="H739" s="7" t="n">
        <v>100</v>
      </c>
    </row>
    <row r="740" ht="15" customHeight="1" s="5">
      <c r="A740" s="7" t="inlineStr">
        <is>
          <t>Resource 30</t>
        </is>
      </c>
      <c r="B740" s="7" t="inlineStr">
        <is>
          <t>Data</t>
        </is>
      </c>
      <c r="C740" s="7" t="inlineStr">
        <is>
          <t>Analyst</t>
        </is>
      </c>
      <c r="D740" s="7" t="inlineStr">
        <is>
          <t>PRJ024</t>
        </is>
      </c>
      <c r="E740" s="7" t="inlineStr">
        <is>
          <t>Process Mining</t>
        </is>
      </c>
      <c r="F740" s="8" t="n">
        <v>46143</v>
      </c>
      <c r="G740" s="7" t="n">
        <v>90</v>
      </c>
      <c r="H740" s="7" t="n">
        <v>100</v>
      </c>
    </row>
    <row r="741" ht="15" customHeight="1" s="5">
      <c r="A741" s="7" t="inlineStr">
        <is>
          <t>Resource 30</t>
        </is>
      </c>
      <c r="B741" s="7" t="inlineStr">
        <is>
          <t>Data</t>
        </is>
      </c>
      <c r="C741" s="7" t="inlineStr">
        <is>
          <t>Analyst</t>
        </is>
      </c>
      <c r="D741" s="7" t="inlineStr">
        <is>
          <t>PRJ024</t>
        </is>
      </c>
      <c r="E741" s="7" t="inlineStr">
        <is>
          <t>Process Mining</t>
        </is>
      </c>
      <c r="F741" s="8" t="n">
        <v>46174</v>
      </c>
      <c r="G741" s="7" t="n">
        <v>50</v>
      </c>
      <c r="H741" s="7" t="n">
        <v>100</v>
      </c>
    </row>
    <row r="742" ht="15" customHeight="1" s="5">
      <c r="A742" s="7" t="inlineStr">
        <is>
          <t>Resource 30</t>
        </is>
      </c>
      <c r="B742" s="7" t="inlineStr">
        <is>
          <t>Data</t>
        </is>
      </c>
      <c r="C742" s="7" t="inlineStr">
        <is>
          <t>Analyst</t>
        </is>
      </c>
      <c r="D742" s="7" t="inlineStr">
        <is>
          <t>PRJ024</t>
        </is>
      </c>
      <c r="E742" s="7" t="inlineStr">
        <is>
          <t>Process Mining</t>
        </is>
      </c>
      <c r="F742" s="8" t="n">
        <v>46204</v>
      </c>
      <c r="G742" s="7" t="n">
        <v>90</v>
      </c>
      <c r="H742" s="7" t="n">
        <v>100</v>
      </c>
    </row>
    <row r="743" ht="15" customHeight="1" s="5">
      <c r="A743" s="7" t="inlineStr">
        <is>
          <t>Resource 30</t>
        </is>
      </c>
      <c r="B743" s="7" t="inlineStr">
        <is>
          <t>Data</t>
        </is>
      </c>
      <c r="C743" s="7" t="inlineStr">
        <is>
          <t>Analyst</t>
        </is>
      </c>
      <c r="D743" s="7" t="inlineStr">
        <is>
          <t>PRJ024</t>
        </is>
      </c>
      <c r="E743" s="7" t="inlineStr">
        <is>
          <t>Process Mining</t>
        </is>
      </c>
      <c r="F743" s="8" t="n">
        <v>46235</v>
      </c>
      <c r="G743" s="7" t="n">
        <v>90</v>
      </c>
      <c r="H743" s="7" t="n">
        <v>100</v>
      </c>
    </row>
    <row r="744" ht="15" customHeight="1" s="5">
      <c r="A744" s="7" t="inlineStr">
        <is>
          <t>Resource 30</t>
        </is>
      </c>
      <c r="B744" s="7" t="inlineStr">
        <is>
          <t>Data</t>
        </is>
      </c>
      <c r="C744" s="7" t="inlineStr">
        <is>
          <t>Analyst</t>
        </is>
      </c>
      <c r="D744" s="7" t="inlineStr">
        <is>
          <t>PRJ024</t>
        </is>
      </c>
      <c r="E744" s="7" t="inlineStr">
        <is>
          <t>Process Mining</t>
        </is>
      </c>
      <c r="F744" s="8" t="n">
        <v>46266</v>
      </c>
      <c r="G744" s="7" t="n">
        <v>65</v>
      </c>
      <c r="H744" s="7" t="n">
        <v>100</v>
      </c>
    </row>
    <row r="745" ht="15" customHeight="1" s="5">
      <c r="A745" s="7" t="inlineStr">
        <is>
          <t>Resource 30</t>
        </is>
      </c>
      <c r="B745" s="7" t="inlineStr">
        <is>
          <t>Data</t>
        </is>
      </c>
      <c r="C745" s="7" t="inlineStr">
        <is>
          <t>Analyst</t>
        </is>
      </c>
      <c r="D745" s="7" t="inlineStr">
        <is>
          <t>PRJ024</t>
        </is>
      </c>
      <c r="E745" s="7" t="inlineStr">
        <is>
          <t>Process Mining</t>
        </is>
      </c>
      <c r="F745" s="8" t="n">
        <v>46296</v>
      </c>
      <c r="G745" s="7" t="n">
        <v>75</v>
      </c>
      <c r="H745" s="7" t="n">
        <v>100</v>
      </c>
    </row>
    <row r="746" ht="15" customHeight="1" s="5">
      <c r="A746" s="7" t="inlineStr">
        <is>
          <t>Resource 30</t>
        </is>
      </c>
      <c r="B746" s="7" t="inlineStr">
        <is>
          <t>Data</t>
        </is>
      </c>
      <c r="C746" s="7" t="inlineStr">
        <is>
          <t>Analyst</t>
        </is>
      </c>
      <c r="D746" s="7" t="inlineStr">
        <is>
          <t>PRJ024</t>
        </is>
      </c>
      <c r="E746" s="7" t="inlineStr">
        <is>
          <t>Process Mining</t>
        </is>
      </c>
      <c r="F746" s="8" t="n">
        <v>46327</v>
      </c>
      <c r="G746" s="7" t="n">
        <v>85</v>
      </c>
      <c r="H746" s="7" t="n">
        <v>100</v>
      </c>
    </row>
    <row r="747" ht="15" customHeight="1" s="5">
      <c r="A747" s="7" t="inlineStr">
        <is>
          <t>Resource 30</t>
        </is>
      </c>
      <c r="B747" s="7" t="inlineStr">
        <is>
          <t>Data</t>
        </is>
      </c>
      <c r="C747" s="7" t="inlineStr">
        <is>
          <t>Analyst</t>
        </is>
      </c>
      <c r="D747" s="7" t="inlineStr">
        <is>
          <t>PRJ024</t>
        </is>
      </c>
      <c r="E747" s="7" t="inlineStr">
        <is>
          <t>Process Mining</t>
        </is>
      </c>
      <c r="F747" s="8" t="n">
        <v>46357</v>
      </c>
      <c r="G747" s="7" t="n">
        <v>75</v>
      </c>
      <c r="H747" s="7" t="n">
        <v>100</v>
      </c>
    </row>
    <row r="748" ht="15" customHeight="1" s="5">
      <c r="A748" s="7" t="inlineStr">
        <is>
          <t>Resource 30</t>
        </is>
      </c>
      <c r="B748" s="7" t="inlineStr">
        <is>
          <t>Data</t>
        </is>
      </c>
      <c r="C748" s="7" t="inlineStr">
        <is>
          <t>Analyst</t>
        </is>
      </c>
      <c r="D748" s="7" t="inlineStr">
        <is>
          <t>PRJ024</t>
        </is>
      </c>
      <c r="E748" s="7" t="inlineStr">
        <is>
          <t>Process Mining</t>
        </is>
      </c>
      <c r="F748" s="8" t="n">
        <v>46388</v>
      </c>
      <c r="G748" s="7" t="n">
        <v>75</v>
      </c>
      <c r="H748" s="7" t="n">
        <v>100</v>
      </c>
    </row>
    <row r="749" ht="15" customHeight="1" s="5">
      <c r="A749" s="7" t="inlineStr">
        <is>
          <t>Resource 30</t>
        </is>
      </c>
      <c r="B749" s="7" t="inlineStr">
        <is>
          <t>Data</t>
        </is>
      </c>
      <c r="C749" s="7" t="inlineStr">
        <is>
          <t>Analyst</t>
        </is>
      </c>
      <c r="D749" s="7" t="inlineStr">
        <is>
          <t>PRJ024</t>
        </is>
      </c>
      <c r="E749" s="7" t="inlineStr">
        <is>
          <t>Process Mining</t>
        </is>
      </c>
      <c r="F749" s="8" t="n">
        <v>45992</v>
      </c>
      <c r="G749" s="7" t="n">
        <v>35</v>
      </c>
      <c r="H749" s="7" t="n">
        <v>100</v>
      </c>
    </row>
    <row r="750" ht="15" customHeight="1" s="5">
      <c r="A750" s="7" t="inlineStr">
        <is>
          <t>Resource 30</t>
        </is>
      </c>
      <c r="B750" s="7" t="inlineStr">
        <is>
          <t>Data</t>
        </is>
      </c>
      <c r="C750" s="7" t="inlineStr">
        <is>
          <t>Analyst</t>
        </is>
      </c>
      <c r="D750" s="7" t="inlineStr">
        <is>
          <t>PRJ024</t>
        </is>
      </c>
      <c r="E750" s="7" t="inlineStr">
        <is>
          <t>Process Mining</t>
        </is>
      </c>
      <c r="F750" s="8" t="n">
        <v>46023</v>
      </c>
      <c r="G750" s="7" t="n">
        <v>15</v>
      </c>
      <c r="H750" s="7" t="n">
        <v>100</v>
      </c>
    </row>
    <row r="751" ht="15" customHeight="1" s="5">
      <c r="A751" s="7" t="inlineStr">
        <is>
          <t>Resource 30</t>
        </is>
      </c>
      <c r="B751" s="7" t="inlineStr">
        <is>
          <t>Data</t>
        </is>
      </c>
      <c r="C751" s="7" t="inlineStr">
        <is>
          <t>Analyst</t>
        </is>
      </c>
      <c r="D751" s="7" t="inlineStr">
        <is>
          <t>PRJ024</t>
        </is>
      </c>
      <c r="E751" s="7" t="inlineStr">
        <is>
          <t>Process Mining</t>
        </is>
      </c>
      <c r="F751" s="8" t="n">
        <v>46054</v>
      </c>
      <c r="G751" s="7" t="n">
        <v>25</v>
      </c>
      <c r="H751" s="7" t="n">
        <v>100</v>
      </c>
    </row>
    <row r="752" ht="15" customHeight="1" s="5">
      <c r="A752" s="7" t="inlineStr">
        <is>
          <t>Resource 30</t>
        </is>
      </c>
      <c r="B752" s="7" t="inlineStr">
        <is>
          <t>Data</t>
        </is>
      </c>
      <c r="C752" s="7" t="inlineStr">
        <is>
          <t>Analyst</t>
        </is>
      </c>
      <c r="D752" s="7" t="inlineStr">
        <is>
          <t>PRJ024</t>
        </is>
      </c>
      <c r="E752" s="7" t="inlineStr">
        <is>
          <t>Process Mining</t>
        </is>
      </c>
      <c r="F752" s="8" t="n">
        <v>46082</v>
      </c>
      <c r="G752" s="7" t="n">
        <v>25</v>
      </c>
      <c r="H752" s="7" t="n">
        <v>100</v>
      </c>
    </row>
    <row r="753" ht="15" customHeight="1" s="5">
      <c r="A753" s="7" t="inlineStr">
        <is>
          <t>Resource 30</t>
        </is>
      </c>
      <c r="B753" s="7" t="inlineStr">
        <is>
          <t>Data</t>
        </is>
      </c>
      <c r="C753" s="7" t="inlineStr">
        <is>
          <t>Analyst</t>
        </is>
      </c>
      <c r="D753" s="7" t="inlineStr">
        <is>
          <t>PRJ024</t>
        </is>
      </c>
      <c r="E753" s="7" t="inlineStr">
        <is>
          <t>Process Mining</t>
        </is>
      </c>
      <c r="F753" s="8" t="n">
        <v>46113</v>
      </c>
      <c r="G753" s="7" t="n">
        <v>0</v>
      </c>
      <c r="H753" s="7" t="n">
        <v>100</v>
      </c>
    </row>
    <row r="754" ht="15" customHeight="1" s="5">
      <c r="A754" s="7" t="inlineStr">
        <is>
          <t>Resource 30</t>
        </is>
      </c>
      <c r="B754" s="7" t="inlineStr">
        <is>
          <t>Data</t>
        </is>
      </c>
      <c r="C754" s="7" t="inlineStr">
        <is>
          <t>Analyst</t>
        </is>
      </c>
      <c r="D754" s="7" t="inlineStr">
        <is>
          <t>PRJ024</t>
        </is>
      </c>
      <c r="E754" s="7" t="inlineStr">
        <is>
          <t>Process Mining</t>
        </is>
      </c>
      <c r="F754" s="8" t="n">
        <v>46143</v>
      </c>
      <c r="G754" s="7" t="n">
        <v>25</v>
      </c>
      <c r="H754" s="7" t="n">
        <v>100</v>
      </c>
    </row>
    <row r="755" ht="15" customHeight="1" s="5">
      <c r="A755" s="7" t="inlineStr">
        <is>
          <t>Resource 30</t>
        </is>
      </c>
      <c r="B755" s="7" t="inlineStr">
        <is>
          <t>Data</t>
        </is>
      </c>
      <c r="C755" s="7" t="inlineStr">
        <is>
          <t>Analyst</t>
        </is>
      </c>
      <c r="D755" s="7" t="inlineStr">
        <is>
          <t>PRJ024</t>
        </is>
      </c>
      <c r="E755" s="7" t="inlineStr">
        <is>
          <t>Process Mining</t>
        </is>
      </c>
      <c r="F755" s="8" t="n">
        <v>46174</v>
      </c>
      <c r="G755" s="7" t="n">
        <v>25</v>
      </c>
      <c r="H755" s="7" t="n">
        <v>100</v>
      </c>
    </row>
    <row r="756" ht="15" customHeight="1" s="5">
      <c r="A756" s="7" t="inlineStr">
        <is>
          <t>Resource 30</t>
        </is>
      </c>
      <c r="B756" s="7" t="inlineStr">
        <is>
          <t>Data</t>
        </is>
      </c>
      <c r="C756" s="7" t="inlineStr">
        <is>
          <t>Analyst</t>
        </is>
      </c>
      <c r="D756" s="7" t="inlineStr">
        <is>
          <t>PRJ024</t>
        </is>
      </c>
      <c r="E756" s="7" t="inlineStr">
        <is>
          <t>Process Mining</t>
        </is>
      </c>
      <c r="F756" s="8" t="n">
        <v>46204</v>
      </c>
      <c r="G756" s="7" t="n">
        <v>25</v>
      </c>
      <c r="H756" s="7" t="n">
        <v>100</v>
      </c>
    </row>
    <row r="757" ht="15" customHeight="1" s="5">
      <c r="A757" s="7" t="inlineStr">
        <is>
          <t>Resource 30</t>
        </is>
      </c>
      <c r="B757" s="7" t="inlineStr">
        <is>
          <t>Data</t>
        </is>
      </c>
      <c r="C757" s="7" t="inlineStr">
        <is>
          <t>Analyst</t>
        </is>
      </c>
      <c r="D757" s="7" t="inlineStr">
        <is>
          <t>PRJ024</t>
        </is>
      </c>
      <c r="E757" s="7" t="inlineStr">
        <is>
          <t>Process Mining</t>
        </is>
      </c>
      <c r="F757" s="8" t="n">
        <v>46235</v>
      </c>
      <c r="G757" s="7" t="n">
        <v>0</v>
      </c>
      <c r="H757" s="7" t="n">
        <v>100</v>
      </c>
    </row>
    <row r="758" ht="15" customHeight="1" s="5">
      <c r="A758" s="7" t="inlineStr">
        <is>
          <t>Resource 30</t>
        </is>
      </c>
      <c r="B758" s="7" t="inlineStr">
        <is>
          <t>Data</t>
        </is>
      </c>
      <c r="C758" s="7" t="inlineStr">
        <is>
          <t>Analyst</t>
        </is>
      </c>
      <c r="D758" s="7" t="inlineStr">
        <is>
          <t>PRJ024</t>
        </is>
      </c>
      <c r="E758" s="7" t="inlineStr">
        <is>
          <t>Process Mining</t>
        </is>
      </c>
      <c r="F758" s="8" t="n">
        <v>46266</v>
      </c>
      <c r="G758" s="7" t="n">
        <v>15</v>
      </c>
      <c r="H758" s="7" t="n">
        <v>100</v>
      </c>
    </row>
    <row r="759" ht="15" customHeight="1" s="5">
      <c r="A759" s="7" t="inlineStr">
        <is>
          <t>Resource 30</t>
        </is>
      </c>
      <c r="B759" s="7" t="inlineStr">
        <is>
          <t>Data</t>
        </is>
      </c>
      <c r="C759" s="7" t="inlineStr">
        <is>
          <t>Analyst</t>
        </is>
      </c>
      <c r="D759" s="7" t="inlineStr">
        <is>
          <t>PRJ024</t>
        </is>
      </c>
      <c r="E759" s="7" t="inlineStr">
        <is>
          <t>Process Mining</t>
        </is>
      </c>
      <c r="F759" s="8" t="n">
        <v>46296</v>
      </c>
      <c r="G759" s="7" t="n">
        <v>25</v>
      </c>
      <c r="H759" s="7" t="n">
        <v>100</v>
      </c>
    </row>
    <row r="760" ht="15" customHeight="1" s="5">
      <c r="A760" s="7" t="inlineStr">
        <is>
          <t>Resource 30</t>
        </is>
      </c>
      <c r="B760" s="7" t="inlineStr">
        <is>
          <t>Data</t>
        </is>
      </c>
      <c r="C760" s="7" t="inlineStr">
        <is>
          <t>Analyst</t>
        </is>
      </c>
      <c r="D760" s="7" t="inlineStr">
        <is>
          <t>PRJ024</t>
        </is>
      </c>
      <c r="E760" s="7" t="inlineStr">
        <is>
          <t>Process Mining</t>
        </is>
      </c>
      <c r="F760" s="8" t="n">
        <v>46327</v>
      </c>
      <c r="G760" s="7" t="n">
        <v>15</v>
      </c>
      <c r="H760" s="7" t="n">
        <v>100</v>
      </c>
    </row>
    <row r="761" ht="15" customHeight="1" s="5">
      <c r="A761" s="7" t="inlineStr">
        <is>
          <t>Resource 30</t>
        </is>
      </c>
      <c r="B761" s="7" t="inlineStr">
        <is>
          <t>Data</t>
        </is>
      </c>
      <c r="C761" s="7" t="inlineStr">
        <is>
          <t>Analyst</t>
        </is>
      </c>
      <c r="D761" s="7" t="inlineStr">
        <is>
          <t>PRJ024</t>
        </is>
      </c>
      <c r="E761" s="7" t="inlineStr">
        <is>
          <t>Process Mining</t>
        </is>
      </c>
      <c r="F761" s="8" t="n">
        <v>46357</v>
      </c>
      <c r="G761" s="7" t="n">
        <v>15</v>
      </c>
      <c r="H761" s="7" t="n">
        <v>100</v>
      </c>
    </row>
    <row r="762" ht="15" customHeight="1" s="5">
      <c r="A762" s="7" t="inlineStr">
        <is>
          <t>Resource 30</t>
        </is>
      </c>
      <c r="B762" s="7" t="inlineStr">
        <is>
          <t>Data</t>
        </is>
      </c>
      <c r="C762" s="7" t="inlineStr">
        <is>
          <t>Analyst</t>
        </is>
      </c>
      <c r="D762" s="7" t="inlineStr">
        <is>
          <t>PRJ024</t>
        </is>
      </c>
      <c r="E762" s="7" t="inlineStr">
        <is>
          <t>Process Mining</t>
        </is>
      </c>
      <c r="F762" s="8" t="n">
        <v>46388</v>
      </c>
      <c r="G762" s="7" t="n">
        <v>25</v>
      </c>
      <c r="H762" s="7" t="n">
        <v>100</v>
      </c>
    </row>
    <row r="763" ht="15" customHeight="1" s="5">
      <c r="A763" s="7" t="inlineStr">
        <is>
          <t>Resource 30</t>
        </is>
      </c>
      <c r="B763" s="7" t="inlineStr">
        <is>
          <t>Data</t>
        </is>
      </c>
      <c r="C763" s="7" t="inlineStr">
        <is>
          <t>Analyst</t>
        </is>
      </c>
      <c r="D763" s="7" t="inlineStr">
        <is>
          <t>PRJ021</t>
        </is>
      </c>
      <c r="E763" s="7" t="inlineStr">
        <is>
          <t>Data Warehouse</t>
        </is>
      </c>
      <c r="F763" s="8" t="n">
        <v>45658</v>
      </c>
      <c r="G763" s="7" t="n">
        <v>75</v>
      </c>
      <c r="H763" s="7" t="n">
        <v>100</v>
      </c>
    </row>
    <row r="764" ht="15" customHeight="1" s="5">
      <c r="A764" s="7" t="inlineStr">
        <is>
          <t>Resource 30</t>
        </is>
      </c>
      <c r="B764" s="7" t="inlineStr">
        <is>
          <t>Data</t>
        </is>
      </c>
      <c r="C764" s="7" t="inlineStr">
        <is>
          <t>Analyst</t>
        </is>
      </c>
      <c r="D764" s="7" t="inlineStr">
        <is>
          <t>PRJ021</t>
        </is>
      </c>
      <c r="E764" s="7" t="inlineStr">
        <is>
          <t>Data Warehouse</t>
        </is>
      </c>
      <c r="F764" s="8" t="n">
        <v>45689</v>
      </c>
      <c r="G764" s="7" t="n">
        <v>100</v>
      </c>
      <c r="H764" s="7" t="n">
        <v>100</v>
      </c>
    </row>
    <row r="765" ht="15" customHeight="1" s="5">
      <c r="A765" s="7" t="inlineStr">
        <is>
          <t>Resource 30</t>
        </is>
      </c>
      <c r="B765" s="7" t="inlineStr">
        <is>
          <t>Data</t>
        </is>
      </c>
      <c r="C765" s="7" t="inlineStr">
        <is>
          <t>Analyst</t>
        </is>
      </c>
      <c r="D765" s="7" t="inlineStr">
        <is>
          <t>PRJ021</t>
        </is>
      </c>
      <c r="E765" s="7" t="inlineStr">
        <is>
          <t>Data Warehouse</t>
        </is>
      </c>
      <c r="F765" s="8" t="n">
        <v>45717</v>
      </c>
      <c r="G765" s="7" t="n">
        <v>75</v>
      </c>
      <c r="H765" s="7" t="n">
        <v>100</v>
      </c>
    </row>
    <row r="766" ht="15" customHeight="1" s="5">
      <c r="A766" s="7" t="inlineStr">
        <is>
          <t>Resource 30</t>
        </is>
      </c>
      <c r="B766" s="7" t="inlineStr">
        <is>
          <t>Data</t>
        </is>
      </c>
      <c r="C766" s="7" t="inlineStr">
        <is>
          <t>Analyst</t>
        </is>
      </c>
      <c r="D766" s="7" t="inlineStr">
        <is>
          <t>PRJ021</t>
        </is>
      </c>
      <c r="E766" s="7" t="inlineStr">
        <is>
          <t>Data Warehouse</t>
        </is>
      </c>
      <c r="F766" s="8" t="n">
        <v>45748</v>
      </c>
      <c r="G766" s="7" t="n">
        <v>100</v>
      </c>
      <c r="H766" s="7" t="n">
        <v>100</v>
      </c>
    </row>
    <row r="767" ht="15" customHeight="1" s="5">
      <c r="A767" s="7" t="inlineStr">
        <is>
          <t>Resource 30</t>
        </is>
      </c>
      <c r="B767" s="7" t="inlineStr">
        <is>
          <t>Data</t>
        </is>
      </c>
      <c r="C767" s="7" t="inlineStr">
        <is>
          <t>Analyst</t>
        </is>
      </c>
      <c r="D767" s="7" t="inlineStr">
        <is>
          <t>PRJ021</t>
        </is>
      </c>
      <c r="E767" s="7" t="inlineStr">
        <is>
          <t>Data Warehouse</t>
        </is>
      </c>
      <c r="F767" s="8" t="n">
        <v>45778</v>
      </c>
      <c r="G767" s="7" t="n">
        <v>100</v>
      </c>
      <c r="H767" s="7" t="n">
        <v>100</v>
      </c>
    </row>
    <row r="768" ht="15" customHeight="1" s="5">
      <c r="A768" s="7" t="inlineStr">
        <is>
          <t>Resource 30</t>
        </is>
      </c>
      <c r="B768" s="7" t="inlineStr">
        <is>
          <t>Data</t>
        </is>
      </c>
      <c r="C768" s="7" t="inlineStr">
        <is>
          <t>Analyst</t>
        </is>
      </c>
      <c r="D768" s="7" t="inlineStr">
        <is>
          <t>PRJ021</t>
        </is>
      </c>
      <c r="E768" s="7" t="inlineStr">
        <is>
          <t>Data Warehouse</t>
        </is>
      </c>
      <c r="F768" s="8" t="n">
        <v>45809</v>
      </c>
      <c r="G768" s="7" t="n">
        <v>100</v>
      </c>
      <c r="H768" s="7" t="n">
        <v>100</v>
      </c>
    </row>
    <row r="769" ht="15" customHeight="1" s="5">
      <c r="B769" s="7" t="n"/>
      <c r="C769" s="7" t="n"/>
    </row>
    <row r="770" ht="15" customHeight="1" s="5">
      <c r="B770" s="7" t="n"/>
      <c r="C770" s="7" t="n"/>
    </row>
    <row r="771" ht="15" customHeight="1" s="5">
      <c r="B771" s="7" t="n"/>
      <c r="C771" s="7" t="n"/>
    </row>
    <row r="772" ht="15" customHeight="1" s="5">
      <c r="B772" s="7" t="n"/>
      <c r="C772" s="7" t="n"/>
    </row>
    <row r="773" ht="15" customHeight="1" s="5">
      <c r="B773" s="7" t="n"/>
      <c r="C773" s="7" t="n"/>
    </row>
    <row r="774" ht="15" customHeight="1" s="5">
      <c r="B774" s="7" t="n"/>
      <c r="C774" s="7" t="n"/>
    </row>
    <row r="775" ht="15" customHeight="1" s="5">
      <c r="B775" s="7" t="n"/>
      <c r="C775" s="7" t="n"/>
    </row>
    <row r="776" ht="15" customHeight="1" s="5">
      <c r="B776" s="7" t="n"/>
      <c r="C776" s="7" t="n"/>
    </row>
    <row r="777" ht="15" customHeight="1" s="5">
      <c r="B777" s="7" t="n"/>
      <c r="C777" s="7" t="n"/>
    </row>
    <row r="778" ht="15" customHeight="1" s="5">
      <c r="B778" s="7" t="n"/>
      <c r="C778" s="7" t="n"/>
    </row>
    <row r="779" ht="15" customHeight="1" s="5">
      <c r="B779" s="7" t="n"/>
      <c r="C779" s="7" t="n"/>
    </row>
    <row r="780" ht="15" customHeight="1" s="5">
      <c r="B780" s="7" t="n"/>
      <c r="C780" s="7" t="n"/>
    </row>
    <row r="781" ht="15" customHeight="1" s="5">
      <c r="B781" s="7" t="n"/>
      <c r="C781" s="7" t="n"/>
    </row>
    <row r="782" ht="15" customHeight="1" s="5">
      <c r="B782" s="7" t="n"/>
      <c r="C782" s="7" t="n"/>
    </row>
    <row r="783" ht="15" customHeight="1" s="5">
      <c r="B783" s="7" t="n"/>
      <c r="C783" s="7" t="n"/>
    </row>
    <row r="784" ht="15" customHeight="1" s="5">
      <c r="B784" s="7" t="n"/>
      <c r="C784" s="7" t="n"/>
    </row>
    <row r="785" ht="15" customHeight="1" s="5">
      <c r="B785" s="7" t="n"/>
      <c r="C785" s="7" t="n"/>
    </row>
    <row r="786" ht="15" customHeight="1" s="5">
      <c r="B786" s="7" t="n"/>
      <c r="C786" s="7" t="n"/>
    </row>
    <row r="787" ht="15" customHeight="1" s="5">
      <c r="B787" s="7" t="n"/>
      <c r="C787" s="7" t="n"/>
    </row>
    <row r="788" ht="15" customHeight="1" s="5">
      <c r="B788" s="7" t="n"/>
      <c r="C788" s="7" t="n"/>
    </row>
    <row r="789" ht="15" customHeight="1" s="5">
      <c r="B789" s="7" t="n"/>
      <c r="C789" s="7" t="n"/>
    </row>
    <row r="790" ht="15" customHeight="1" s="5">
      <c r="B790" s="7" t="n"/>
      <c r="C790" s="7" t="n"/>
    </row>
    <row r="791" ht="15" customHeight="1" s="5">
      <c r="B791" s="7" t="n"/>
      <c r="C791" s="7" t="n"/>
    </row>
    <row r="792" ht="15" customHeight="1" s="5">
      <c r="B792" s="7" t="n"/>
      <c r="C792" s="7" t="n"/>
    </row>
    <row r="793" ht="15" customHeight="1" s="5">
      <c r="B793" s="7" t="n"/>
      <c r="C793" s="7" t="n"/>
    </row>
    <row r="794" ht="15" customHeight="1" s="5">
      <c r="B794" s="7" t="n"/>
      <c r="C794" s="7" t="n"/>
    </row>
    <row r="795" ht="15" customHeight="1" s="5">
      <c r="B795" s="7" t="n"/>
      <c r="C795" s="7" t="n"/>
    </row>
    <row r="796" ht="15" customHeight="1" s="5">
      <c r="B796" s="7" t="n"/>
      <c r="C796" s="7" t="n"/>
    </row>
    <row r="797" ht="15" customHeight="1" s="5">
      <c r="B797" s="7" t="n"/>
      <c r="C797" s="7" t="n"/>
    </row>
    <row r="798" ht="15" customHeight="1" s="5">
      <c r="B798" s="7" t="n"/>
      <c r="C798" s="7" t="n"/>
    </row>
    <row r="799" ht="15" customHeight="1" s="5">
      <c r="B799" s="7" t="n"/>
      <c r="C799" s="7" t="n"/>
    </row>
    <row r="800" ht="15" customHeight="1" s="5">
      <c r="B800" s="7" t="n"/>
      <c r="C800" s="7" t="n"/>
    </row>
    <row r="801" ht="15" customHeight="1" s="5">
      <c r="B801" s="7" t="n"/>
      <c r="C801" s="7" t="n"/>
    </row>
    <row r="802" ht="15" customHeight="1" s="5">
      <c r="B802" s="7" t="n"/>
      <c r="C802" s="7" t="n"/>
    </row>
    <row r="803" ht="15" customHeight="1" s="5">
      <c r="B803" s="7" t="n"/>
      <c r="C803" s="7" t="n"/>
    </row>
    <row r="804" ht="15" customHeight="1" s="5">
      <c r="B804" s="7" t="n"/>
      <c r="C804" s="7" t="n"/>
    </row>
    <row r="805" ht="15" customHeight="1" s="5">
      <c r="B805" s="7" t="n"/>
      <c r="C805" s="7" t="n"/>
    </row>
    <row r="806" ht="15" customHeight="1" s="5">
      <c r="B806" s="7" t="n"/>
      <c r="C806" s="7" t="n"/>
    </row>
    <row r="807" ht="15" customHeight="1" s="5">
      <c r="B807" s="7" t="n"/>
      <c r="C807" s="7" t="n"/>
    </row>
    <row r="808" ht="15" customHeight="1" s="5">
      <c r="B808" s="7" t="n"/>
      <c r="C808" s="7" t="n"/>
    </row>
    <row r="809" ht="15" customHeight="1" s="5">
      <c r="B809" s="7" t="n"/>
      <c r="C809" s="7" t="n"/>
    </row>
    <row r="810" ht="15" customHeight="1" s="5">
      <c r="B810" s="7" t="n"/>
      <c r="C810" s="7" t="n"/>
    </row>
    <row r="811" ht="15" customHeight="1" s="5">
      <c r="B811" s="7" t="n"/>
      <c r="C811" s="7" t="n"/>
    </row>
    <row r="812" ht="15" customHeight="1" s="5">
      <c r="B812" s="7" t="n"/>
      <c r="C812" s="7" t="n"/>
    </row>
    <row r="813" ht="15" customHeight="1" s="5">
      <c r="B813" s="7" t="n"/>
      <c r="C813" s="7" t="n"/>
    </row>
    <row r="814" ht="15" customHeight="1" s="5">
      <c r="B814" s="7" t="n"/>
      <c r="C814" s="7" t="n"/>
    </row>
    <row r="815" ht="15" customHeight="1" s="5">
      <c r="B815" s="7" t="n"/>
      <c r="C815" s="7" t="n"/>
    </row>
    <row r="816" ht="15" customHeight="1" s="5">
      <c r="B816" s="7" t="n"/>
      <c r="C816" s="7" t="n"/>
    </row>
    <row r="817" ht="15" customHeight="1" s="5">
      <c r="B817" s="7" t="n"/>
      <c r="C817" s="7" t="n"/>
    </row>
    <row r="818" ht="15" customHeight="1" s="5">
      <c r="B818" s="7" t="n"/>
      <c r="C818" s="7" t="n"/>
    </row>
    <row r="819" ht="15" customHeight="1" s="5">
      <c r="B819" s="7" t="n"/>
      <c r="C819" s="7" t="n"/>
    </row>
    <row r="820" ht="15" customHeight="1" s="5">
      <c r="B820" s="7" t="n"/>
      <c r="C820" s="7" t="n"/>
    </row>
    <row r="821" ht="15" customHeight="1" s="5">
      <c r="B821" s="7" t="n"/>
      <c r="C821" s="7" t="n"/>
    </row>
    <row r="822" ht="15" customHeight="1" s="5">
      <c r="B822" s="7" t="n"/>
      <c r="C822" s="7" t="n"/>
    </row>
    <row r="823" ht="15" customHeight="1" s="5">
      <c r="B823" s="7" t="n"/>
      <c r="C823" s="7" t="n"/>
    </row>
    <row r="824" ht="15" customHeight="1" s="5">
      <c r="B824" s="7" t="n"/>
      <c r="C824" s="7" t="n"/>
    </row>
    <row r="825" ht="15" customHeight="1" s="5">
      <c r="B825" s="7" t="n"/>
      <c r="C825" s="7" t="n"/>
    </row>
    <row r="826" ht="15" customHeight="1" s="5">
      <c r="B826" s="7" t="n"/>
      <c r="C826" s="7" t="n"/>
    </row>
    <row r="827" ht="15" customHeight="1" s="5">
      <c r="B827" s="7" t="n"/>
      <c r="C827" s="7" t="n"/>
    </row>
    <row r="828" ht="15" customHeight="1" s="5">
      <c r="B828" s="7" t="n"/>
      <c r="C828" s="7" t="n"/>
    </row>
    <row r="829" ht="15" customHeight="1" s="5">
      <c r="B829" s="7" t="n"/>
      <c r="C829" s="7" t="n"/>
    </row>
    <row r="830" ht="15" customHeight="1" s="5">
      <c r="B830" s="7" t="n"/>
      <c r="C830" s="7" t="n"/>
    </row>
    <row r="831" ht="15" customHeight="1" s="5">
      <c r="B831" s="7" t="n"/>
      <c r="C831" s="7" t="n"/>
    </row>
    <row r="832" ht="15" customHeight="1" s="5">
      <c r="B832" s="7" t="n"/>
      <c r="C832" s="7" t="n"/>
    </row>
    <row r="833" ht="15" customHeight="1" s="5">
      <c r="B833" s="7" t="n"/>
      <c r="C833" s="7" t="n"/>
    </row>
    <row r="834" ht="15" customHeight="1" s="5">
      <c r="B834" s="7" t="n"/>
      <c r="C834" s="7" t="n"/>
    </row>
    <row r="835" ht="15" customHeight="1" s="5">
      <c r="B835" s="7" t="n"/>
      <c r="C835" s="7" t="n"/>
    </row>
    <row r="836" ht="15" customHeight="1" s="5">
      <c r="B836" s="7" t="n"/>
      <c r="C836" s="7" t="n"/>
    </row>
    <row r="837" ht="15" customHeight="1" s="5">
      <c r="B837" s="7" t="n"/>
      <c r="C837" s="7" t="n"/>
    </row>
    <row r="838" ht="15" customHeight="1" s="5">
      <c r="B838" s="7" t="n"/>
      <c r="C838" s="7" t="n"/>
    </row>
    <row r="839" ht="15" customHeight="1" s="5">
      <c r="B839" s="7" t="n"/>
      <c r="C839" s="7" t="n"/>
    </row>
    <row r="840" ht="15" customHeight="1" s="5">
      <c r="B840" s="7" t="n"/>
      <c r="C840" s="7" t="n"/>
    </row>
    <row r="841" ht="15" customHeight="1" s="5">
      <c r="B841" s="7" t="n"/>
      <c r="C841" s="7" t="n"/>
    </row>
    <row r="842" ht="15" customHeight="1" s="5">
      <c r="B842" s="7" t="n"/>
      <c r="C842" s="7" t="n"/>
    </row>
    <row r="843" ht="15" customHeight="1" s="5">
      <c r="B843" s="7" t="n"/>
      <c r="C843" s="7" t="n"/>
    </row>
    <row r="844" ht="15" customHeight="1" s="5">
      <c r="B844" s="7" t="n"/>
      <c r="C844" s="7" t="n"/>
    </row>
    <row r="845" ht="15" customHeight="1" s="5">
      <c r="B845" s="7" t="n"/>
      <c r="C845" s="7" t="n"/>
    </row>
    <row r="846" ht="15" customHeight="1" s="5">
      <c r="B846" s="7" t="n"/>
      <c r="C846" s="7" t="n"/>
    </row>
    <row r="847" ht="15" customHeight="1" s="5">
      <c r="B847" s="7" t="n"/>
      <c r="C847" s="7" t="n"/>
    </row>
    <row r="848" ht="15" customHeight="1" s="5">
      <c r="B848" s="7" t="n"/>
      <c r="C848" s="7" t="n"/>
    </row>
    <row r="849" ht="15" customHeight="1" s="5">
      <c r="B849" s="7" t="n"/>
      <c r="C849" s="7" t="n"/>
    </row>
    <row r="850" ht="15" customHeight="1" s="5">
      <c r="B850" s="7" t="n"/>
      <c r="C850" s="7" t="n"/>
    </row>
    <row r="851" ht="15" customHeight="1" s="5">
      <c r="B851" s="7" t="n"/>
      <c r="C851" s="7" t="n"/>
    </row>
    <row r="852" ht="15" customHeight="1" s="5">
      <c r="B852" s="7" t="n"/>
      <c r="C852" s="7" t="n"/>
    </row>
    <row r="853" ht="15" customHeight="1" s="5">
      <c r="B853" s="7" t="n"/>
      <c r="C853" s="7" t="n"/>
    </row>
    <row r="854" ht="15" customHeight="1" s="5">
      <c r="B854" s="7" t="n"/>
      <c r="C854" s="7" t="n"/>
    </row>
    <row r="855" ht="15" customHeight="1" s="5">
      <c r="B855" s="7" t="n"/>
      <c r="C855" s="7" t="n"/>
    </row>
    <row r="856" ht="15" customHeight="1" s="5">
      <c r="B856" s="7" t="n"/>
      <c r="C856" s="7" t="n"/>
    </row>
    <row r="857" ht="15" customHeight="1" s="5">
      <c r="B857" s="7" t="n"/>
      <c r="C857" s="7" t="n"/>
    </row>
    <row r="858" ht="15" customHeight="1" s="5">
      <c r="B858" s="7" t="n"/>
      <c r="C858" s="7" t="n"/>
    </row>
    <row r="859" ht="15" customHeight="1" s="5">
      <c r="B859" s="7" t="n"/>
      <c r="C859" s="7" t="n"/>
    </row>
    <row r="860" ht="15" customHeight="1" s="5">
      <c r="B860" s="7" t="n"/>
      <c r="C860" s="7" t="n"/>
    </row>
    <row r="861" ht="15" customHeight="1" s="5">
      <c r="B861" s="7" t="n"/>
      <c r="C861" s="7" t="n"/>
    </row>
    <row r="862" ht="15" customHeight="1" s="5">
      <c r="B862" s="7" t="n"/>
      <c r="C862" s="7" t="n"/>
    </row>
    <row r="863" ht="15" customHeight="1" s="5">
      <c r="B863" s="7" t="n"/>
      <c r="C863" s="7" t="n"/>
    </row>
    <row r="864" ht="15" customHeight="1" s="5">
      <c r="B864" s="7" t="n"/>
      <c r="C864" s="7" t="n"/>
    </row>
    <row r="865" ht="15" customHeight="1" s="5">
      <c r="B865" s="7" t="n"/>
      <c r="C865" s="7" t="n"/>
    </row>
    <row r="866" ht="15" customHeight="1" s="5">
      <c r="B866" s="7" t="n"/>
      <c r="C866" s="7" t="n"/>
    </row>
    <row r="867" ht="15" customHeight="1" s="5">
      <c r="B867" s="7" t="n"/>
      <c r="C867" s="7" t="n"/>
    </row>
    <row r="868" ht="15" customHeight="1" s="5">
      <c r="B868" s="7" t="n"/>
      <c r="C868" s="7" t="n"/>
    </row>
    <row r="869" ht="15" customHeight="1" s="5">
      <c r="B869" s="7" t="n"/>
      <c r="C869" s="7" t="n"/>
    </row>
    <row r="870" ht="15" customHeight="1" s="5">
      <c r="B870" s="7" t="n"/>
      <c r="C870" s="7" t="n"/>
    </row>
    <row r="871" ht="15" customHeight="1" s="5">
      <c r="B871" s="7" t="n"/>
      <c r="C871" s="7" t="n"/>
    </row>
    <row r="872" ht="15" customHeight="1" s="5">
      <c r="B872" s="7" t="n"/>
      <c r="C872" s="7" t="n"/>
    </row>
    <row r="873" ht="15" customHeight="1" s="5">
      <c r="B873" s="7" t="n"/>
      <c r="C873" s="7" t="n"/>
    </row>
    <row r="874" ht="15" customHeight="1" s="5">
      <c r="B874" s="7" t="n"/>
      <c r="C874" s="7" t="n"/>
    </row>
    <row r="875" ht="15" customHeight="1" s="5">
      <c r="B875" s="7" t="n"/>
      <c r="C875" s="7" t="n"/>
    </row>
    <row r="876" ht="15" customHeight="1" s="5">
      <c r="B876" s="7" t="n"/>
      <c r="C876" s="7" t="n"/>
    </row>
    <row r="877" ht="15" customHeight="1" s="5">
      <c r="B877" s="7" t="n"/>
      <c r="C877" s="7" t="n"/>
    </row>
    <row r="878" ht="15" customHeight="1" s="5">
      <c r="B878" s="7" t="n"/>
      <c r="C878" s="7" t="n"/>
    </row>
    <row r="879" ht="15" customHeight="1" s="5">
      <c r="B879" s="7" t="n"/>
      <c r="C879" s="7" t="n"/>
    </row>
    <row r="880" ht="15" customHeight="1" s="5">
      <c r="B880" s="7" t="n"/>
      <c r="C880" s="7" t="n"/>
    </row>
    <row r="881" ht="15" customHeight="1" s="5">
      <c r="B881" s="7" t="n"/>
      <c r="C881" s="7" t="n"/>
    </row>
    <row r="882" ht="15" customHeight="1" s="5">
      <c r="B882" s="7" t="n"/>
      <c r="C882" s="7" t="n"/>
    </row>
    <row r="883" ht="15" customHeight="1" s="5">
      <c r="B883" s="7" t="n"/>
      <c r="C883" s="7" t="n"/>
    </row>
    <row r="884" ht="15" customHeight="1" s="5">
      <c r="B884" s="7" t="n"/>
      <c r="C884" s="7" t="n"/>
    </row>
    <row r="885" ht="15" customHeight="1" s="5">
      <c r="B885" s="7" t="n"/>
      <c r="C885" s="7" t="n"/>
    </row>
    <row r="886" ht="15" customHeight="1" s="5">
      <c r="B886" s="7" t="n"/>
      <c r="C886" s="7" t="n"/>
    </row>
    <row r="887" ht="15" customHeight="1" s="5">
      <c r="B887" s="7" t="n"/>
      <c r="C887" s="7" t="n"/>
    </row>
    <row r="888" ht="15" customHeight="1" s="5">
      <c r="B888" s="7" t="n"/>
      <c r="C888" s="7" t="n"/>
    </row>
    <row r="889" ht="15" customHeight="1" s="5">
      <c r="B889" s="7" t="n"/>
      <c r="C889" s="7" t="n"/>
    </row>
    <row r="890" ht="15" customHeight="1" s="5">
      <c r="B890" s="7" t="n"/>
      <c r="C890" s="7" t="n"/>
    </row>
    <row r="891" ht="15" customHeight="1" s="5">
      <c r="B891" s="7" t="n"/>
      <c r="C891" s="7" t="n"/>
    </row>
    <row r="892" ht="15" customHeight="1" s="5">
      <c r="B892" s="7" t="n"/>
      <c r="C892" s="7" t="n"/>
    </row>
    <row r="893" ht="15" customHeight="1" s="5">
      <c r="B893" s="7" t="n"/>
      <c r="C893" s="7" t="n"/>
    </row>
    <row r="894" ht="15" customHeight="1" s="5">
      <c r="B894" s="7" t="n"/>
      <c r="C894" s="7" t="n"/>
    </row>
    <row r="895" ht="15" customHeight="1" s="5">
      <c r="B895" s="7" t="n"/>
      <c r="C895" s="7" t="n"/>
    </row>
    <row r="896" ht="15" customHeight="1" s="5">
      <c r="B896" s="7" t="n"/>
      <c r="C896" s="7" t="n"/>
    </row>
    <row r="897" ht="15" customHeight="1" s="5">
      <c r="B897" s="7" t="n"/>
      <c r="C897" s="7" t="n"/>
    </row>
    <row r="898" ht="15" customHeight="1" s="5">
      <c r="B898" s="7" t="n"/>
      <c r="C898" s="7" t="n"/>
    </row>
    <row r="899" ht="15" customHeight="1" s="5">
      <c r="B899" s="7" t="n"/>
      <c r="C899" s="7" t="n"/>
    </row>
    <row r="900" ht="15" customHeight="1" s="5">
      <c r="B900" s="7" t="n"/>
      <c r="C900" s="7" t="n"/>
    </row>
    <row r="901" ht="15" customHeight="1" s="5">
      <c r="B901" s="7" t="n"/>
      <c r="C901" s="7" t="n"/>
    </row>
    <row r="902" ht="15" customHeight="1" s="5">
      <c r="B902" s="7" t="n"/>
      <c r="C902" s="7" t="n"/>
    </row>
    <row r="903" ht="15" customHeight="1" s="5">
      <c r="B903" s="7" t="n"/>
      <c r="C903" s="7" t="n"/>
    </row>
    <row r="904" ht="15" customHeight="1" s="5">
      <c r="B904" s="7" t="n"/>
      <c r="C904" s="7" t="n"/>
    </row>
    <row r="905" ht="15" customHeight="1" s="5">
      <c r="B905" s="7" t="n"/>
      <c r="C905" s="7" t="n"/>
    </row>
    <row r="906" ht="15" customHeight="1" s="5">
      <c r="B906" s="7" t="n"/>
      <c r="C906" s="7" t="n"/>
    </row>
    <row r="907" ht="15" customHeight="1" s="5">
      <c r="B907" s="7" t="n"/>
      <c r="C907" s="7" t="n"/>
    </row>
    <row r="908" ht="15" customHeight="1" s="5">
      <c r="B908" s="7" t="n"/>
      <c r="C908" s="7" t="n"/>
    </row>
    <row r="909" ht="15" customHeight="1" s="5">
      <c r="B909" s="7" t="n"/>
      <c r="C909" s="7" t="n"/>
    </row>
    <row r="910" ht="15" customHeight="1" s="5">
      <c r="B910" s="7" t="n"/>
      <c r="C910" s="7" t="n"/>
    </row>
    <row r="911" ht="15" customHeight="1" s="5">
      <c r="B911" s="7" t="n"/>
      <c r="C911" s="7" t="n"/>
    </row>
    <row r="912" ht="15" customHeight="1" s="5">
      <c r="B912" s="7" t="n"/>
      <c r="C912" s="7" t="n"/>
    </row>
    <row r="913" ht="15" customHeight="1" s="5">
      <c r="B913" s="7" t="n"/>
      <c r="C913" s="7" t="n"/>
    </row>
    <row r="914" ht="15" customHeight="1" s="5">
      <c r="B914" s="7" t="n"/>
      <c r="C914" s="7" t="n"/>
    </row>
    <row r="915" ht="15" customHeight="1" s="5">
      <c r="B915" s="7" t="n"/>
      <c r="C915" s="7" t="n"/>
    </row>
    <row r="916" ht="15" customHeight="1" s="5">
      <c r="B916" s="7" t="n"/>
      <c r="C916" s="7" t="n"/>
    </row>
    <row r="917" ht="15" customHeight="1" s="5">
      <c r="B917" s="7" t="n"/>
      <c r="C917" s="7" t="n"/>
    </row>
    <row r="918" ht="15" customHeight="1" s="5">
      <c r="B918" s="7" t="n"/>
      <c r="C918" s="7" t="n"/>
    </row>
    <row r="919" ht="15" customHeight="1" s="5">
      <c r="B919" s="7" t="n"/>
      <c r="C919" s="7" t="n"/>
    </row>
    <row r="920" ht="15" customHeight="1" s="5">
      <c r="B920" s="7" t="n"/>
      <c r="C920" s="7" t="n"/>
    </row>
    <row r="921" ht="15" customHeight="1" s="5">
      <c r="B921" s="7" t="n"/>
      <c r="C921" s="7" t="n"/>
    </row>
    <row r="922" ht="15" customHeight="1" s="5">
      <c r="B922" s="7" t="n"/>
      <c r="C922" s="7" t="n"/>
    </row>
    <row r="923" ht="15" customHeight="1" s="5">
      <c r="B923" s="7" t="n"/>
      <c r="C923" s="7" t="n"/>
    </row>
    <row r="924" ht="15" customHeight="1" s="5">
      <c r="B924" s="7" t="n"/>
      <c r="C924" s="7" t="n"/>
    </row>
    <row r="925" ht="15" customHeight="1" s="5">
      <c r="B925" s="7" t="n"/>
      <c r="C925" s="7" t="n"/>
    </row>
    <row r="926" ht="15" customHeight="1" s="5">
      <c r="B926" s="7" t="n"/>
      <c r="C926" s="7" t="n"/>
    </row>
    <row r="927" ht="15" customHeight="1" s="5">
      <c r="B927" s="7" t="n"/>
      <c r="C927" s="7" t="n"/>
    </row>
    <row r="928" ht="15" customHeight="1" s="5">
      <c r="B928" s="7" t="n"/>
      <c r="C928" s="7" t="n"/>
    </row>
    <row r="929" ht="15" customHeight="1" s="5">
      <c r="B929" s="7" t="n"/>
      <c r="C929" s="7" t="n"/>
    </row>
    <row r="930" ht="15" customHeight="1" s="5">
      <c r="B930" s="7" t="n"/>
      <c r="C930" s="7" t="n"/>
    </row>
    <row r="931" ht="15" customHeight="1" s="5">
      <c r="B931" s="7" t="n"/>
      <c r="C931" s="7" t="n"/>
    </row>
    <row r="932" ht="15" customHeight="1" s="5">
      <c r="B932" s="7" t="n"/>
      <c r="C932" s="7" t="n"/>
    </row>
    <row r="933" ht="15" customHeight="1" s="5">
      <c r="B933" s="7" t="n"/>
      <c r="C933" s="7" t="n"/>
    </row>
    <row r="934" ht="15" customHeight="1" s="5">
      <c r="B934" s="7" t="n"/>
      <c r="C934" s="7" t="n"/>
    </row>
    <row r="935" ht="15" customHeight="1" s="5">
      <c r="B935" s="7" t="n"/>
      <c r="C935" s="7" t="n"/>
    </row>
    <row r="936" ht="15" customHeight="1" s="5">
      <c r="B936" s="7" t="n"/>
      <c r="C936" s="7" t="n"/>
    </row>
    <row r="937" ht="15" customHeight="1" s="5">
      <c r="B937" s="7" t="n"/>
      <c r="C937" s="7" t="n"/>
    </row>
    <row r="938" ht="15" customHeight="1" s="5">
      <c r="B938" s="7" t="n"/>
      <c r="C938" s="7" t="n"/>
    </row>
    <row r="939" ht="15" customHeight="1" s="5">
      <c r="B939" s="7" t="n"/>
      <c r="C939" s="7" t="n"/>
    </row>
    <row r="940" ht="15" customHeight="1" s="5">
      <c r="B940" s="7" t="n"/>
      <c r="C940" s="7" t="n"/>
    </row>
    <row r="941" ht="15" customHeight="1" s="5">
      <c r="B941" s="7" t="n"/>
      <c r="C941" s="7" t="n"/>
    </row>
    <row r="942" ht="15" customHeight="1" s="5">
      <c r="B942" s="7" t="n"/>
      <c r="C942" s="7" t="n"/>
    </row>
    <row r="943" ht="15" customHeight="1" s="5">
      <c r="B943" s="7" t="n"/>
      <c r="C943" s="7" t="n"/>
    </row>
    <row r="944" ht="15" customHeight="1" s="5">
      <c r="B944" s="7" t="n"/>
      <c r="C944" s="7" t="n"/>
    </row>
    <row r="945" ht="15" customHeight="1" s="5">
      <c r="B945" s="7" t="n"/>
      <c r="C945" s="7" t="n"/>
    </row>
    <row r="946" ht="15" customHeight="1" s="5">
      <c r="B946" s="7" t="n"/>
      <c r="C946" s="7" t="n"/>
    </row>
    <row r="947" ht="15" customHeight="1" s="5">
      <c r="B947" s="7" t="n"/>
      <c r="C947" s="7" t="n"/>
    </row>
    <row r="948" ht="15" customHeight="1" s="5">
      <c r="B948" s="7" t="n"/>
      <c r="C948" s="7" t="n"/>
    </row>
    <row r="949" ht="15" customHeight="1" s="5">
      <c r="B949" s="7" t="n"/>
      <c r="C949" s="7" t="n"/>
    </row>
    <row r="950" ht="15" customHeight="1" s="5">
      <c r="B950" s="7" t="n"/>
      <c r="C950" s="7" t="n"/>
    </row>
    <row r="951" ht="15" customHeight="1" s="5">
      <c r="B951" s="7" t="n"/>
      <c r="C951" s="7" t="n"/>
    </row>
    <row r="952" ht="15" customHeight="1" s="5">
      <c r="B952" s="7" t="n"/>
      <c r="C952" s="7" t="n"/>
    </row>
    <row r="953" ht="15" customHeight="1" s="5">
      <c r="B953" s="7" t="n"/>
      <c r="C953" s="7" t="n"/>
    </row>
    <row r="954" ht="15" customHeight="1" s="5">
      <c r="B954" s="7" t="n"/>
      <c r="C954" s="7" t="n"/>
    </row>
    <row r="955" ht="15" customHeight="1" s="5">
      <c r="B955" s="7" t="n"/>
      <c r="C955" s="7" t="n"/>
    </row>
    <row r="956" ht="15" customHeight="1" s="5">
      <c r="B956" s="7" t="n"/>
      <c r="C956" s="7" t="n"/>
    </row>
    <row r="957" ht="15" customHeight="1" s="5">
      <c r="B957" s="7" t="n"/>
      <c r="C957" s="7" t="n"/>
    </row>
    <row r="958" ht="15" customHeight="1" s="5">
      <c r="B958" s="7" t="n"/>
      <c r="C958" s="7" t="n"/>
    </row>
    <row r="959" ht="15" customHeight="1" s="5">
      <c r="B959" s="7" t="n"/>
      <c r="C959" s="7" t="n"/>
    </row>
    <row r="960" ht="15" customHeight="1" s="5">
      <c r="B960" s="7" t="n"/>
      <c r="C960" s="7" t="n"/>
    </row>
    <row r="961" ht="15" customHeight="1" s="5">
      <c r="B961" s="7" t="n"/>
      <c r="C961" s="7" t="n"/>
    </row>
    <row r="962" ht="15" customHeight="1" s="5">
      <c r="B962" s="7" t="n"/>
      <c r="C962" s="7" t="n"/>
    </row>
    <row r="963" ht="15" customHeight="1" s="5">
      <c r="B963" s="7" t="n"/>
      <c r="C963" s="7" t="n"/>
    </row>
    <row r="964" ht="15" customHeight="1" s="5">
      <c r="B964" s="7" t="n"/>
      <c r="C964" s="7" t="n"/>
    </row>
    <row r="965" ht="15" customHeight="1" s="5">
      <c r="B965" s="7" t="n"/>
      <c r="C965" s="7" t="n"/>
    </row>
    <row r="966" ht="15" customHeight="1" s="5">
      <c r="B966" s="7" t="n"/>
      <c r="C966" s="7" t="n"/>
    </row>
    <row r="967" ht="15" customHeight="1" s="5">
      <c r="B967" s="7" t="n"/>
      <c r="C967" s="7" t="n"/>
    </row>
    <row r="968" ht="15" customHeight="1" s="5">
      <c r="B968" s="7" t="n"/>
      <c r="C968" s="7" t="n"/>
    </row>
    <row r="969" ht="15" customHeight="1" s="5">
      <c r="B969" s="7" t="n"/>
      <c r="C969" s="7" t="n"/>
    </row>
    <row r="970" ht="15" customHeight="1" s="5">
      <c r="B970" s="7" t="n"/>
      <c r="C970" s="7" t="n"/>
    </row>
    <row r="971" ht="15" customHeight="1" s="5">
      <c r="B971" s="7" t="n"/>
      <c r="C971" s="7" t="n"/>
    </row>
    <row r="972" ht="15" customHeight="1" s="5">
      <c r="B972" s="7" t="n"/>
      <c r="C972" s="7" t="n"/>
    </row>
    <row r="973" ht="15" customHeight="1" s="5">
      <c r="B973" s="7" t="n"/>
      <c r="C973" s="7" t="n"/>
    </row>
    <row r="974" ht="15" customHeight="1" s="5">
      <c r="B974" s="7" t="n"/>
      <c r="C974" s="7" t="n"/>
    </row>
    <row r="975" ht="15" customHeight="1" s="5">
      <c r="B975" s="7" t="n"/>
      <c r="C975" s="7" t="n"/>
    </row>
    <row r="976" ht="15" customHeight="1" s="5">
      <c r="B976" s="7" t="n"/>
      <c r="C976" s="7" t="n"/>
    </row>
    <row r="977" ht="15" customHeight="1" s="5">
      <c r="B977" s="7" t="n"/>
      <c r="C977" s="7" t="n"/>
    </row>
    <row r="978" ht="15" customHeight="1" s="5">
      <c r="B978" s="7" t="n"/>
      <c r="C978" s="7" t="n"/>
    </row>
    <row r="979" ht="15" customHeight="1" s="5">
      <c r="B979" s="7" t="n"/>
      <c r="C979" s="7" t="n"/>
    </row>
    <row r="980" ht="15" customHeight="1" s="5">
      <c r="B980" s="7" t="n"/>
      <c r="C980" s="7" t="n"/>
    </row>
    <row r="981" ht="15" customHeight="1" s="5">
      <c r="B981" s="7" t="n"/>
      <c r="C981" s="7" t="n"/>
    </row>
    <row r="982" ht="15" customHeight="1" s="5">
      <c r="B982" s="7" t="n"/>
      <c r="C982" s="7" t="n"/>
    </row>
    <row r="983" ht="15" customHeight="1" s="5">
      <c r="B983" s="7" t="n"/>
      <c r="C983" s="7" t="n"/>
    </row>
    <row r="984" ht="15" customHeight="1" s="5">
      <c r="B984" s="7" t="n"/>
      <c r="C984" s="7" t="n"/>
    </row>
    <row r="985" ht="15" customHeight="1" s="5">
      <c r="B985" s="7" t="n"/>
      <c r="C985" s="7" t="n"/>
    </row>
    <row r="986" ht="15" customHeight="1" s="5">
      <c r="B986" s="7" t="n"/>
      <c r="C986" s="7" t="n"/>
    </row>
    <row r="987" ht="15" customHeight="1" s="5">
      <c r="B987" s="7" t="n"/>
      <c r="C987" s="7" t="n"/>
    </row>
    <row r="988" ht="15" customHeight="1" s="5">
      <c r="B988" s="7" t="n"/>
      <c r="C988" s="7" t="n"/>
    </row>
    <row r="989" ht="15" customHeight="1" s="5">
      <c r="B989" s="7" t="n"/>
      <c r="C989" s="7" t="n"/>
    </row>
    <row r="990" ht="15" customHeight="1" s="5">
      <c r="B990" s="7" t="n"/>
      <c r="C990" s="7" t="n"/>
    </row>
    <row r="991" ht="15" customHeight="1" s="5">
      <c r="B991" s="7" t="n"/>
      <c r="C991" s="7" t="n"/>
    </row>
    <row r="992" ht="15" customHeight="1" s="5">
      <c r="B992" s="7" t="n"/>
      <c r="C992" s="7" t="n"/>
    </row>
    <row r="993" ht="15" customHeight="1" s="5">
      <c r="B993" s="7" t="n"/>
      <c r="C993" s="7" t="n"/>
    </row>
    <row r="994" ht="15" customHeight="1" s="5">
      <c r="B994" s="7" t="n"/>
      <c r="C994" s="7" t="n"/>
    </row>
    <row r="995" ht="15" customHeight="1" s="5">
      <c r="B995" s="7" t="n"/>
      <c r="C995" s="7" t="n"/>
    </row>
    <row r="996" ht="15" customHeight="1" s="5">
      <c r="B996" s="7" t="n"/>
      <c r="C996" s="7" t="n"/>
    </row>
    <row r="997" ht="15" customHeight="1" s="5">
      <c r="B997" s="7" t="n"/>
      <c r="C997" s="7" t="n"/>
    </row>
    <row r="998" ht="15" customHeight="1" s="5">
      <c r="B998" s="7" t="n"/>
      <c r="C998" s="7" t="n"/>
    </row>
    <row r="999" ht="15" customHeight="1" s="5">
      <c r="B999" s="7" t="n"/>
      <c r="C999" s="7" t="n"/>
    </row>
    <row r="1000" ht="15" customHeight="1" s="5">
      <c r="B1000" s="7" t="n"/>
      <c r="C1000" s="7" t="n"/>
    </row>
    <row r="1001" ht="15" customHeight="1" s="5">
      <c r="B1001" s="7" t="n"/>
      <c r="C1001" s="7" t="n"/>
    </row>
    <row r="1002" ht="15" customHeight="1" s="5">
      <c r="B1002" s="7" t="n"/>
      <c r="C1002" s="7" t="n"/>
    </row>
    <row r="1003" ht="15" customHeight="1" s="5">
      <c r="B1003" s="7" t="n"/>
      <c r="C1003" s="7" t="n"/>
    </row>
    <row r="1004" ht="15" customHeight="1" s="5">
      <c r="B1004" s="7" t="n"/>
      <c r="C1004" s="7" t="n"/>
    </row>
    <row r="1005" ht="15" customHeight="1" s="5">
      <c r="B1005" s="7" t="n"/>
      <c r="C1005" s="7" t="n"/>
    </row>
    <row r="1006" ht="15" customHeight="1" s="5">
      <c r="B1006" s="7" t="n"/>
      <c r="C1006" s="7" t="n"/>
    </row>
    <row r="1007" ht="15" customHeight="1" s="5">
      <c r="B1007" s="7" t="n"/>
      <c r="C1007" s="7" t="n"/>
    </row>
    <row r="1008" ht="15" customHeight="1" s="5">
      <c r="B1008" s="7" t="n"/>
      <c r="C1008" s="7" t="n"/>
    </row>
    <row r="1009" ht="15" customHeight="1" s="5">
      <c r="B1009" s="7" t="n"/>
      <c r="C1009" s="7" t="n"/>
    </row>
    <row r="1010" ht="15" customHeight="1" s="5">
      <c r="B1010" s="7" t="n"/>
      <c r="C1010" s="7" t="n"/>
    </row>
    <row r="1011" ht="15" customHeight="1" s="5">
      <c r="B1011" s="7" t="n"/>
      <c r="C1011" s="7" t="n"/>
    </row>
    <row r="1012" ht="15" customHeight="1" s="5">
      <c r="B1012" s="7" t="n"/>
      <c r="C1012" s="7" t="n"/>
    </row>
    <row r="1013" ht="15" customHeight="1" s="5">
      <c r="B1013" s="7" t="n"/>
      <c r="C1013" s="7" t="n"/>
    </row>
    <row r="1014" ht="15" customHeight="1" s="5">
      <c r="B1014" s="7" t="n"/>
      <c r="C1014" s="7" t="n"/>
    </row>
    <row r="1015" ht="15" customHeight="1" s="5">
      <c r="B1015" s="7" t="n"/>
      <c r="C1015" s="7" t="n"/>
    </row>
    <row r="1016" ht="15" customHeight="1" s="5">
      <c r="B1016" s="7" t="n"/>
      <c r="C1016" s="7" t="n"/>
    </row>
    <row r="1017" ht="15" customHeight="1" s="5">
      <c r="B1017" s="7" t="n"/>
      <c r="C1017" s="7" t="n"/>
    </row>
    <row r="1018" ht="15" customHeight="1" s="5">
      <c r="B1018" s="7" t="n"/>
      <c r="C1018" s="7" t="n"/>
    </row>
    <row r="1019" ht="15" customHeight="1" s="5">
      <c r="B1019" s="7" t="n"/>
      <c r="C1019" s="7" t="n"/>
    </row>
    <row r="1020" ht="15" customHeight="1" s="5">
      <c r="B1020" s="7" t="n"/>
      <c r="C1020" s="7" t="n"/>
    </row>
    <row r="1021" ht="15" customHeight="1" s="5">
      <c r="B1021" s="7" t="n"/>
      <c r="C1021" s="7" t="n"/>
    </row>
    <row r="1022" ht="15" customHeight="1" s="5">
      <c r="B1022" s="7" t="n"/>
      <c r="C1022" s="7" t="n"/>
    </row>
    <row r="1023" ht="15" customHeight="1" s="5">
      <c r="B1023" s="7" t="n"/>
      <c r="C1023" s="7" t="n"/>
    </row>
    <row r="1024" ht="15" customHeight="1" s="5">
      <c r="B1024" s="7" t="n"/>
      <c r="C1024" s="7" t="n"/>
    </row>
    <row r="1025" ht="15" customHeight="1" s="5">
      <c r="B1025" s="7" t="n"/>
      <c r="C1025" s="7" t="n"/>
    </row>
    <row r="1026" ht="15" customHeight="1" s="5">
      <c r="B1026" s="7" t="n"/>
      <c r="C1026" s="7" t="n"/>
    </row>
    <row r="1027" ht="15" customHeight="1" s="5">
      <c r="B1027" s="7" t="n"/>
      <c r="C1027" s="7" t="n"/>
    </row>
    <row r="1028" ht="15" customHeight="1" s="5">
      <c r="B1028" s="7" t="n"/>
      <c r="C1028" s="7" t="n"/>
    </row>
    <row r="1029" ht="15" customHeight="1" s="5">
      <c r="B1029" s="7" t="n"/>
      <c r="C1029" s="7" t="n"/>
    </row>
    <row r="1030" ht="15" customHeight="1" s="5">
      <c r="B1030" s="7" t="n"/>
      <c r="C1030" s="7" t="n"/>
    </row>
    <row r="1031" ht="15" customHeight="1" s="5">
      <c r="B1031" s="7" t="n"/>
      <c r="C1031" s="7" t="n"/>
    </row>
    <row r="1032" ht="15" customHeight="1" s="5">
      <c r="B1032" s="7" t="n"/>
      <c r="C1032" s="7" t="n"/>
    </row>
    <row r="1033" ht="15" customHeight="1" s="5">
      <c r="B1033" s="7" t="n"/>
      <c r="C1033" s="7" t="n"/>
    </row>
    <row r="1034" ht="15" customHeight="1" s="5">
      <c r="B1034" s="7" t="n"/>
      <c r="C1034" s="7" t="n"/>
    </row>
    <row r="1035" ht="15" customHeight="1" s="5">
      <c r="B1035" s="7" t="n"/>
      <c r="C1035" s="7" t="n"/>
    </row>
    <row r="1036" ht="15" customHeight="1" s="5">
      <c r="B1036" s="7" t="n"/>
      <c r="C1036" s="7" t="n"/>
    </row>
    <row r="1037" ht="15" customHeight="1" s="5">
      <c r="B1037" s="7" t="n"/>
      <c r="C1037" s="7" t="n"/>
    </row>
    <row r="1038" ht="15" customHeight="1" s="5">
      <c r="B1038" s="7" t="n"/>
      <c r="C1038" s="7" t="n"/>
    </row>
    <row r="1039" ht="15" customHeight="1" s="5">
      <c r="B1039" s="7" t="n"/>
      <c r="C1039" s="7" t="n"/>
    </row>
    <row r="1040" ht="15" customHeight="1" s="5">
      <c r="B1040" s="7" t="n"/>
      <c r="C1040" s="7" t="n"/>
    </row>
    <row r="1041" ht="15" customHeight="1" s="5">
      <c r="B1041" s="7" t="n"/>
      <c r="C1041" s="7" t="n"/>
    </row>
    <row r="1042" ht="15" customHeight="1" s="5">
      <c r="B1042" s="7" t="n"/>
      <c r="C1042" s="7" t="n"/>
    </row>
    <row r="1043" ht="15" customHeight="1" s="5">
      <c r="B1043" s="7" t="n"/>
      <c r="C1043" s="7" t="n"/>
    </row>
    <row r="1044" ht="15" customHeight="1" s="5">
      <c r="B1044" s="7" t="n"/>
      <c r="C1044" s="7" t="n"/>
    </row>
    <row r="1045" ht="15" customHeight="1" s="5">
      <c r="B1045" s="7" t="n"/>
      <c r="C1045" s="7" t="n"/>
    </row>
    <row r="1046" ht="15" customHeight="1" s="5">
      <c r="B1046" s="7" t="n"/>
      <c r="C1046" s="7" t="n"/>
    </row>
    <row r="1047" ht="15" customHeight="1" s="5">
      <c r="B1047" s="7" t="n"/>
      <c r="C1047" s="7" t="n"/>
    </row>
    <row r="1048" ht="15" customHeight="1" s="5">
      <c r="B1048" s="7" t="n"/>
      <c r="C1048" s="7" t="n"/>
    </row>
    <row r="1049" ht="15" customHeight="1" s="5">
      <c r="B1049" s="7" t="n"/>
      <c r="C1049" s="7" t="n"/>
    </row>
    <row r="1050" ht="15" customHeight="1" s="5">
      <c r="B1050" s="7" t="n"/>
      <c r="C1050" s="7" t="n"/>
    </row>
    <row r="1051" ht="15" customHeight="1" s="5">
      <c r="B1051" s="7" t="n"/>
      <c r="C1051" s="7" t="n"/>
    </row>
    <row r="1052" ht="15" customHeight="1" s="5">
      <c r="B1052" s="7" t="n"/>
      <c r="C1052" s="7" t="n"/>
    </row>
    <row r="1053" ht="15" customHeight="1" s="5">
      <c r="B1053" s="7" t="n"/>
      <c r="C1053" s="7" t="n"/>
    </row>
    <row r="1054" ht="15" customHeight="1" s="5">
      <c r="B1054" s="7" t="n"/>
      <c r="C1054" s="7" t="n"/>
    </row>
    <row r="1055" ht="15" customHeight="1" s="5">
      <c r="B1055" s="7" t="n"/>
      <c r="C1055" s="7" t="n"/>
    </row>
    <row r="1056" ht="15" customHeight="1" s="5">
      <c r="B1056" s="7" t="n"/>
      <c r="C1056" s="7" t="n"/>
    </row>
    <row r="1057" ht="15" customHeight="1" s="5">
      <c r="B1057" s="7" t="n"/>
      <c r="C1057" s="7" t="n"/>
    </row>
    <row r="1058" ht="15" customHeight="1" s="5">
      <c r="B1058" s="7" t="n"/>
      <c r="C1058" s="7" t="n"/>
    </row>
    <row r="1059" ht="15" customHeight="1" s="5">
      <c r="B1059" s="7" t="n"/>
      <c r="C1059" s="7" t="n"/>
    </row>
    <row r="1060" ht="15" customHeight="1" s="5">
      <c r="B1060" s="7" t="n"/>
      <c r="C1060" s="7" t="n"/>
    </row>
    <row r="1061" ht="15" customHeight="1" s="5">
      <c r="B1061" s="7" t="n"/>
      <c r="C1061" s="7" t="n"/>
    </row>
    <row r="1062" ht="15" customHeight="1" s="5">
      <c r="B1062" s="7" t="n"/>
      <c r="C1062" s="7" t="n"/>
    </row>
    <row r="1063" ht="15" customHeight="1" s="5">
      <c r="B1063" s="7" t="n"/>
      <c r="C1063" s="7" t="n"/>
    </row>
    <row r="1064" ht="15" customHeight="1" s="5">
      <c r="B1064" s="7" t="n"/>
      <c r="C1064" s="7" t="n"/>
    </row>
    <row r="1065" ht="15" customHeight="1" s="5">
      <c r="B1065" s="7" t="n"/>
      <c r="C1065" s="7" t="n"/>
    </row>
    <row r="1066" ht="15" customHeight="1" s="5">
      <c r="B1066" s="7" t="n"/>
      <c r="C1066" s="7" t="n"/>
    </row>
    <row r="1067" ht="15" customHeight="1" s="5">
      <c r="B1067" s="7" t="n"/>
      <c r="C1067" s="7" t="n"/>
    </row>
    <row r="1068" ht="15" customHeight="1" s="5">
      <c r="B1068" s="7" t="n"/>
      <c r="C1068" s="7" t="n"/>
    </row>
    <row r="1069" ht="15" customHeight="1" s="5">
      <c r="B1069" s="7" t="n"/>
      <c r="C1069" s="7" t="n"/>
    </row>
    <row r="1070" ht="15" customHeight="1" s="5">
      <c r="B1070" s="7" t="n"/>
      <c r="C1070" s="7" t="n"/>
    </row>
    <row r="1071" ht="15" customHeight="1" s="5">
      <c r="B1071" s="7" t="n"/>
      <c r="C1071" s="7" t="n"/>
    </row>
    <row r="1072" ht="15" customHeight="1" s="5">
      <c r="B1072" s="7" t="n"/>
      <c r="C1072" s="7" t="n"/>
    </row>
    <row r="1073" ht="15" customHeight="1" s="5">
      <c r="B1073" s="7" t="n"/>
      <c r="C1073" s="7" t="n"/>
    </row>
    <row r="1074" ht="15" customHeight="1" s="5">
      <c r="B1074" s="7" t="n"/>
      <c r="C1074" s="7" t="n"/>
    </row>
    <row r="1075" ht="15" customHeight="1" s="5">
      <c r="B1075" s="7" t="n"/>
      <c r="C1075" s="7" t="n"/>
    </row>
    <row r="1076" ht="15" customHeight="1" s="5">
      <c r="B1076" s="7" t="n"/>
      <c r="C1076" s="7" t="n"/>
    </row>
    <row r="1077" ht="15" customHeight="1" s="5">
      <c r="B1077" s="7" t="n"/>
      <c r="C1077" s="7" t="n"/>
    </row>
    <row r="1078" ht="15" customHeight="1" s="5">
      <c r="B1078" s="7" t="n"/>
      <c r="C1078" s="7" t="n"/>
    </row>
    <row r="1079" ht="15" customHeight="1" s="5">
      <c r="B1079" s="7" t="n"/>
      <c r="C1079" s="7" t="n"/>
    </row>
    <row r="1080" ht="15" customHeight="1" s="5">
      <c r="B1080" s="7" t="n"/>
      <c r="C1080" s="7" t="n"/>
    </row>
    <row r="1081" ht="15" customHeight="1" s="5">
      <c r="B1081" s="7" t="n"/>
      <c r="C1081" s="7" t="n"/>
    </row>
    <row r="1082" ht="15" customHeight="1" s="5">
      <c r="B1082" s="7" t="n"/>
      <c r="C1082" s="7" t="n"/>
    </row>
    <row r="1083" ht="15" customHeight="1" s="5">
      <c r="B1083" s="7" t="n"/>
      <c r="C1083" s="7" t="n"/>
    </row>
    <row r="1084" ht="15" customHeight="1" s="5">
      <c r="B1084" s="7" t="n"/>
      <c r="C1084" s="7" t="n"/>
    </row>
    <row r="1085" ht="15" customHeight="1" s="5">
      <c r="B1085" s="7" t="n"/>
      <c r="C1085" s="7" t="n"/>
    </row>
    <row r="1086" ht="15" customHeight="1" s="5">
      <c r="B1086" s="7" t="n"/>
      <c r="C1086" s="7" t="n"/>
    </row>
    <row r="1087" ht="15" customHeight="1" s="5">
      <c r="B1087" s="7" t="n"/>
      <c r="C1087" s="7" t="n"/>
    </row>
    <row r="1088" ht="15" customHeight="1" s="5">
      <c r="B1088" s="7" t="n"/>
      <c r="C1088" s="7" t="n"/>
    </row>
    <row r="1089" ht="15" customHeight="1" s="5">
      <c r="B1089" s="7" t="n"/>
      <c r="C1089" s="7" t="n"/>
    </row>
    <row r="1090" ht="15" customHeight="1" s="5">
      <c r="B1090" s="7" t="n"/>
      <c r="C1090" s="7" t="n"/>
    </row>
    <row r="1091" ht="15" customHeight="1" s="5">
      <c r="B1091" s="7" t="n"/>
      <c r="C1091" s="7" t="n"/>
    </row>
    <row r="1092" ht="15" customHeight="1" s="5">
      <c r="B1092" s="7" t="n"/>
      <c r="C1092" s="7" t="n"/>
    </row>
    <row r="1093" ht="15" customHeight="1" s="5">
      <c r="B1093" s="7" t="n"/>
      <c r="C1093" s="7" t="n"/>
    </row>
    <row r="1094" ht="15" customHeight="1" s="5">
      <c r="B1094" s="7" t="n"/>
      <c r="C1094" s="7" t="n"/>
    </row>
    <row r="1095" ht="15" customHeight="1" s="5">
      <c r="B1095" s="7" t="n"/>
      <c r="C1095" s="7" t="n"/>
    </row>
    <row r="1096" ht="15" customHeight="1" s="5">
      <c r="B1096" s="7" t="n"/>
      <c r="C1096" s="7" t="n"/>
    </row>
    <row r="1097" ht="15" customHeight="1" s="5">
      <c r="B1097" s="7" t="n"/>
      <c r="C1097" s="7" t="n"/>
    </row>
    <row r="1098" ht="15" customHeight="1" s="5">
      <c r="B1098" s="7" t="n"/>
      <c r="C1098" s="7" t="n"/>
    </row>
    <row r="1099" ht="15" customHeight="1" s="5">
      <c r="B1099" s="7" t="n"/>
      <c r="C1099" s="7" t="n"/>
    </row>
    <row r="1100" ht="15" customHeight="1" s="5">
      <c r="B1100" s="7" t="n"/>
      <c r="C1100" s="7" t="n"/>
    </row>
    <row r="1101" ht="15" customHeight="1" s="5">
      <c r="B1101" s="7" t="n"/>
      <c r="C1101" s="7" t="n"/>
    </row>
    <row r="1102" ht="15" customHeight="1" s="5">
      <c r="B1102" s="7" t="n"/>
      <c r="C1102" s="7" t="n"/>
    </row>
    <row r="1103" ht="15" customHeight="1" s="5">
      <c r="B1103" s="7" t="n"/>
      <c r="C1103" s="7" t="n"/>
    </row>
    <row r="1104" ht="15" customHeight="1" s="5">
      <c r="B1104" s="7" t="n"/>
      <c r="C1104" s="7" t="n"/>
    </row>
    <row r="1105" ht="15" customHeight="1" s="5">
      <c r="B1105" s="7" t="n"/>
      <c r="C1105" s="7" t="n"/>
    </row>
    <row r="1106" ht="15" customHeight="1" s="5">
      <c r="B1106" s="7" t="n"/>
      <c r="C1106" s="7" t="n"/>
    </row>
    <row r="1107" ht="15" customHeight="1" s="5">
      <c r="B1107" s="7" t="n"/>
      <c r="C1107" s="7" t="n"/>
    </row>
    <row r="1108" ht="15" customHeight="1" s="5">
      <c r="B1108" s="7" t="n"/>
      <c r="C1108" s="7" t="n"/>
    </row>
    <row r="1109" ht="15" customHeight="1" s="5">
      <c r="B1109" s="7" t="n"/>
      <c r="C1109" s="7" t="n"/>
    </row>
    <row r="1110" ht="15" customHeight="1" s="5">
      <c r="B1110" s="7" t="n"/>
      <c r="C1110" s="7" t="n"/>
    </row>
    <row r="1111" ht="15" customHeight="1" s="5">
      <c r="B1111" s="7" t="n"/>
      <c r="C1111" s="7" t="n"/>
    </row>
    <row r="1112" ht="15" customHeight="1" s="5">
      <c r="B1112" s="7" t="n"/>
      <c r="C1112" s="7" t="n"/>
    </row>
    <row r="1113" ht="15" customHeight="1" s="5">
      <c r="B1113" s="7" t="n"/>
      <c r="C1113" s="7" t="n"/>
    </row>
    <row r="1114" ht="15" customHeight="1" s="5">
      <c r="B1114" s="7" t="n"/>
      <c r="C1114" s="7" t="n"/>
    </row>
    <row r="1115" ht="15" customHeight="1" s="5">
      <c r="B1115" s="7" t="n"/>
      <c r="C1115" s="7" t="n"/>
    </row>
    <row r="1116" ht="15" customHeight="1" s="5">
      <c r="B1116" s="7" t="n"/>
      <c r="C1116" s="7" t="n"/>
    </row>
    <row r="1117" ht="15" customHeight="1" s="5">
      <c r="B1117" s="7" t="n"/>
      <c r="C1117" s="7" t="n"/>
    </row>
    <row r="1118" ht="15" customHeight="1" s="5">
      <c r="B1118" s="7" t="n"/>
      <c r="C1118" s="7" t="n"/>
    </row>
    <row r="1119" ht="15" customHeight="1" s="5">
      <c r="B1119" s="7" t="n"/>
      <c r="C1119" s="7" t="n"/>
    </row>
    <row r="1120" ht="15" customHeight="1" s="5">
      <c r="B1120" s="7" t="n"/>
      <c r="C1120" s="7" t="n"/>
    </row>
    <row r="1121" ht="15" customHeight="1" s="5">
      <c r="B1121" s="7" t="n"/>
      <c r="C1121" s="7" t="n"/>
    </row>
    <row r="1122" ht="15" customHeight="1" s="5">
      <c r="B1122" s="7" t="n"/>
      <c r="C1122" s="7" t="n"/>
    </row>
    <row r="1123" ht="15" customHeight="1" s="5">
      <c r="B1123" s="7" t="n"/>
      <c r="C1123" s="7" t="n"/>
    </row>
    <row r="1124" ht="15" customHeight="1" s="5">
      <c r="B1124" s="7" t="n"/>
      <c r="C1124" s="7" t="n"/>
    </row>
    <row r="1125" ht="15" customHeight="1" s="5">
      <c r="B1125" s="7" t="n"/>
      <c r="C1125" s="7" t="n"/>
    </row>
    <row r="1126" ht="15" customHeight="1" s="5">
      <c r="B1126" s="7" t="n"/>
      <c r="C1126" s="7" t="n"/>
    </row>
    <row r="1127" ht="15" customHeight="1" s="5">
      <c r="B1127" s="7" t="n"/>
      <c r="C1127" s="7" t="n"/>
    </row>
    <row r="1128" ht="15" customHeight="1" s="5">
      <c r="B1128" s="7" t="n"/>
      <c r="C1128" s="7" t="n"/>
    </row>
    <row r="1129" ht="15" customHeight="1" s="5">
      <c r="B1129" s="7" t="n"/>
      <c r="C1129" s="7" t="n"/>
    </row>
    <row r="1130" ht="15" customHeight="1" s="5">
      <c r="B1130" s="7" t="n"/>
      <c r="C1130" s="7" t="n"/>
    </row>
    <row r="1131" ht="15" customHeight="1" s="5">
      <c r="B1131" s="7" t="n"/>
      <c r="C1131" s="7" t="n"/>
    </row>
    <row r="1132" ht="15" customHeight="1" s="5">
      <c r="B1132" s="7" t="n"/>
      <c r="C1132" s="7" t="n"/>
    </row>
    <row r="1133" ht="15" customHeight="1" s="5">
      <c r="B1133" s="7" t="n"/>
      <c r="C1133" s="7" t="n"/>
    </row>
    <row r="1134" ht="15" customHeight="1" s="5">
      <c r="B1134" s="7" t="n"/>
      <c r="C1134" s="7" t="n"/>
    </row>
    <row r="1135" ht="15" customHeight="1" s="5">
      <c r="B1135" s="7" t="n"/>
      <c r="C1135" s="7" t="n"/>
    </row>
    <row r="1136" ht="15" customHeight="1" s="5">
      <c r="B1136" s="7" t="n"/>
      <c r="C1136" s="7" t="n"/>
    </row>
    <row r="1137" ht="15" customHeight="1" s="5">
      <c r="B1137" s="7" t="n"/>
      <c r="C1137" s="7" t="n"/>
    </row>
    <row r="1138" ht="15" customHeight="1" s="5">
      <c r="B1138" s="7" t="n"/>
      <c r="C1138" s="7" t="n"/>
    </row>
    <row r="1139" ht="15" customHeight="1" s="5">
      <c r="B1139" s="7" t="n"/>
      <c r="C1139" s="7" t="n"/>
    </row>
    <row r="1140" ht="15" customHeight="1" s="5">
      <c r="B1140" s="7" t="n"/>
      <c r="C1140" s="7" t="n"/>
    </row>
    <row r="1141" ht="15" customHeight="1" s="5">
      <c r="B1141" s="7" t="n"/>
      <c r="C1141" s="7" t="n"/>
    </row>
    <row r="1142" ht="15" customHeight="1" s="5">
      <c r="B1142" s="7" t="n"/>
      <c r="C1142" s="7" t="n"/>
    </row>
    <row r="1143" ht="15" customHeight="1" s="5">
      <c r="B1143" s="7" t="n"/>
      <c r="C1143" s="7" t="n"/>
    </row>
    <row r="1144" ht="15" customHeight="1" s="5">
      <c r="B1144" s="7" t="n"/>
      <c r="C1144" s="7" t="n"/>
    </row>
    <row r="1145" ht="15" customHeight="1" s="5">
      <c r="B1145" s="7" t="n"/>
      <c r="C1145" s="7" t="n"/>
    </row>
    <row r="1146" ht="15" customHeight="1" s="5">
      <c r="B1146" s="7" t="n"/>
      <c r="C1146" s="7" t="n"/>
    </row>
    <row r="1147" ht="15" customHeight="1" s="5">
      <c r="B1147" s="7" t="n"/>
      <c r="C1147" s="7" t="n"/>
    </row>
    <row r="1148" ht="15" customHeight="1" s="5">
      <c r="B1148" s="7" t="n"/>
      <c r="C1148" s="7" t="n"/>
    </row>
    <row r="1149" ht="15" customHeight="1" s="5">
      <c r="B1149" s="7" t="n"/>
      <c r="C1149" s="7" t="n"/>
    </row>
    <row r="1150" ht="15" customHeight="1" s="5">
      <c r="B1150" s="7" t="n"/>
      <c r="C1150" s="7" t="n"/>
    </row>
    <row r="1151" ht="15" customHeight="1" s="5">
      <c r="B1151" s="7" t="n"/>
      <c r="C1151" s="7" t="n"/>
    </row>
    <row r="1152" ht="15" customHeight="1" s="5">
      <c r="B1152" s="7" t="n"/>
      <c r="C1152" s="7" t="n"/>
    </row>
    <row r="1153" ht="15" customHeight="1" s="5">
      <c r="B1153" s="7" t="n"/>
      <c r="C1153" s="7" t="n"/>
    </row>
    <row r="1154" ht="15" customHeight="1" s="5">
      <c r="B1154" s="7" t="n"/>
      <c r="C1154" s="7" t="n"/>
    </row>
    <row r="1155" ht="15" customHeight="1" s="5">
      <c r="B1155" s="7" t="n"/>
      <c r="C1155" s="7" t="n"/>
    </row>
    <row r="1156" ht="15" customHeight="1" s="5">
      <c r="B1156" s="7" t="n"/>
      <c r="C1156" s="7" t="n"/>
    </row>
    <row r="1157" ht="15" customHeight="1" s="5">
      <c r="B1157" s="7" t="n"/>
      <c r="C1157" s="7" t="n"/>
    </row>
    <row r="1158" ht="15" customHeight="1" s="5">
      <c r="B1158" s="7" t="n"/>
      <c r="C1158" s="7" t="n"/>
    </row>
    <row r="1159" ht="15" customHeight="1" s="5">
      <c r="B1159" s="7" t="n"/>
      <c r="C1159" s="7" t="n"/>
    </row>
    <row r="1160" ht="15" customHeight="1" s="5">
      <c r="B1160" s="7" t="n"/>
      <c r="C1160" s="7" t="n"/>
    </row>
    <row r="1161" ht="15" customHeight="1" s="5">
      <c r="B1161" s="7" t="n"/>
      <c r="C1161" s="7" t="n"/>
    </row>
    <row r="1162" ht="15" customHeight="1" s="5">
      <c r="B1162" s="7" t="n"/>
      <c r="C1162" s="7" t="n"/>
    </row>
    <row r="1163" ht="15" customHeight="1" s="5">
      <c r="B1163" s="7" t="n"/>
      <c r="C1163" s="7" t="n"/>
    </row>
    <row r="1164" ht="15" customHeight="1" s="5">
      <c r="B1164" s="7" t="n"/>
      <c r="C1164" s="7" t="n"/>
    </row>
    <row r="1165" ht="15" customHeight="1" s="5">
      <c r="B1165" s="7" t="n"/>
      <c r="C1165" s="7" t="n"/>
    </row>
    <row r="1166" ht="15" customHeight="1" s="5">
      <c r="B1166" s="7" t="n"/>
      <c r="C1166" s="7" t="n"/>
    </row>
    <row r="1167" ht="15" customHeight="1" s="5">
      <c r="B1167" s="7" t="n"/>
      <c r="C1167" s="7" t="n"/>
    </row>
    <row r="1168" ht="15" customHeight="1" s="5">
      <c r="B1168" s="7" t="n"/>
      <c r="C1168" s="7" t="n"/>
    </row>
    <row r="1169" ht="15" customHeight="1" s="5">
      <c r="B1169" s="7" t="n"/>
      <c r="C1169" s="7" t="n"/>
    </row>
    <row r="1170" ht="15" customHeight="1" s="5">
      <c r="B1170" s="7" t="n"/>
      <c r="C1170" s="7" t="n"/>
    </row>
    <row r="1171" ht="15" customHeight="1" s="5">
      <c r="B1171" s="7" t="n"/>
      <c r="C1171" s="7" t="n"/>
    </row>
    <row r="1172" ht="15" customHeight="1" s="5">
      <c r="B1172" s="7" t="n"/>
      <c r="C1172" s="7" t="n"/>
    </row>
    <row r="1173" ht="15" customHeight="1" s="5">
      <c r="B1173" s="7" t="n"/>
      <c r="C1173" s="7" t="n"/>
    </row>
    <row r="1174" ht="15" customHeight="1" s="5">
      <c r="B1174" s="7" t="n"/>
      <c r="C1174" s="7" t="n"/>
    </row>
    <row r="1175" ht="15" customHeight="1" s="5">
      <c r="B1175" s="7" t="n"/>
      <c r="C1175" s="7" t="n"/>
    </row>
    <row r="1176" ht="15" customHeight="1" s="5">
      <c r="B1176" s="7" t="n"/>
      <c r="C1176" s="7" t="n"/>
    </row>
    <row r="1177" ht="15" customHeight="1" s="5">
      <c r="B1177" s="7" t="n"/>
      <c r="C1177" s="7" t="n"/>
    </row>
    <row r="1178" ht="15" customHeight="1" s="5">
      <c r="B1178" s="7" t="n"/>
      <c r="C1178" s="7" t="n"/>
    </row>
    <row r="1179" ht="15" customHeight="1" s="5">
      <c r="B1179" s="7" t="n"/>
      <c r="C1179" s="7" t="n"/>
    </row>
    <row r="1180" ht="15" customHeight="1" s="5">
      <c r="B1180" s="7" t="n"/>
      <c r="C1180" s="7" t="n"/>
    </row>
    <row r="1181" ht="15" customHeight="1" s="5">
      <c r="B1181" s="7" t="n"/>
      <c r="C1181" s="7" t="n"/>
    </row>
    <row r="1182" ht="15" customHeight="1" s="5">
      <c r="B1182" s="7" t="n"/>
      <c r="C1182" s="7" t="n"/>
    </row>
    <row r="1183" ht="15" customHeight="1" s="5">
      <c r="B1183" s="7" t="n"/>
      <c r="C1183" s="7" t="n"/>
    </row>
    <row r="1184" ht="15" customHeight="1" s="5">
      <c r="B1184" s="7" t="n"/>
      <c r="C1184" s="7" t="n"/>
    </row>
    <row r="1185" ht="15" customHeight="1" s="5">
      <c r="B1185" s="7" t="n"/>
      <c r="C1185" s="7" t="n"/>
    </row>
    <row r="1186" ht="15" customHeight="1" s="5">
      <c r="B1186" s="7" t="n"/>
      <c r="C1186" s="7" t="n"/>
    </row>
    <row r="1187" ht="15" customHeight="1" s="5">
      <c r="B1187" s="7" t="n"/>
      <c r="C1187" s="7" t="n"/>
    </row>
    <row r="1188" ht="15" customHeight="1" s="5">
      <c r="B1188" s="7" t="n"/>
      <c r="C1188" s="7" t="n"/>
    </row>
    <row r="1189" ht="15" customHeight="1" s="5">
      <c r="B1189" s="7" t="n"/>
      <c r="C1189" s="7" t="n"/>
    </row>
    <row r="1190" ht="15" customHeight="1" s="5">
      <c r="B1190" s="7" t="n"/>
      <c r="C1190" s="7" t="n"/>
    </row>
    <row r="1191" ht="15" customHeight="1" s="5">
      <c r="B1191" s="7" t="n"/>
      <c r="C1191" s="7" t="n"/>
    </row>
    <row r="1192" ht="15" customHeight="1" s="5">
      <c r="B1192" s="7" t="n"/>
      <c r="C1192" s="7" t="n"/>
    </row>
    <row r="1193" ht="15" customHeight="1" s="5">
      <c r="B1193" s="7" t="n"/>
      <c r="C1193" s="7" t="n"/>
    </row>
    <row r="1194" ht="15" customHeight="1" s="5">
      <c r="B1194" s="7" t="n"/>
      <c r="C1194" s="7" t="n"/>
    </row>
    <row r="1195" ht="15" customHeight="1" s="5">
      <c r="B1195" s="7" t="n"/>
      <c r="C1195" s="7" t="n"/>
    </row>
    <row r="1196" ht="15" customHeight="1" s="5">
      <c r="B1196" s="7" t="n"/>
      <c r="C1196" s="7" t="n"/>
    </row>
    <row r="1197" ht="15" customHeight="1" s="5">
      <c r="B1197" s="7" t="n"/>
      <c r="C1197" s="7" t="n"/>
    </row>
    <row r="1198" ht="15" customHeight="1" s="5">
      <c r="B1198" s="7" t="n"/>
      <c r="C1198" s="7" t="n"/>
    </row>
    <row r="1199" ht="15" customHeight="1" s="5">
      <c r="B1199" s="7" t="n"/>
      <c r="C1199" s="7" t="n"/>
    </row>
    <row r="1200" ht="15" customHeight="1" s="5">
      <c r="B1200" s="7" t="n"/>
      <c r="C1200" s="7" t="n"/>
    </row>
    <row r="1201" ht="15" customHeight="1" s="5">
      <c r="B1201" s="7" t="n"/>
      <c r="C1201" s="7" t="n"/>
    </row>
    <row r="1202" ht="15" customHeight="1" s="5">
      <c r="B1202" s="7" t="n"/>
      <c r="C1202" s="7" t="n"/>
    </row>
    <row r="1203" ht="15" customHeight="1" s="5">
      <c r="B1203" s="7" t="n"/>
      <c r="C1203" s="7" t="n"/>
    </row>
    <row r="1204" ht="15" customHeight="1" s="5">
      <c r="B1204" s="7" t="n"/>
      <c r="C1204" s="7" t="n"/>
    </row>
    <row r="1205" ht="15" customHeight="1" s="5">
      <c r="B1205" s="7" t="n"/>
      <c r="C1205" s="7" t="n"/>
    </row>
    <row r="1206" ht="15" customHeight="1" s="5">
      <c r="B1206" s="7" t="n"/>
      <c r="C1206" s="7" t="n"/>
    </row>
    <row r="1207" ht="15" customHeight="1" s="5">
      <c r="B1207" s="7" t="n"/>
      <c r="C1207" s="7" t="n"/>
    </row>
    <row r="1208" ht="15" customHeight="1" s="5">
      <c r="B1208" s="7" t="n"/>
      <c r="C1208" s="7" t="n"/>
    </row>
    <row r="1209" ht="15" customHeight="1" s="5">
      <c r="B1209" s="7" t="n"/>
      <c r="C1209" s="7" t="n"/>
    </row>
    <row r="1210" ht="15" customHeight="1" s="5">
      <c r="B1210" s="7" t="n"/>
      <c r="C1210" s="7" t="n"/>
    </row>
    <row r="1211" ht="15" customHeight="1" s="5">
      <c r="B1211" s="7" t="n"/>
      <c r="C1211" s="7" t="n"/>
    </row>
    <row r="1212" ht="15" customHeight="1" s="5">
      <c r="B1212" s="7" t="n"/>
      <c r="C1212" s="7" t="n"/>
    </row>
    <row r="1213" ht="15" customHeight="1" s="5">
      <c r="B1213" s="7" t="n"/>
      <c r="C1213" s="7" t="n"/>
    </row>
    <row r="1214" ht="15" customHeight="1" s="5">
      <c r="B1214" s="7" t="n"/>
      <c r="C1214" s="7" t="n"/>
    </row>
    <row r="1215" ht="15" customHeight="1" s="5">
      <c r="B1215" s="7" t="n"/>
      <c r="C1215" s="7" t="n"/>
    </row>
    <row r="1216" ht="15" customHeight="1" s="5">
      <c r="B1216" s="7" t="n"/>
      <c r="C1216" s="7" t="n"/>
    </row>
    <row r="1217" ht="15" customHeight="1" s="5">
      <c r="B1217" s="7" t="n"/>
      <c r="C1217" s="7" t="n"/>
    </row>
    <row r="1218" ht="15" customHeight="1" s="5">
      <c r="B1218" s="7" t="n"/>
      <c r="C1218" s="7" t="n"/>
    </row>
    <row r="1219" ht="15" customHeight="1" s="5">
      <c r="B1219" s="7" t="n"/>
      <c r="C1219" s="7" t="n"/>
    </row>
    <row r="1220" ht="15" customHeight="1" s="5">
      <c r="B1220" s="7" t="n"/>
      <c r="C1220" s="7" t="n"/>
    </row>
    <row r="1221" ht="15" customHeight="1" s="5">
      <c r="B1221" s="7" t="n"/>
      <c r="C1221" s="7" t="n"/>
    </row>
    <row r="1222" ht="15" customHeight="1" s="5">
      <c r="B1222" s="7" t="n"/>
      <c r="C1222" s="7" t="n"/>
    </row>
    <row r="1223" ht="15" customHeight="1" s="5">
      <c r="B1223" s="7" t="n"/>
      <c r="C1223" s="7" t="n"/>
    </row>
    <row r="1224" ht="15" customHeight="1" s="5">
      <c r="B1224" s="7" t="n"/>
      <c r="C1224" s="7" t="n"/>
    </row>
    <row r="1225" ht="15" customHeight="1" s="5">
      <c r="B1225" s="7" t="n"/>
      <c r="C1225" s="7" t="n"/>
    </row>
    <row r="1226" ht="15" customHeight="1" s="5">
      <c r="B1226" s="7" t="n"/>
      <c r="C1226" s="7" t="n"/>
    </row>
    <row r="1227" ht="15" customHeight="1" s="5">
      <c r="B1227" s="7" t="n"/>
      <c r="C1227" s="7" t="n"/>
    </row>
    <row r="1228" ht="15" customHeight="1" s="5">
      <c r="B1228" s="7" t="n"/>
      <c r="C1228" s="7" t="n"/>
    </row>
    <row r="1229" ht="15" customHeight="1" s="5">
      <c r="B1229" s="7" t="n"/>
      <c r="C1229" s="7" t="n"/>
    </row>
    <row r="1230" ht="15" customHeight="1" s="5">
      <c r="B1230" s="7" t="n"/>
      <c r="C1230" s="7" t="n"/>
    </row>
    <row r="1231" ht="15" customHeight="1" s="5">
      <c r="B1231" s="7" t="n"/>
      <c r="C1231" s="7" t="n"/>
    </row>
    <row r="1232" ht="15" customHeight="1" s="5">
      <c r="B1232" s="7" t="n"/>
      <c r="C1232" s="7" t="n"/>
    </row>
    <row r="1233" ht="15" customHeight="1" s="5">
      <c r="B1233" s="7" t="n"/>
      <c r="C1233" s="7" t="n"/>
    </row>
    <row r="1234" ht="15" customHeight="1" s="5">
      <c r="B1234" s="7" t="n"/>
      <c r="C1234" s="7" t="n"/>
    </row>
    <row r="1235" ht="15" customHeight="1" s="5">
      <c r="B1235" s="7" t="n"/>
      <c r="C1235" s="7" t="n"/>
    </row>
    <row r="1236" ht="15" customHeight="1" s="5">
      <c r="B1236" s="7" t="n"/>
      <c r="C1236" s="7" t="n"/>
    </row>
    <row r="1237" ht="15" customHeight="1" s="5">
      <c r="B1237" s="7" t="n"/>
      <c r="C1237" s="7" t="n"/>
    </row>
    <row r="1238" ht="15" customHeight="1" s="5">
      <c r="B1238" s="7" t="n"/>
      <c r="C1238" s="7" t="n"/>
    </row>
    <row r="1239" ht="15" customHeight="1" s="5">
      <c r="B1239" s="7" t="n"/>
      <c r="C1239" s="7" t="n"/>
    </row>
    <row r="1240" ht="15" customHeight="1" s="5">
      <c r="B1240" s="7" t="n"/>
      <c r="C1240" s="7" t="n"/>
    </row>
    <row r="1241" ht="15" customHeight="1" s="5">
      <c r="B1241" s="7" t="n"/>
      <c r="C1241" s="7" t="n"/>
    </row>
    <row r="1242" ht="15" customHeight="1" s="5">
      <c r="B1242" s="7" t="n"/>
      <c r="C1242" s="7" t="n"/>
    </row>
    <row r="1243" ht="15" customHeight="1" s="5">
      <c r="B1243" s="7" t="n"/>
      <c r="C1243" s="7" t="n"/>
    </row>
    <row r="1244" ht="15" customHeight="1" s="5">
      <c r="B1244" s="7" t="n"/>
      <c r="C1244" s="7" t="n"/>
    </row>
    <row r="1245" ht="15" customHeight="1" s="5">
      <c r="B1245" s="7" t="n"/>
      <c r="C1245" s="7" t="n"/>
    </row>
    <row r="1246" ht="15" customHeight="1" s="5">
      <c r="B1246" s="7" t="n"/>
      <c r="C1246" s="7" t="n"/>
    </row>
    <row r="1247" ht="15" customHeight="1" s="5">
      <c r="B1247" s="7" t="n"/>
      <c r="C1247" s="7" t="n"/>
    </row>
    <row r="1248" ht="15" customHeight="1" s="5">
      <c r="B1248" s="7" t="n"/>
      <c r="C1248" s="7" t="n"/>
    </row>
    <row r="1249" ht="15" customHeight="1" s="5">
      <c r="B1249" s="7" t="n"/>
      <c r="C1249" s="7" t="n"/>
    </row>
    <row r="1250" ht="15" customHeight="1" s="5">
      <c r="B1250" s="7" t="n"/>
      <c r="C1250" s="7" t="n"/>
    </row>
    <row r="1251" ht="15" customHeight="1" s="5">
      <c r="B1251" s="7" t="n"/>
      <c r="C1251" s="7" t="n"/>
    </row>
    <row r="1252" ht="15" customHeight="1" s="5">
      <c r="B1252" s="7" t="n"/>
      <c r="C1252" s="7" t="n"/>
    </row>
    <row r="1253" ht="15" customHeight="1" s="5">
      <c r="B1253" s="7" t="n"/>
      <c r="C1253" s="7" t="n"/>
    </row>
    <row r="1254" ht="15" customHeight="1" s="5">
      <c r="B1254" s="7" t="n"/>
      <c r="C1254" s="7" t="n"/>
    </row>
    <row r="1255" ht="15" customHeight="1" s="5">
      <c r="B1255" s="7" t="n"/>
      <c r="C1255" s="7" t="n"/>
    </row>
    <row r="1256" ht="15" customHeight="1" s="5">
      <c r="B1256" s="7" t="n"/>
      <c r="C1256" s="7" t="n"/>
    </row>
    <row r="1257" ht="15" customHeight="1" s="5">
      <c r="B1257" s="7" t="n"/>
      <c r="C1257" s="7" t="n"/>
    </row>
    <row r="1258" ht="15" customHeight="1" s="5">
      <c r="B1258" s="7" t="n"/>
      <c r="C1258" s="7" t="n"/>
    </row>
    <row r="1259" ht="15" customHeight="1" s="5">
      <c r="B1259" s="7" t="n"/>
      <c r="C1259" s="7" t="n"/>
    </row>
    <row r="1260" ht="15" customHeight="1" s="5">
      <c r="B1260" s="7" t="n"/>
      <c r="C1260" s="7" t="n"/>
    </row>
    <row r="1261" ht="15" customHeight="1" s="5">
      <c r="B1261" s="7" t="n"/>
      <c r="C1261" s="7" t="n"/>
    </row>
    <row r="1262" ht="15" customHeight="1" s="5">
      <c r="B1262" s="7" t="n"/>
      <c r="C1262" s="7" t="n"/>
    </row>
    <row r="1263" ht="15" customHeight="1" s="5">
      <c r="B1263" s="7" t="n"/>
      <c r="C1263" s="7" t="n"/>
    </row>
    <row r="1264" ht="15" customHeight="1" s="5">
      <c r="B1264" s="7" t="n"/>
      <c r="C1264" s="7" t="n"/>
    </row>
    <row r="1265" ht="15" customHeight="1" s="5">
      <c r="B1265" s="7" t="n"/>
      <c r="C1265" s="7" t="n"/>
    </row>
    <row r="1266" ht="15" customHeight="1" s="5">
      <c r="B1266" s="7" t="n"/>
      <c r="C1266" s="7" t="n"/>
    </row>
    <row r="1267" ht="15" customHeight="1" s="5">
      <c r="B1267" s="7" t="n"/>
      <c r="C1267" s="7" t="n"/>
    </row>
    <row r="1268" ht="15" customHeight="1" s="5">
      <c r="B1268" s="7" t="n"/>
      <c r="C1268" s="7" t="n"/>
    </row>
  </sheetData>
  <dataValidations count="4">
    <dataValidation sqref="B2:B1268" showDropDown="0" showInputMessage="0" showErrorMessage="0" allowBlank="1" errorTitle="Not in Config list" error="Value not in Config; will still be saved." promptTitle="Skill" prompt="Pick from Config → Skill" type="list" errorStyle="warning" operator="between">
      <formula1>"PM,BA,Dev,QA,DevOps,Data,Security,UX,Architect"</formula1>
      <formula2>0</formula2>
    </dataValidation>
    <dataValidation sqref="C2:C1268" showDropDown="0" showInputMessage="0" showErrorMessage="0" allowBlank="1" errorTitle="Not in Config list" error="Value not in Config; will still be saved." promptTitle="Resource Role" prompt="Pick from Config → Resource Role" type="list" errorStyle="warning" operator="between">
      <formula1>"Project Manager,Developer,Tester,Analyst,Architect"</formula1>
      <formula2>0</formula2>
    </dataValidation>
    <dataValidation sqref="B2:B1768" showDropDown="0" showInputMessage="0" showErrorMessage="0" allowBlank="1" errorTitle="Not in Config list" error="Value not in Config; will still be saved." promptTitle="Skill" prompt="Pick from Config → Skill" type="list" errorStyle="warning">
      <formula1>"PM,BA,Dev,QA,DevOps,Data,Security,UX,Architect"</formula1>
    </dataValidation>
    <dataValidation sqref="C2:C1768" showDropDown="0" showInputMessage="0" showErrorMessage="0" allowBlank="1" errorTitle="Not in Config list" error="Value not in Config; will still be saved." promptTitle="Resource Role" prompt="Pick from Config → Resource Role" type="list" errorStyle="warning">
      <formula1>"Project Manager,Developer,Tester,Analyst,Architect"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5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From Project</t>
        </is>
      </c>
      <c r="B1" s="6" t="inlineStr">
        <is>
          <t>To Project</t>
        </is>
      </c>
      <c r="C1" s="6" t="inlineStr">
        <is>
          <t>Dependency Type</t>
        </is>
      </c>
      <c r="D1" s="6" t="inlineStr">
        <is>
          <t>Status</t>
        </is>
      </c>
      <c r="E1" s="6" t="inlineStr">
        <is>
          <t>Impact</t>
        </is>
      </c>
    </row>
    <row r="2" ht="15" customHeight="1" s="5">
      <c r="A2" s="7" t="inlineStr">
        <is>
          <t>PRJ027</t>
        </is>
      </c>
      <c r="B2" s="7" t="inlineStr">
        <is>
          <t>PRJ022</t>
        </is>
      </c>
      <c r="C2" s="7" t="inlineStr">
        <is>
          <t>Shared Resource</t>
        </is>
      </c>
      <c r="D2" s="7" t="inlineStr">
        <is>
          <t>Healthy</t>
        </is>
      </c>
      <c r="E2" s="7" t="inlineStr">
        <is>
          <t>Low</t>
        </is>
      </c>
    </row>
    <row r="3" ht="15" customHeight="1" s="5">
      <c r="A3" s="7" t="inlineStr">
        <is>
          <t>PRJ017</t>
        </is>
      </c>
      <c r="B3" s="7" t="inlineStr">
        <is>
          <t>PRJ033</t>
        </is>
      </c>
      <c r="C3" s="7" t="inlineStr">
        <is>
          <t>Finish-Start</t>
        </is>
      </c>
      <c r="D3" s="7" t="inlineStr">
        <is>
          <t>At Risk</t>
        </is>
      </c>
      <c r="E3" s="7" t="inlineStr">
        <is>
          <t>Medium</t>
        </is>
      </c>
    </row>
    <row r="4" ht="15" customHeight="1" s="5">
      <c r="A4" s="7" t="inlineStr">
        <is>
          <t>PRJ039</t>
        </is>
      </c>
      <c r="B4" s="7" t="inlineStr">
        <is>
          <t>PRJ036</t>
        </is>
      </c>
      <c r="C4" s="7" t="inlineStr">
        <is>
          <t>Blocks</t>
        </is>
      </c>
      <c r="D4" s="7" t="inlineStr">
        <is>
          <t>At Risk</t>
        </is>
      </c>
      <c r="E4" s="7" t="inlineStr">
        <is>
          <t>High</t>
        </is>
      </c>
    </row>
    <row r="5" ht="15" customHeight="1" s="5">
      <c r="A5" s="7" t="inlineStr">
        <is>
          <t>PRJ002</t>
        </is>
      </c>
      <c r="B5" s="7" t="inlineStr">
        <is>
          <t>PRJ004</t>
        </is>
      </c>
      <c r="C5" s="7" t="inlineStr">
        <is>
          <t>Start-Start</t>
        </is>
      </c>
      <c r="D5" s="7" t="inlineStr">
        <is>
          <t>Blocked</t>
        </is>
      </c>
      <c r="E5" s="7" t="inlineStr">
        <is>
          <t>Medium</t>
        </is>
      </c>
    </row>
    <row r="6" ht="15" customHeight="1" s="5">
      <c r="A6" s="7" t="inlineStr">
        <is>
          <t>PRJ009</t>
        </is>
      </c>
      <c r="B6" s="7" t="inlineStr">
        <is>
          <t>PRJ001</t>
        </is>
      </c>
      <c r="C6" s="7" t="inlineStr">
        <is>
          <t>Shared Resource</t>
        </is>
      </c>
      <c r="D6" s="7" t="inlineStr">
        <is>
          <t>Healthy</t>
        </is>
      </c>
      <c r="E6" s="7" t="inlineStr">
        <is>
          <t>High</t>
        </is>
      </c>
    </row>
    <row r="7" ht="15" customHeight="1" s="5">
      <c r="A7" s="7" t="inlineStr">
        <is>
          <t>PRJ020</t>
        </is>
      </c>
      <c r="B7" s="7" t="inlineStr">
        <is>
          <t>PRJ021</t>
        </is>
      </c>
      <c r="C7" s="7" t="inlineStr">
        <is>
          <t>Finish-Start</t>
        </is>
      </c>
      <c r="D7" s="7" t="inlineStr">
        <is>
          <t>Healthy</t>
        </is>
      </c>
      <c r="E7" s="7" t="inlineStr">
        <is>
          <t>Low</t>
        </is>
      </c>
    </row>
    <row r="8" ht="15" customHeight="1" s="5">
      <c r="A8" s="7" t="inlineStr">
        <is>
          <t>PRJ016</t>
        </is>
      </c>
      <c r="B8" s="7" t="inlineStr">
        <is>
          <t>PRJ034</t>
        </is>
      </c>
      <c r="C8" s="7" t="inlineStr">
        <is>
          <t>Start-Start</t>
        </is>
      </c>
      <c r="D8" s="7" t="inlineStr">
        <is>
          <t>Blocked</t>
        </is>
      </c>
      <c r="E8" s="7" t="inlineStr">
        <is>
          <t>High</t>
        </is>
      </c>
    </row>
    <row r="9" ht="15" customHeight="1" s="5">
      <c r="A9" s="7" t="inlineStr">
        <is>
          <t>PRJ027</t>
        </is>
      </c>
      <c r="B9" s="7" t="inlineStr">
        <is>
          <t>PRJ021</t>
        </is>
      </c>
      <c r="C9" s="7" t="inlineStr">
        <is>
          <t>Shared Resource</t>
        </is>
      </c>
      <c r="D9" s="7" t="inlineStr">
        <is>
          <t>At Risk</t>
        </is>
      </c>
      <c r="E9" s="7" t="inlineStr">
        <is>
          <t>High</t>
        </is>
      </c>
    </row>
    <row r="10" ht="15" customHeight="1" s="5">
      <c r="A10" s="7" t="inlineStr">
        <is>
          <t>PRJ009</t>
        </is>
      </c>
      <c r="B10" s="7" t="inlineStr">
        <is>
          <t>PRJ017</t>
        </is>
      </c>
      <c r="C10" s="7" t="inlineStr">
        <is>
          <t>Start-Start</t>
        </is>
      </c>
      <c r="D10" s="7" t="inlineStr">
        <is>
          <t>Blocked</t>
        </is>
      </c>
      <c r="E10" s="7" t="inlineStr">
        <is>
          <t>High</t>
        </is>
      </c>
    </row>
    <row r="11" ht="15" customHeight="1" s="5">
      <c r="A11" s="7" t="inlineStr">
        <is>
          <t>PRJ021</t>
        </is>
      </c>
      <c r="B11" s="7" t="inlineStr">
        <is>
          <t>PRJ019</t>
        </is>
      </c>
      <c r="C11" s="7" t="inlineStr">
        <is>
          <t>Start-Start</t>
        </is>
      </c>
      <c r="D11" s="7" t="inlineStr">
        <is>
          <t>Healthy</t>
        </is>
      </c>
      <c r="E11" s="7" t="inlineStr">
        <is>
          <t>Medium</t>
        </is>
      </c>
    </row>
    <row r="12" ht="15" customHeight="1" s="5">
      <c r="A12" s="7" t="inlineStr">
        <is>
          <t>PRJ024</t>
        </is>
      </c>
      <c r="B12" s="7" t="inlineStr">
        <is>
          <t>PRJ012</t>
        </is>
      </c>
      <c r="C12" s="7" t="inlineStr">
        <is>
          <t>Shared Resource</t>
        </is>
      </c>
      <c r="D12" s="7" t="inlineStr">
        <is>
          <t>At Risk</t>
        </is>
      </c>
      <c r="E12" s="7" t="inlineStr">
        <is>
          <t>High</t>
        </is>
      </c>
    </row>
    <row r="13" ht="15" customHeight="1" s="5">
      <c r="A13" s="7" t="inlineStr">
        <is>
          <t>PRJ015</t>
        </is>
      </c>
      <c r="B13" s="7" t="inlineStr">
        <is>
          <t>PRJ002</t>
        </is>
      </c>
      <c r="C13" s="7" t="inlineStr">
        <is>
          <t>Finish-Start</t>
        </is>
      </c>
      <c r="D13" s="7" t="inlineStr">
        <is>
          <t>Blocked</t>
        </is>
      </c>
      <c r="E13" s="7" t="inlineStr">
        <is>
          <t>High</t>
        </is>
      </c>
    </row>
    <row r="14" ht="15" customHeight="1" s="5">
      <c r="A14" s="7" t="inlineStr">
        <is>
          <t>PRJ040</t>
        </is>
      </c>
      <c r="B14" s="7" t="inlineStr">
        <is>
          <t>PRJ015</t>
        </is>
      </c>
      <c r="C14" s="7" t="inlineStr">
        <is>
          <t>Finish-Start</t>
        </is>
      </c>
      <c r="D14" s="7" t="inlineStr">
        <is>
          <t>At Risk</t>
        </is>
      </c>
      <c r="E14" s="7" t="inlineStr">
        <is>
          <t>Low</t>
        </is>
      </c>
    </row>
    <row r="15" ht="15" customHeight="1" s="5">
      <c r="A15" s="7" t="inlineStr">
        <is>
          <t>PRJ017</t>
        </is>
      </c>
      <c r="B15" s="7" t="inlineStr">
        <is>
          <t>PRJ011</t>
        </is>
      </c>
      <c r="C15" s="7" t="inlineStr">
        <is>
          <t>Finish-Start</t>
        </is>
      </c>
      <c r="D15" s="7" t="inlineStr">
        <is>
          <t>At Risk</t>
        </is>
      </c>
      <c r="E15" s="7" t="inlineStr">
        <is>
          <t>High</t>
        </is>
      </c>
    </row>
    <row r="16" ht="15" customHeight="1" s="5">
      <c r="A16" s="7" t="inlineStr">
        <is>
          <t>PRJ028</t>
        </is>
      </c>
      <c r="B16" s="7" t="inlineStr">
        <is>
          <t>PRJ039</t>
        </is>
      </c>
      <c r="C16" s="7" t="inlineStr">
        <is>
          <t>Blocks</t>
        </is>
      </c>
      <c r="D16" s="7" t="inlineStr">
        <is>
          <t>Healthy</t>
        </is>
      </c>
      <c r="E16" s="7" t="inlineStr">
        <is>
          <t>Low</t>
        </is>
      </c>
    </row>
    <row r="17" ht="15" customHeight="1" s="5">
      <c r="A17" s="7" t="inlineStr">
        <is>
          <t>PRJ024</t>
        </is>
      </c>
      <c r="B17" s="7" t="inlineStr">
        <is>
          <t>PRJ011</t>
        </is>
      </c>
      <c r="C17" s="7" t="inlineStr">
        <is>
          <t>Finish-Start</t>
        </is>
      </c>
      <c r="D17" s="7" t="inlineStr">
        <is>
          <t>Healthy</t>
        </is>
      </c>
      <c r="E17" s="7" t="inlineStr">
        <is>
          <t>High</t>
        </is>
      </c>
    </row>
    <row r="18" ht="15" customHeight="1" s="5">
      <c r="A18" s="7" t="inlineStr">
        <is>
          <t>PRJ034</t>
        </is>
      </c>
      <c r="B18" s="7" t="inlineStr">
        <is>
          <t>PRJ028</t>
        </is>
      </c>
      <c r="C18" s="7" t="inlineStr">
        <is>
          <t>Shared Resource</t>
        </is>
      </c>
      <c r="D18" s="7" t="inlineStr">
        <is>
          <t>Blocked</t>
        </is>
      </c>
      <c r="E18" s="7" t="inlineStr">
        <is>
          <t>Medium</t>
        </is>
      </c>
    </row>
    <row r="19" ht="15" customHeight="1" s="5">
      <c r="A19" s="7" t="inlineStr">
        <is>
          <t>PRJ008</t>
        </is>
      </c>
      <c r="B19" s="7" t="inlineStr">
        <is>
          <t>PRJ015</t>
        </is>
      </c>
      <c r="C19" s="7" t="inlineStr">
        <is>
          <t>Start-Start</t>
        </is>
      </c>
      <c r="D19" s="7" t="inlineStr">
        <is>
          <t>Healthy</t>
        </is>
      </c>
      <c r="E19" s="7" t="inlineStr">
        <is>
          <t>Medium</t>
        </is>
      </c>
    </row>
    <row r="20" ht="15" customHeight="1" s="5">
      <c r="A20" s="7" t="inlineStr">
        <is>
          <t>PRJ019</t>
        </is>
      </c>
      <c r="B20" s="7" t="inlineStr">
        <is>
          <t>PRJ032</t>
        </is>
      </c>
      <c r="C20" s="7" t="inlineStr">
        <is>
          <t>Shared Resource</t>
        </is>
      </c>
      <c r="D20" s="7" t="inlineStr">
        <is>
          <t>Healthy</t>
        </is>
      </c>
      <c r="E20" s="7" t="inlineStr">
        <is>
          <t>Medium</t>
        </is>
      </c>
    </row>
    <row r="21" ht="15" customHeight="1" s="5">
      <c r="A21" s="7" t="inlineStr">
        <is>
          <t>PRJ014</t>
        </is>
      </c>
      <c r="B21" s="7" t="inlineStr">
        <is>
          <t>PRJ039</t>
        </is>
      </c>
      <c r="C21" s="7" t="inlineStr">
        <is>
          <t>Start-Start</t>
        </is>
      </c>
      <c r="D21" s="7" t="inlineStr">
        <is>
          <t>At Risk</t>
        </is>
      </c>
      <c r="E21" s="7" t="inlineStr">
        <is>
          <t>High</t>
        </is>
      </c>
    </row>
    <row r="22" ht="15" customHeight="1" s="5">
      <c r="A22" s="7" t="inlineStr">
        <is>
          <t>PRJ013</t>
        </is>
      </c>
      <c r="B22" s="7" t="inlineStr">
        <is>
          <t>PRJ027</t>
        </is>
      </c>
      <c r="C22" s="7" t="inlineStr">
        <is>
          <t>Start-Start</t>
        </is>
      </c>
      <c r="D22" s="7" t="inlineStr">
        <is>
          <t>At Risk</t>
        </is>
      </c>
      <c r="E22" s="7" t="inlineStr">
        <is>
          <t>Low</t>
        </is>
      </c>
    </row>
    <row r="23" ht="15" customHeight="1" s="5">
      <c r="A23" s="7" t="inlineStr">
        <is>
          <t>PRJ002</t>
        </is>
      </c>
      <c r="B23" s="7" t="inlineStr">
        <is>
          <t>PRJ019</t>
        </is>
      </c>
      <c r="C23" s="7" t="inlineStr">
        <is>
          <t>Blocks</t>
        </is>
      </c>
      <c r="D23" s="7" t="inlineStr">
        <is>
          <t>Healthy</t>
        </is>
      </c>
      <c r="E23" s="7" t="inlineStr">
        <is>
          <t>High</t>
        </is>
      </c>
    </row>
    <row r="24" ht="15" customHeight="1" s="5">
      <c r="A24" s="7" t="inlineStr">
        <is>
          <t>PRJ029</t>
        </is>
      </c>
      <c r="B24" s="7" t="inlineStr">
        <is>
          <t>PRJ016</t>
        </is>
      </c>
      <c r="C24" s="7" t="inlineStr">
        <is>
          <t>Blocks</t>
        </is>
      </c>
      <c r="D24" s="7" t="inlineStr">
        <is>
          <t>Blocked</t>
        </is>
      </c>
      <c r="E24" s="7" t="inlineStr">
        <is>
          <t>High</t>
        </is>
      </c>
    </row>
    <row r="25" ht="15" customHeight="1" s="5">
      <c r="A25" s="7" t="inlineStr">
        <is>
          <t>PRJ030</t>
        </is>
      </c>
      <c r="B25" s="7" t="inlineStr">
        <is>
          <t>PRJ006</t>
        </is>
      </c>
      <c r="C25" s="7" t="inlineStr">
        <is>
          <t>Finish-Start</t>
        </is>
      </c>
      <c r="D25" s="7" t="inlineStr">
        <is>
          <t>At Risk</t>
        </is>
      </c>
      <c r="E25" s="7" t="inlineStr">
        <is>
          <t>Low</t>
        </is>
      </c>
    </row>
    <row r="26" ht="15" customHeight="1" s="5">
      <c r="A26" s="7" t="inlineStr">
        <is>
          <t>PRJ021</t>
        </is>
      </c>
      <c r="B26" s="7" t="inlineStr">
        <is>
          <t>PRJ026</t>
        </is>
      </c>
      <c r="C26" s="7" t="inlineStr">
        <is>
          <t>Start-Start</t>
        </is>
      </c>
      <c r="D26" s="7" t="inlineStr">
        <is>
          <t>Blocked</t>
        </is>
      </c>
      <c r="E26" s="7" t="inlineStr">
        <is>
          <t>Medium</t>
        </is>
      </c>
    </row>
    <row r="27" ht="15" customHeight="1" s="5">
      <c r="A27" s="7" t="inlineStr">
        <is>
          <t>PRJ028</t>
        </is>
      </c>
      <c r="B27" s="7" t="inlineStr">
        <is>
          <t>PRJ039</t>
        </is>
      </c>
      <c r="C27" s="7" t="inlineStr">
        <is>
          <t>Blocks</t>
        </is>
      </c>
      <c r="D27" s="7" t="inlineStr">
        <is>
          <t>Healthy</t>
        </is>
      </c>
      <c r="E27" s="7" t="inlineStr">
        <is>
          <t>Low</t>
        </is>
      </c>
    </row>
    <row r="28" ht="15" customHeight="1" s="5">
      <c r="A28" s="7" t="inlineStr">
        <is>
          <t>PRJ036</t>
        </is>
      </c>
      <c r="B28" s="7" t="inlineStr">
        <is>
          <t>PRJ004</t>
        </is>
      </c>
      <c r="C28" s="7" t="inlineStr">
        <is>
          <t>Finish-Start</t>
        </is>
      </c>
      <c r="D28" s="7" t="inlineStr">
        <is>
          <t>At Risk</t>
        </is>
      </c>
      <c r="E28" s="7" t="inlineStr">
        <is>
          <t>Low</t>
        </is>
      </c>
    </row>
    <row r="29" ht="15" customHeight="1" s="5">
      <c r="A29" s="7" t="inlineStr">
        <is>
          <t>PRJ031</t>
        </is>
      </c>
      <c r="B29" s="7" t="inlineStr">
        <is>
          <t>PRJ023</t>
        </is>
      </c>
      <c r="C29" s="7" t="inlineStr">
        <is>
          <t>Finish-Start</t>
        </is>
      </c>
      <c r="D29" s="7" t="inlineStr">
        <is>
          <t>Healthy</t>
        </is>
      </c>
      <c r="E29" s="7" t="inlineStr">
        <is>
          <t>Medium</t>
        </is>
      </c>
    </row>
    <row r="30" ht="15" customHeight="1" s="5">
      <c r="A30" s="7" t="inlineStr">
        <is>
          <t>PRJ033</t>
        </is>
      </c>
      <c r="B30" s="7" t="inlineStr">
        <is>
          <t>PRJ040</t>
        </is>
      </c>
      <c r="C30" s="7" t="inlineStr">
        <is>
          <t>Shared Resource</t>
        </is>
      </c>
      <c r="D30" s="7" t="inlineStr">
        <is>
          <t>At Risk</t>
        </is>
      </c>
      <c r="E30" s="7" t="inlineStr">
        <is>
          <t>Medium</t>
        </is>
      </c>
    </row>
    <row r="31" ht="15" customHeight="1" s="5">
      <c r="A31" s="7" t="inlineStr">
        <is>
          <t>PRJ024</t>
        </is>
      </c>
      <c r="B31" s="7" t="inlineStr">
        <is>
          <t>PRJ009</t>
        </is>
      </c>
      <c r="C31" s="7" t="inlineStr">
        <is>
          <t>Finish-Start</t>
        </is>
      </c>
      <c r="D31" s="7" t="inlineStr">
        <is>
          <t>Blocked</t>
        </is>
      </c>
      <c r="E31" s="7" t="inlineStr">
        <is>
          <t>Low</t>
        </is>
      </c>
    </row>
    <row r="32" ht="15" customHeight="1" s="5">
      <c r="A32" s="7" t="inlineStr">
        <is>
          <t>PRJ017</t>
        </is>
      </c>
      <c r="B32" s="7" t="inlineStr">
        <is>
          <t>PRJ011</t>
        </is>
      </c>
      <c r="C32" s="7" t="inlineStr">
        <is>
          <t>Shared Resource</t>
        </is>
      </c>
      <c r="D32" s="7" t="inlineStr">
        <is>
          <t>At Risk</t>
        </is>
      </c>
      <c r="E32" s="7" t="inlineStr">
        <is>
          <t>Medium</t>
        </is>
      </c>
    </row>
    <row r="33" ht="15" customHeight="1" s="5">
      <c r="A33" s="7" t="inlineStr">
        <is>
          <t>PRJ009</t>
        </is>
      </c>
      <c r="B33" s="7" t="inlineStr">
        <is>
          <t>PRJ006</t>
        </is>
      </c>
      <c r="C33" s="7" t="inlineStr">
        <is>
          <t>Blocks</t>
        </is>
      </c>
      <c r="D33" s="7" t="inlineStr">
        <is>
          <t>Blocked</t>
        </is>
      </c>
      <c r="E33" s="7" t="inlineStr">
        <is>
          <t>High</t>
        </is>
      </c>
    </row>
    <row r="34" ht="15" customHeight="1" s="5">
      <c r="A34" s="7" t="inlineStr">
        <is>
          <t>PRJ028</t>
        </is>
      </c>
      <c r="B34" s="7" t="inlineStr">
        <is>
          <t>PRJ010</t>
        </is>
      </c>
      <c r="C34" s="7" t="inlineStr">
        <is>
          <t>Blocks</t>
        </is>
      </c>
      <c r="D34" s="7" t="inlineStr">
        <is>
          <t>Healthy</t>
        </is>
      </c>
      <c r="E34" s="7" t="inlineStr">
        <is>
          <t>Medium</t>
        </is>
      </c>
    </row>
    <row r="35" ht="15" customHeight="1" s="5">
      <c r="A35" s="7" t="inlineStr">
        <is>
          <t>PRJ003</t>
        </is>
      </c>
      <c r="B35" s="7" t="inlineStr">
        <is>
          <t>PRJ009</t>
        </is>
      </c>
      <c r="C35" s="7" t="inlineStr">
        <is>
          <t>Shared Resource</t>
        </is>
      </c>
      <c r="D35" s="7" t="inlineStr">
        <is>
          <t>At Risk</t>
        </is>
      </c>
      <c r="E35" s="7" t="inlineStr">
        <is>
          <t>High</t>
        </is>
      </c>
    </row>
    <row r="36" ht="15" customHeight="1" s="5">
      <c r="A36" s="7" t="inlineStr">
        <is>
          <t>PRJ024</t>
        </is>
      </c>
      <c r="B36" s="7" t="inlineStr">
        <is>
          <t>PRJ028</t>
        </is>
      </c>
      <c r="C36" s="7" t="inlineStr">
        <is>
          <t>Blocks</t>
        </is>
      </c>
      <c r="D36" s="7" t="inlineStr">
        <is>
          <t>At Risk</t>
        </is>
      </c>
      <c r="E36" s="7" t="inlineStr">
        <is>
          <t>High</t>
        </is>
      </c>
    </row>
    <row r="37" ht="15" customHeight="1" s="5">
      <c r="A37" s="7" t="inlineStr">
        <is>
          <t>PRJ017</t>
        </is>
      </c>
      <c r="B37" s="7" t="inlineStr">
        <is>
          <t>PRJ034</t>
        </is>
      </c>
      <c r="C37" s="7" t="inlineStr">
        <is>
          <t>Blocks</t>
        </is>
      </c>
      <c r="D37" s="7" t="inlineStr">
        <is>
          <t>At Risk</t>
        </is>
      </c>
      <c r="E37" s="7" t="inlineStr">
        <is>
          <t>Low</t>
        </is>
      </c>
    </row>
    <row r="38" ht="15" customHeight="1" s="5">
      <c r="A38" s="7" t="inlineStr">
        <is>
          <t>PRJ021</t>
        </is>
      </c>
      <c r="B38" s="7" t="inlineStr">
        <is>
          <t>PRJ032</t>
        </is>
      </c>
      <c r="C38" s="7" t="inlineStr">
        <is>
          <t>Start-Start</t>
        </is>
      </c>
      <c r="D38" s="7" t="inlineStr">
        <is>
          <t>Blocked</t>
        </is>
      </c>
      <c r="E38" s="7" t="inlineStr">
        <is>
          <t>High</t>
        </is>
      </c>
    </row>
    <row r="39" ht="15" customHeight="1" s="5">
      <c r="A39" s="7" t="inlineStr">
        <is>
          <t>PRJ029</t>
        </is>
      </c>
      <c r="B39" s="7" t="inlineStr">
        <is>
          <t>PRJ004</t>
        </is>
      </c>
      <c r="C39" s="7" t="inlineStr">
        <is>
          <t>Start-Start</t>
        </is>
      </c>
      <c r="D39" s="7" t="inlineStr">
        <is>
          <t>Healthy</t>
        </is>
      </c>
      <c r="E39" s="7" t="inlineStr">
        <is>
          <t>Low</t>
        </is>
      </c>
    </row>
    <row r="40" ht="15" customHeight="1" s="5">
      <c r="A40" s="7" t="inlineStr">
        <is>
          <t>PRJ015</t>
        </is>
      </c>
      <c r="B40" s="7" t="inlineStr">
        <is>
          <t>PRJ012</t>
        </is>
      </c>
      <c r="C40" s="7" t="inlineStr">
        <is>
          <t>Finish-Start</t>
        </is>
      </c>
      <c r="D40" s="7" t="inlineStr">
        <is>
          <t>At Risk</t>
        </is>
      </c>
      <c r="E40" s="7" t="inlineStr">
        <is>
          <t>Medium</t>
        </is>
      </c>
    </row>
    <row r="41" ht="15" customHeight="1" s="5">
      <c r="A41" s="7" t="inlineStr">
        <is>
          <t>PRJ011</t>
        </is>
      </c>
      <c r="B41" s="7" t="inlineStr">
        <is>
          <t>PRJ030</t>
        </is>
      </c>
      <c r="C41" s="7" t="inlineStr">
        <is>
          <t>Shared Resource</t>
        </is>
      </c>
      <c r="D41" s="7" t="inlineStr">
        <is>
          <t>Healthy</t>
        </is>
      </c>
      <c r="E41" s="7" t="inlineStr">
        <is>
          <t>Medium</t>
        </is>
      </c>
    </row>
    <row r="42" ht="15" customHeight="1" s="5">
      <c r="C42" s="7" t="n"/>
      <c r="D42" s="7" t="n"/>
      <c r="E42" s="7" t="n"/>
    </row>
    <row r="43" ht="15" customHeight="1" s="5">
      <c r="C43" s="7" t="n"/>
      <c r="D43" s="7" t="n"/>
      <c r="E43" s="7" t="n"/>
    </row>
    <row r="44" ht="15" customHeight="1" s="5">
      <c r="C44" s="7" t="n"/>
      <c r="D44" s="7" t="n"/>
      <c r="E44" s="7" t="n"/>
    </row>
    <row r="45" ht="15" customHeight="1" s="5">
      <c r="C45" s="7" t="n"/>
      <c r="D45" s="7" t="n"/>
      <c r="E45" s="7" t="n"/>
    </row>
    <row r="46" ht="15" customHeight="1" s="5">
      <c r="C46" s="7" t="n"/>
      <c r="D46" s="7" t="n"/>
      <c r="E46" s="7" t="n"/>
    </row>
    <row r="47" ht="15" customHeight="1" s="5">
      <c r="C47" s="7" t="n"/>
      <c r="D47" s="7" t="n"/>
      <c r="E47" s="7" t="n"/>
    </row>
    <row r="48" ht="15" customHeight="1" s="5">
      <c r="C48" s="7" t="n"/>
      <c r="D48" s="7" t="n"/>
      <c r="E48" s="7" t="n"/>
    </row>
    <row r="49" ht="15" customHeight="1" s="5">
      <c r="C49" s="7" t="n"/>
      <c r="D49" s="7" t="n"/>
      <c r="E49" s="7" t="n"/>
    </row>
    <row r="50" ht="15" customHeight="1" s="5">
      <c r="C50" s="7" t="n"/>
      <c r="D50" s="7" t="n"/>
      <c r="E50" s="7" t="n"/>
    </row>
    <row r="51" ht="15" customHeight="1" s="5">
      <c r="C51" s="7" t="n"/>
      <c r="D51" s="7" t="n"/>
      <c r="E51" s="7" t="n"/>
    </row>
    <row r="52" ht="15" customHeight="1" s="5">
      <c r="C52" s="7" t="n"/>
      <c r="D52" s="7" t="n"/>
      <c r="E52" s="7" t="n"/>
    </row>
    <row r="53" ht="15" customHeight="1" s="5">
      <c r="C53" s="7" t="n"/>
      <c r="D53" s="7" t="n"/>
      <c r="E53" s="7" t="n"/>
    </row>
    <row r="54" ht="15" customHeight="1" s="5">
      <c r="C54" s="7" t="n"/>
      <c r="D54" s="7" t="n"/>
      <c r="E54" s="7" t="n"/>
    </row>
    <row r="55" ht="15" customHeight="1" s="5">
      <c r="C55" s="7" t="n"/>
      <c r="D55" s="7" t="n"/>
      <c r="E55" s="7" t="n"/>
    </row>
    <row r="56" ht="15" customHeight="1" s="5">
      <c r="C56" s="7" t="n"/>
      <c r="D56" s="7" t="n"/>
      <c r="E56" s="7" t="n"/>
    </row>
    <row r="57" ht="15" customHeight="1" s="5">
      <c r="C57" s="7" t="n"/>
      <c r="D57" s="7" t="n"/>
      <c r="E57" s="7" t="n"/>
    </row>
    <row r="58" ht="15" customHeight="1" s="5">
      <c r="C58" s="7" t="n"/>
      <c r="D58" s="7" t="n"/>
      <c r="E58" s="7" t="n"/>
    </row>
    <row r="59" ht="15" customHeight="1" s="5">
      <c r="C59" s="7" t="n"/>
      <c r="D59" s="7" t="n"/>
      <c r="E59" s="7" t="n"/>
    </row>
    <row r="60" ht="15" customHeight="1" s="5">
      <c r="C60" s="7" t="n"/>
      <c r="D60" s="7" t="n"/>
      <c r="E60" s="7" t="n"/>
    </row>
    <row r="61" ht="15" customHeight="1" s="5">
      <c r="C61" s="7" t="n"/>
      <c r="D61" s="7" t="n"/>
      <c r="E61" s="7" t="n"/>
    </row>
    <row r="62" ht="15" customHeight="1" s="5">
      <c r="C62" s="7" t="n"/>
      <c r="D62" s="7" t="n"/>
      <c r="E62" s="7" t="n"/>
    </row>
    <row r="63" ht="15" customHeight="1" s="5">
      <c r="C63" s="7" t="n"/>
      <c r="D63" s="7" t="n"/>
      <c r="E63" s="7" t="n"/>
    </row>
    <row r="64" ht="15" customHeight="1" s="5">
      <c r="C64" s="7" t="n"/>
      <c r="D64" s="7" t="n"/>
      <c r="E64" s="7" t="n"/>
    </row>
    <row r="65" ht="15" customHeight="1" s="5">
      <c r="C65" s="7" t="n"/>
      <c r="D65" s="7" t="n"/>
      <c r="E65" s="7" t="n"/>
    </row>
    <row r="66" ht="15" customHeight="1" s="5">
      <c r="C66" s="7" t="n"/>
      <c r="D66" s="7" t="n"/>
      <c r="E66" s="7" t="n"/>
    </row>
    <row r="67" ht="15" customHeight="1" s="5">
      <c r="C67" s="7" t="n"/>
      <c r="D67" s="7" t="n"/>
      <c r="E67" s="7" t="n"/>
    </row>
    <row r="68" ht="15" customHeight="1" s="5">
      <c r="C68" s="7" t="n"/>
      <c r="D68" s="7" t="n"/>
      <c r="E68" s="7" t="n"/>
    </row>
    <row r="69" ht="15" customHeight="1" s="5">
      <c r="C69" s="7" t="n"/>
      <c r="D69" s="7" t="n"/>
      <c r="E69" s="7" t="n"/>
    </row>
    <row r="70" ht="15" customHeight="1" s="5">
      <c r="C70" s="7" t="n"/>
      <c r="D70" s="7" t="n"/>
      <c r="E70" s="7" t="n"/>
    </row>
    <row r="71" ht="15" customHeight="1" s="5">
      <c r="C71" s="7" t="n"/>
      <c r="D71" s="7" t="n"/>
      <c r="E71" s="7" t="n"/>
    </row>
    <row r="72" ht="15" customHeight="1" s="5">
      <c r="C72" s="7" t="n"/>
      <c r="D72" s="7" t="n"/>
      <c r="E72" s="7" t="n"/>
    </row>
    <row r="73" ht="15" customHeight="1" s="5">
      <c r="C73" s="7" t="n"/>
      <c r="D73" s="7" t="n"/>
      <c r="E73" s="7" t="n"/>
    </row>
    <row r="74" ht="15" customHeight="1" s="5">
      <c r="C74" s="7" t="n"/>
      <c r="D74" s="7" t="n"/>
      <c r="E74" s="7" t="n"/>
    </row>
    <row r="75" ht="15" customHeight="1" s="5">
      <c r="C75" s="7" t="n"/>
      <c r="D75" s="7" t="n"/>
      <c r="E75" s="7" t="n"/>
    </row>
    <row r="76" ht="15" customHeight="1" s="5">
      <c r="C76" s="7" t="n"/>
      <c r="D76" s="7" t="n"/>
      <c r="E76" s="7" t="n"/>
    </row>
    <row r="77" ht="15" customHeight="1" s="5">
      <c r="C77" s="7" t="n"/>
      <c r="D77" s="7" t="n"/>
      <c r="E77" s="7" t="n"/>
    </row>
    <row r="78" ht="15" customHeight="1" s="5">
      <c r="C78" s="7" t="n"/>
      <c r="D78" s="7" t="n"/>
      <c r="E78" s="7" t="n"/>
    </row>
    <row r="79" ht="15" customHeight="1" s="5">
      <c r="C79" s="7" t="n"/>
      <c r="D79" s="7" t="n"/>
      <c r="E79" s="7" t="n"/>
    </row>
    <row r="80" ht="15" customHeight="1" s="5">
      <c r="C80" s="7" t="n"/>
      <c r="D80" s="7" t="n"/>
      <c r="E80" s="7" t="n"/>
    </row>
    <row r="81" ht="15" customHeight="1" s="5">
      <c r="C81" s="7" t="n"/>
      <c r="D81" s="7" t="n"/>
      <c r="E81" s="7" t="n"/>
    </row>
    <row r="82" ht="15" customHeight="1" s="5">
      <c r="C82" s="7" t="n"/>
      <c r="D82" s="7" t="n"/>
      <c r="E82" s="7" t="n"/>
    </row>
    <row r="83" ht="15" customHeight="1" s="5">
      <c r="C83" s="7" t="n"/>
      <c r="D83" s="7" t="n"/>
      <c r="E83" s="7" t="n"/>
    </row>
    <row r="84" ht="15" customHeight="1" s="5">
      <c r="C84" s="7" t="n"/>
      <c r="D84" s="7" t="n"/>
      <c r="E84" s="7" t="n"/>
    </row>
    <row r="85" ht="15" customHeight="1" s="5">
      <c r="C85" s="7" t="n"/>
      <c r="D85" s="7" t="n"/>
      <c r="E85" s="7" t="n"/>
    </row>
    <row r="86" ht="15" customHeight="1" s="5">
      <c r="C86" s="7" t="n"/>
      <c r="D86" s="7" t="n"/>
      <c r="E86" s="7" t="n"/>
    </row>
    <row r="87" ht="15" customHeight="1" s="5">
      <c r="C87" s="7" t="n"/>
      <c r="D87" s="7" t="n"/>
      <c r="E87" s="7" t="n"/>
    </row>
    <row r="88" ht="15" customHeight="1" s="5">
      <c r="C88" s="7" t="n"/>
      <c r="D88" s="7" t="n"/>
      <c r="E88" s="7" t="n"/>
    </row>
    <row r="89" ht="15" customHeight="1" s="5">
      <c r="C89" s="7" t="n"/>
      <c r="D89" s="7" t="n"/>
      <c r="E89" s="7" t="n"/>
    </row>
    <row r="90" ht="15" customHeight="1" s="5">
      <c r="C90" s="7" t="n"/>
      <c r="D90" s="7" t="n"/>
      <c r="E90" s="7" t="n"/>
    </row>
    <row r="91" ht="15" customHeight="1" s="5">
      <c r="C91" s="7" t="n"/>
      <c r="D91" s="7" t="n"/>
      <c r="E91" s="7" t="n"/>
    </row>
    <row r="92" ht="15" customHeight="1" s="5">
      <c r="C92" s="7" t="n"/>
      <c r="D92" s="7" t="n"/>
      <c r="E92" s="7" t="n"/>
    </row>
    <row r="93" ht="15" customHeight="1" s="5">
      <c r="C93" s="7" t="n"/>
      <c r="D93" s="7" t="n"/>
      <c r="E93" s="7" t="n"/>
    </row>
    <row r="94" ht="15" customHeight="1" s="5">
      <c r="C94" s="7" t="n"/>
      <c r="D94" s="7" t="n"/>
      <c r="E94" s="7" t="n"/>
    </row>
    <row r="95" ht="15" customHeight="1" s="5">
      <c r="C95" s="7" t="n"/>
      <c r="D95" s="7" t="n"/>
      <c r="E95" s="7" t="n"/>
    </row>
    <row r="96" ht="15" customHeight="1" s="5">
      <c r="C96" s="7" t="n"/>
      <c r="D96" s="7" t="n"/>
      <c r="E96" s="7" t="n"/>
    </row>
    <row r="97" ht="15" customHeight="1" s="5">
      <c r="C97" s="7" t="n"/>
      <c r="D97" s="7" t="n"/>
      <c r="E97" s="7" t="n"/>
    </row>
    <row r="98" ht="15" customHeight="1" s="5">
      <c r="C98" s="7" t="n"/>
      <c r="D98" s="7" t="n"/>
      <c r="E98" s="7" t="n"/>
    </row>
    <row r="99" ht="15" customHeight="1" s="5">
      <c r="C99" s="7" t="n"/>
      <c r="D99" s="7" t="n"/>
      <c r="E99" s="7" t="n"/>
    </row>
    <row r="100" ht="15" customHeight="1" s="5">
      <c r="C100" s="7" t="n"/>
      <c r="D100" s="7" t="n"/>
      <c r="E100" s="7" t="n"/>
    </row>
    <row r="101" ht="15" customHeight="1" s="5">
      <c r="C101" s="7" t="n"/>
      <c r="D101" s="7" t="n"/>
      <c r="E101" s="7" t="n"/>
    </row>
    <row r="102" ht="15" customHeight="1" s="5">
      <c r="C102" s="7" t="n"/>
      <c r="D102" s="7" t="n"/>
      <c r="E102" s="7" t="n"/>
    </row>
    <row r="103" ht="15" customHeight="1" s="5">
      <c r="C103" s="7" t="n"/>
      <c r="D103" s="7" t="n"/>
      <c r="E103" s="7" t="n"/>
    </row>
    <row r="104" ht="15" customHeight="1" s="5">
      <c r="C104" s="7" t="n"/>
      <c r="D104" s="7" t="n"/>
      <c r="E104" s="7" t="n"/>
    </row>
    <row r="105" ht="15" customHeight="1" s="5">
      <c r="C105" s="7" t="n"/>
      <c r="D105" s="7" t="n"/>
      <c r="E105" s="7" t="n"/>
    </row>
    <row r="106" ht="15" customHeight="1" s="5">
      <c r="C106" s="7" t="n"/>
      <c r="D106" s="7" t="n"/>
      <c r="E106" s="7" t="n"/>
    </row>
    <row r="107" ht="15" customHeight="1" s="5">
      <c r="C107" s="7" t="n"/>
      <c r="D107" s="7" t="n"/>
      <c r="E107" s="7" t="n"/>
    </row>
    <row r="108" ht="15" customHeight="1" s="5">
      <c r="C108" s="7" t="n"/>
      <c r="D108" s="7" t="n"/>
      <c r="E108" s="7" t="n"/>
    </row>
    <row r="109" ht="15" customHeight="1" s="5">
      <c r="C109" s="7" t="n"/>
      <c r="D109" s="7" t="n"/>
      <c r="E109" s="7" t="n"/>
    </row>
    <row r="110" ht="15" customHeight="1" s="5">
      <c r="C110" s="7" t="n"/>
      <c r="D110" s="7" t="n"/>
      <c r="E110" s="7" t="n"/>
    </row>
    <row r="111" ht="15" customHeight="1" s="5">
      <c r="C111" s="7" t="n"/>
      <c r="D111" s="7" t="n"/>
      <c r="E111" s="7" t="n"/>
    </row>
    <row r="112" ht="15" customHeight="1" s="5">
      <c r="C112" s="7" t="n"/>
      <c r="D112" s="7" t="n"/>
      <c r="E112" s="7" t="n"/>
    </row>
    <row r="113" ht="15" customHeight="1" s="5">
      <c r="C113" s="7" t="n"/>
      <c r="D113" s="7" t="n"/>
      <c r="E113" s="7" t="n"/>
    </row>
    <row r="114" ht="15" customHeight="1" s="5">
      <c r="C114" s="7" t="n"/>
      <c r="D114" s="7" t="n"/>
      <c r="E114" s="7" t="n"/>
    </row>
    <row r="115" ht="15" customHeight="1" s="5">
      <c r="C115" s="7" t="n"/>
      <c r="D115" s="7" t="n"/>
      <c r="E115" s="7" t="n"/>
    </row>
    <row r="116" ht="15" customHeight="1" s="5">
      <c r="C116" s="7" t="n"/>
      <c r="D116" s="7" t="n"/>
      <c r="E116" s="7" t="n"/>
    </row>
    <row r="117" ht="15" customHeight="1" s="5">
      <c r="C117" s="7" t="n"/>
      <c r="D117" s="7" t="n"/>
      <c r="E117" s="7" t="n"/>
    </row>
    <row r="118" ht="15" customHeight="1" s="5">
      <c r="C118" s="7" t="n"/>
      <c r="D118" s="7" t="n"/>
      <c r="E118" s="7" t="n"/>
    </row>
    <row r="119" ht="15" customHeight="1" s="5">
      <c r="C119" s="7" t="n"/>
      <c r="D119" s="7" t="n"/>
      <c r="E119" s="7" t="n"/>
    </row>
    <row r="120" ht="15" customHeight="1" s="5">
      <c r="C120" s="7" t="n"/>
      <c r="D120" s="7" t="n"/>
      <c r="E120" s="7" t="n"/>
    </row>
    <row r="121" ht="15" customHeight="1" s="5">
      <c r="C121" s="7" t="n"/>
      <c r="D121" s="7" t="n"/>
      <c r="E121" s="7" t="n"/>
    </row>
    <row r="122" ht="15" customHeight="1" s="5">
      <c r="C122" s="7" t="n"/>
      <c r="D122" s="7" t="n"/>
      <c r="E122" s="7" t="n"/>
    </row>
    <row r="123" ht="15" customHeight="1" s="5">
      <c r="C123" s="7" t="n"/>
      <c r="D123" s="7" t="n"/>
      <c r="E123" s="7" t="n"/>
    </row>
    <row r="124" ht="15" customHeight="1" s="5">
      <c r="C124" s="7" t="n"/>
      <c r="D124" s="7" t="n"/>
      <c r="E124" s="7" t="n"/>
    </row>
    <row r="125" ht="15" customHeight="1" s="5">
      <c r="C125" s="7" t="n"/>
      <c r="D125" s="7" t="n"/>
      <c r="E125" s="7" t="n"/>
    </row>
    <row r="126" ht="15" customHeight="1" s="5">
      <c r="C126" s="7" t="n"/>
      <c r="D126" s="7" t="n"/>
      <c r="E126" s="7" t="n"/>
    </row>
    <row r="127" ht="15" customHeight="1" s="5">
      <c r="C127" s="7" t="n"/>
      <c r="D127" s="7" t="n"/>
      <c r="E127" s="7" t="n"/>
    </row>
    <row r="128" ht="15" customHeight="1" s="5">
      <c r="C128" s="7" t="n"/>
      <c r="D128" s="7" t="n"/>
      <c r="E128" s="7" t="n"/>
    </row>
    <row r="129" ht="15" customHeight="1" s="5">
      <c r="C129" s="7" t="n"/>
      <c r="D129" s="7" t="n"/>
      <c r="E129" s="7" t="n"/>
    </row>
    <row r="130" ht="15" customHeight="1" s="5">
      <c r="C130" s="7" t="n"/>
      <c r="D130" s="7" t="n"/>
      <c r="E130" s="7" t="n"/>
    </row>
    <row r="131" ht="15" customHeight="1" s="5">
      <c r="C131" s="7" t="n"/>
      <c r="D131" s="7" t="n"/>
      <c r="E131" s="7" t="n"/>
    </row>
    <row r="132" ht="15" customHeight="1" s="5">
      <c r="C132" s="7" t="n"/>
      <c r="D132" s="7" t="n"/>
      <c r="E132" s="7" t="n"/>
    </row>
    <row r="133" ht="15" customHeight="1" s="5">
      <c r="C133" s="7" t="n"/>
      <c r="D133" s="7" t="n"/>
      <c r="E133" s="7" t="n"/>
    </row>
    <row r="134" ht="15" customHeight="1" s="5">
      <c r="C134" s="7" t="n"/>
      <c r="D134" s="7" t="n"/>
      <c r="E134" s="7" t="n"/>
    </row>
    <row r="135" ht="15" customHeight="1" s="5">
      <c r="C135" s="7" t="n"/>
      <c r="D135" s="7" t="n"/>
      <c r="E135" s="7" t="n"/>
    </row>
    <row r="136" ht="15" customHeight="1" s="5">
      <c r="C136" s="7" t="n"/>
      <c r="D136" s="7" t="n"/>
      <c r="E136" s="7" t="n"/>
    </row>
    <row r="137" ht="15" customHeight="1" s="5">
      <c r="C137" s="7" t="n"/>
      <c r="D137" s="7" t="n"/>
      <c r="E137" s="7" t="n"/>
    </row>
    <row r="138" ht="15" customHeight="1" s="5">
      <c r="C138" s="7" t="n"/>
      <c r="D138" s="7" t="n"/>
      <c r="E138" s="7" t="n"/>
    </row>
    <row r="139" ht="15" customHeight="1" s="5">
      <c r="C139" s="7" t="n"/>
      <c r="D139" s="7" t="n"/>
      <c r="E139" s="7" t="n"/>
    </row>
    <row r="140" ht="15" customHeight="1" s="5">
      <c r="C140" s="7" t="n"/>
      <c r="D140" s="7" t="n"/>
      <c r="E140" s="7" t="n"/>
    </row>
    <row r="141" ht="15" customHeight="1" s="5">
      <c r="C141" s="7" t="n"/>
      <c r="D141" s="7" t="n"/>
      <c r="E141" s="7" t="n"/>
    </row>
    <row r="142" ht="15" customHeight="1" s="5">
      <c r="C142" s="7" t="n"/>
      <c r="D142" s="7" t="n"/>
      <c r="E142" s="7" t="n"/>
    </row>
    <row r="143" ht="15" customHeight="1" s="5">
      <c r="C143" s="7" t="n"/>
      <c r="D143" s="7" t="n"/>
      <c r="E143" s="7" t="n"/>
    </row>
    <row r="144" ht="15" customHeight="1" s="5">
      <c r="C144" s="7" t="n"/>
      <c r="D144" s="7" t="n"/>
      <c r="E144" s="7" t="n"/>
    </row>
    <row r="145" ht="15" customHeight="1" s="5">
      <c r="C145" s="7" t="n"/>
      <c r="D145" s="7" t="n"/>
      <c r="E145" s="7" t="n"/>
    </row>
    <row r="146" ht="15" customHeight="1" s="5">
      <c r="C146" s="7" t="n"/>
      <c r="D146" s="7" t="n"/>
      <c r="E146" s="7" t="n"/>
    </row>
    <row r="147" ht="15" customHeight="1" s="5">
      <c r="C147" s="7" t="n"/>
      <c r="D147" s="7" t="n"/>
      <c r="E147" s="7" t="n"/>
    </row>
    <row r="148" ht="15" customHeight="1" s="5">
      <c r="C148" s="7" t="n"/>
      <c r="D148" s="7" t="n"/>
      <c r="E148" s="7" t="n"/>
    </row>
    <row r="149" ht="15" customHeight="1" s="5">
      <c r="C149" s="7" t="n"/>
      <c r="D149" s="7" t="n"/>
      <c r="E149" s="7" t="n"/>
    </row>
    <row r="150" ht="15" customHeight="1" s="5">
      <c r="C150" s="7" t="n"/>
      <c r="D150" s="7" t="n"/>
      <c r="E150" s="7" t="n"/>
    </row>
    <row r="151" ht="15" customHeight="1" s="5">
      <c r="C151" s="7" t="n"/>
      <c r="D151" s="7" t="n"/>
      <c r="E151" s="7" t="n"/>
    </row>
    <row r="152" ht="15" customHeight="1" s="5">
      <c r="C152" s="7" t="n"/>
      <c r="D152" s="7" t="n"/>
      <c r="E152" s="7" t="n"/>
    </row>
    <row r="153" ht="15" customHeight="1" s="5">
      <c r="C153" s="7" t="n"/>
      <c r="D153" s="7" t="n"/>
      <c r="E153" s="7" t="n"/>
    </row>
    <row r="154" ht="15" customHeight="1" s="5">
      <c r="C154" s="7" t="n"/>
      <c r="D154" s="7" t="n"/>
      <c r="E154" s="7" t="n"/>
    </row>
    <row r="155" ht="15" customHeight="1" s="5">
      <c r="C155" s="7" t="n"/>
      <c r="D155" s="7" t="n"/>
      <c r="E155" s="7" t="n"/>
    </row>
    <row r="156" ht="15" customHeight="1" s="5">
      <c r="C156" s="7" t="n"/>
      <c r="D156" s="7" t="n"/>
      <c r="E156" s="7" t="n"/>
    </row>
    <row r="157" ht="15" customHeight="1" s="5">
      <c r="C157" s="7" t="n"/>
      <c r="D157" s="7" t="n"/>
      <c r="E157" s="7" t="n"/>
    </row>
    <row r="158" ht="15" customHeight="1" s="5">
      <c r="C158" s="7" t="n"/>
      <c r="D158" s="7" t="n"/>
      <c r="E158" s="7" t="n"/>
    </row>
    <row r="159" ht="15" customHeight="1" s="5">
      <c r="C159" s="7" t="n"/>
      <c r="D159" s="7" t="n"/>
      <c r="E159" s="7" t="n"/>
    </row>
    <row r="160" ht="15" customHeight="1" s="5">
      <c r="C160" s="7" t="n"/>
      <c r="D160" s="7" t="n"/>
      <c r="E160" s="7" t="n"/>
    </row>
    <row r="161" ht="15" customHeight="1" s="5">
      <c r="C161" s="7" t="n"/>
      <c r="D161" s="7" t="n"/>
      <c r="E161" s="7" t="n"/>
    </row>
    <row r="162" ht="15" customHeight="1" s="5">
      <c r="C162" s="7" t="n"/>
      <c r="D162" s="7" t="n"/>
      <c r="E162" s="7" t="n"/>
    </row>
    <row r="163" ht="15" customHeight="1" s="5">
      <c r="C163" s="7" t="n"/>
      <c r="D163" s="7" t="n"/>
      <c r="E163" s="7" t="n"/>
    </row>
    <row r="164" ht="15" customHeight="1" s="5">
      <c r="C164" s="7" t="n"/>
      <c r="D164" s="7" t="n"/>
      <c r="E164" s="7" t="n"/>
    </row>
    <row r="165" ht="15" customHeight="1" s="5">
      <c r="C165" s="7" t="n"/>
      <c r="D165" s="7" t="n"/>
      <c r="E165" s="7" t="n"/>
    </row>
    <row r="166" ht="15" customHeight="1" s="5">
      <c r="C166" s="7" t="n"/>
      <c r="D166" s="7" t="n"/>
      <c r="E166" s="7" t="n"/>
    </row>
    <row r="167" ht="15" customHeight="1" s="5">
      <c r="C167" s="7" t="n"/>
      <c r="D167" s="7" t="n"/>
      <c r="E167" s="7" t="n"/>
    </row>
    <row r="168" ht="15" customHeight="1" s="5">
      <c r="C168" s="7" t="n"/>
      <c r="D168" s="7" t="n"/>
      <c r="E168" s="7" t="n"/>
    </row>
    <row r="169" ht="15" customHeight="1" s="5">
      <c r="C169" s="7" t="n"/>
      <c r="D169" s="7" t="n"/>
      <c r="E169" s="7" t="n"/>
    </row>
    <row r="170" ht="15" customHeight="1" s="5">
      <c r="C170" s="7" t="n"/>
      <c r="D170" s="7" t="n"/>
      <c r="E170" s="7" t="n"/>
    </row>
    <row r="171" ht="15" customHeight="1" s="5">
      <c r="C171" s="7" t="n"/>
      <c r="D171" s="7" t="n"/>
      <c r="E171" s="7" t="n"/>
    </row>
    <row r="172" ht="15" customHeight="1" s="5">
      <c r="C172" s="7" t="n"/>
      <c r="D172" s="7" t="n"/>
      <c r="E172" s="7" t="n"/>
    </row>
    <row r="173" ht="15" customHeight="1" s="5">
      <c r="C173" s="7" t="n"/>
      <c r="D173" s="7" t="n"/>
      <c r="E173" s="7" t="n"/>
    </row>
    <row r="174" ht="15" customHeight="1" s="5">
      <c r="C174" s="7" t="n"/>
      <c r="D174" s="7" t="n"/>
      <c r="E174" s="7" t="n"/>
    </row>
    <row r="175" ht="15" customHeight="1" s="5">
      <c r="C175" s="7" t="n"/>
      <c r="D175" s="7" t="n"/>
      <c r="E175" s="7" t="n"/>
    </row>
    <row r="176" ht="15" customHeight="1" s="5">
      <c r="C176" s="7" t="n"/>
      <c r="D176" s="7" t="n"/>
      <c r="E176" s="7" t="n"/>
    </row>
    <row r="177" ht="15" customHeight="1" s="5">
      <c r="C177" s="7" t="n"/>
      <c r="D177" s="7" t="n"/>
      <c r="E177" s="7" t="n"/>
    </row>
    <row r="178" ht="15" customHeight="1" s="5">
      <c r="C178" s="7" t="n"/>
      <c r="D178" s="7" t="n"/>
      <c r="E178" s="7" t="n"/>
    </row>
    <row r="179" ht="15" customHeight="1" s="5">
      <c r="C179" s="7" t="n"/>
      <c r="D179" s="7" t="n"/>
      <c r="E179" s="7" t="n"/>
    </row>
    <row r="180" ht="15" customHeight="1" s="5">
      <c r="C180" s="7" t="n"/>
      <c r="D180" s="7" t="n"/>
      <c r="E180" s="7" t="n"/>
    </row>
    <row r="181" ht="15" customHeight="1" s="5">
      <c r="C181" s="7" t="n"/>
      <c r="D181" s="7" t="n"/>
      <c r="E181" s="7" t="n"/>
    </row>
    <row r="182" ht="15" customHeight="1" s="5">
      <c r="C182" s="7" t="n"/>
      <c r="D182" s="7" t="n"/>
      <c r="E182" s="7" t="n"/>
    </row>
    <row r="183" ht="15" customHeight="1" s="5">
      <c r="C183" s="7" t="n"/>
      <c r="D183" s="7" t="n"/>
      <c r="E183" s="7" t="n"/>
    </row>
    <row r="184" ht="15" customHeight="1" s="5">
      <c r="C184" s="7" t="n"/>
      <c r="D184" s="7" t="n"/>
      <c r="E184" s="7" t="n"/>
    </row>
    <row r="185" ht="15" customHeight="1" s="5">
      <c r="C185" s="7" t="n"/>
      <c r="D185" s="7" t="n"/>
      <c r="E185" s="7" t="n"/>
    </row>
    <row r="186" ht="15" customHeight="1" s="5">
      <c r="C186" s="7" t="n"/>
      <c r="D186" s="7" t="n"/>
      <c r="E186" s="7" t="n"/>
    </row>
    <row r="187" ht="15" customHeight="1" s="5">
      <c r="C187" s="7" t="n"/>
      <c r="D187" s="7" t="n"/>
      <c r="E187" s="7" t="n"/>
    </row>
    <row r="188" ht="15" customHeight="1" s="5">
      <c r="C188" s="7" t="n"/>
      <c r="D188" s="7" t="n"/>
      <c r="E188" s="7" t="n"/>
    </row>
    <row r="189" ht="15" customHeight="1" s="5">
      <c r="C189" s="7" t="n"/>
      <c r="D189" s="7" t="n"/>
      <c r="E189" s="7" t="n"/>
    </row>
    <row r="190" ht="15" customHeight="1" s="5">
      <c r="C190" s="7" t="n"/>
      <c r="D190" s="7" t="n"/>
      <c r="E190" s="7" t="n"/>
    </row>
    <row r="191" ht="15" customHeight="1" s="5">
      <c r="C191" s="7" t="n"/>
      <c r="D191" s="7" t="n"/>
      <c r="E191" s="7" t="n"/>
    </row>
    <row r="192" ht="15" customHeight="1" s="5">
      <c r="C192" s="7" t="n"/>
      <c r="D192" s="7" t="n"/>
      <c r="E192" s="7" t="n"/>
    </row>
    <row r="193" ht="15" customHeight="1" s="5">
      <c r="C193" s="7" t="n"/>
      <c r="D193" s="7" t="n"/>
      <c r="E193" s="7" t="n"/>
    </row>
    <row r="194" ht="15" customHeight="1" s="5">
      <c r="C194" s="7" t="n"/>
      <c r="D194" s="7" t="n"/>
      <c r="E194" s="7" t="n"/>
    </row>
    <row r="195" ht="15" customHeight="1" s="5">
      <c r="C195" s="7" t="n"/>
      <c r="D195" s="7" t="n"/>
      <c r="E195" s="7" t="n"/>
    </row>
    <row r="196" ht="15" customHeight="1" s="5">
      <c r="C196" s="7" t="n"/>
      <c r="D196" s="7" t="n"/>
      <c r="E196" s="7" t="n"/>
    </row>
    <row r="197" ht="15" customHeight="1" s="5">
      <c r="C197" s="7" t="n"/>
      <c r="D197" s="7" t="n"/>
      <c r="E197" s="7" t="n"/>
    </row>
    <row r="198" ht="15" customHeight="1" s="5">
      <c r="C198" s="7" t="n"/>
      <c r="D198" s="7" t="n"/>
      <c r="E198" s="7" t="n"/>
    </row>
    <row r="199" ht="15" customHeight="1" s="5">
      <c r="C199" s="7" t="n"/>
      <c r="D199" s="7" t="n"/>
      <c r="E199" s="7" t="n"/>
    </row>
    <row r="200" ht="15" customHeight="1" s="5">
      <c r="C200" s="7" t="n"/>
      <c r="D200" s="7" t="n"/>
      <c r="E200" s="7" t="n"/>
    </row>
    <row r="201" ht="15" customHeight="1" s="5">
      <c r="C201" s="7" t="n"/>
      <c r="D201" s="7" t="n"/>
      <c r="E201" s="7" t="n"/>
    </row>
    <row r="202" ht="15" customHeight="1" s="5">
      <c r="C202" s="7" t="n"/>
      <c r="D202" s="7" t="n"/>
      <c r="E202" s="7" t="n"/>
    </row>
    <row r="203" ht="15" customHeight="1" s="5">
      <c r="C203" s="7" t="n"/>
      <c r="D203" s="7" t="n"/>
      <c r="E203" s="7" t="n"/>
    </row>
    <row r="204" ht="15" customHeight="1" s="5">
      <c r="C204" s="7" t="n"/>
      <c r="D204" s="7" t="n"/>
      <c r="E204" s="7" t="n"/>
    </row>
    <row r="205" ht="15" customHeight="1" s="5">
      <c r="C205" s="7" t="n"/>
      <c r="D205" s="7" t="n"/>
      <c r="E205" s="7" t="n"/>
    </row>
    <row r="206" ht="15" customHeight="1" s="5">
      <c r="C206" s="7" t="n"/>
      <c r="D206" s="7" t="n"/>
      <c r="E206" s="7" t="n"/>
    </row>
    <row r="207" ht="15" customHeight="1" s="5">
      <c r="C207" s="7" t="n"/>
      <c r="D207" s="7" t="n"/>
      <c r="E207" s="7" t="n"/>
    </row>
    <row r="208" ht="15" customHeight="1" s="5">
      <c r="C208" s="7" t="n"/>
      <c r="D208" s="7" t="n"/>
      <c r="E208" s="7" t="n"/>
    </row>
    <row r="209" ht="15" customHeight="1" s="5">
      <c r="C209" s="7" t="n"/>
      <c r="D209" s="7" t="n"/>
      <c r="E209" s="7" t="n"/>
    </row>
    <row r="210" ht="15" customHeight="1" s="5">
      <c r="C210" s="7" t="n"/>
      <c r="D210" s="7" t="n"/>
      <c r="E210" s="7" t="n"/>
    </row>
    <row r="211" ht="15" customHeight="1" s="5">
      <c r="C211" s="7" t="n"/>
      <c r="D211" s="7" t="n"/>
      <c r="E211" s="7" t="n"/>
    </row>
    <row r="212" ht="15" customHeight="1" s="5">
      <c r="C212" s="7" t="n"/>
      <c r="D212" s="7" t="n"/>
      <c r="E212" s="7" t="n"/>
    </row>
    <row r="213" ht="15" customHeight="1" s="5">
      <c r="C213" s="7" t="n"/>
      <c r="D213" s="7" t="n"/>
      <c r="E213" s="7" t="n"/>
    </row>
    <row r="214" ht="15" customHeight="1" s="5">
      <c r="C214" s="7" t="n"/>
      <c r="D214" s="7" t="n"/>
      <c r="E214" s="7" t="n"/>
    </row>
    <row r="215" ht="15" customHeight="1" s="5">
      <c r="C215" s="7" t="n"/>
      <c r="D215" s="7" t="n"/>
      <c r="E215" s="7" t="n"/>
    </row>
    <row r="216" ht="15" customHeight="1" s="5">
      <c r="C216" s="7" t="n"/>
      <c r="D216" s="7" t="n"/>
      <c r="E216" s="7" t="n"/>
    </row>
    <row r="217" ht="15" customHeight="1" s="5">
      <c r="C217" s="7" t="n"/>
      <c r="D217" s="7" t="n"/>
      <c r="E217" s="7" t="n"/>
    </row>
    <row r="218" ht="15" customHeight="1" s="5">
      <c r="C218" s="7" t="n"/>
      <c r="D218" s="7" t="n"/>
      <c r="E218" s="7" t="n"/>
    </row>
    <row r="219" ht="15" customHeight="1" s="5">
      <c r="C219" s="7" t="n"/>
      <c r="D219" s="7" t="n"/>
      <c r="E219" s="7" t="n"/>
    </row>
    <row r="220" ht="15" customHeight="1" s="5">
      <c r="C220" s="7" t="n"/>
      <c r="D220" s="7" t="n"/>
      <c r="E220" s="7" t="n"/>
    </row>
    <row r="221" ht="15" customHeight="1" s="5">
      <c r="C221" s="7" t="n"/>
      <c r="D221" s="7" t="n"/>
      <c r="E221" s="7" t="n"/>
    </row>
    <row r="222" ht="15" customHeight="1" s="5">
      <c r="C222" s="7" t="n"/>
      <c r="D222" s="7" t="n"/>
      <c r="E222" s="7" t="n"/>
    </row>
    <row r="223" ht="15" customHeight="1" s="5">
      <c r="C223" s="7" t="n"/>
      <c r="D223" s="7" t="n"/>
      <c r="E223" s="7" t="n"/>
    </row>
    <row r="224" ht="15" customHeight="1" s="5">
      <c r="C224" s="7" t="n"/>
      <c r="D224" s="7" t="n"/>
      <c r="E224" s="7" t="n"/>
    </row>
    <row r="225" ht="15" customHeight="1" s="5">
      <c r="C225" s="7" t="n"/>
      <c r="D225" s="7" t="n"/>
      <c r="E225" s="7" t="n"/>
    </row>
    <row r="226" ht="15" customHeight="1" s="5">
      <c r="C226" s="7" t="n"/>
      <c r="D226" s="7" t="n"/>
      <c r="E226" s="7" t="n"/>
    </row>
    <row r="227" ht="15" customHeight="1" s="5">
      <c r="C227" s="7" t="n"/>
      <c r="D227" s="7" t="n"/>
      <c r="E227" s="7" t="n"/>
    </row>
    <row r="228" ht="15" customHeight="1" s="5">
      <c r="C228" s="7" t="n"/>
      <c r="D228" s="7" t="n"/>
      <c r="E228" s="7" t="n"/>
    </row>
    <row r="229" ht="15" customHeight="1" s="5">
      <c r="C229" s="7" t="n"/>
      <c r="D229" s="7" t="n"/>
      <c r="E229" s="7" t="n"/>
    </row>
    <row r="230" ht="15" customHeight="1" s="5">
      <c r="C230" s="7" t="n"/>
      <c r="D230" s="7" t="n"/>
      <c r="E230" s="7" t="n"/>
    </row>
    <row r="231" ht="15" customHeight="1" s="5">
      <c r="C231" s="7" t="n"/>
      <c r="D231" s="7" t="n"/>
      <c r="E231" s="7" t="n"/>
    </row>
    <row r="232" ht="15" customHeight="1" s="5">
      <c r="C232" s="7" t="n"/>
      <c r="D232" s="7" t="n"/>
      <c r="E232" s="7" t="n"/>
    </row>
    <row r="233" ht="15" customHeight="1" s="5">
      <c r="C233" s="7" t="n"/>
      <c r="D233" s="7" t="n"/>
      <c r="E233" s="7" t="n"/>
    </row>
    <row r="234" ht="15" customHeight="1" s="5">
      <c r="C234" s="7" t="n"/>
      <c r="D234" s="7" t="n"/>
      <c r="E234" s="7" t="n"/>
    </row>
    <row r="235" ht="15" customHeight="1" s="5">
      <c r="C235" s="7" t="n"/>
      <c r="D235" s="7" t="n"/>
      <c r="E235" s="7" t="n"/>
    </row>
    <row r="236" ht="15" customHeight="1" s="5">
      <c r="C236" s="7" t="n"/>
      <c r="D236" s="7" t="n"/>
      <c r="E236" s="7" t="n"/>
    </row>
    <row r="237" ht="15" customHeight="1" s="5">
      <c r="C237" s="7" t="n"/>
      <c r="D237" s="7" t="n"/>
      <c r="E237" s="7" t="n"/>
    </row>
    <row r="238" ht="15" customHeight="1" s="5">
      <c r="C238" s="7" t="n"/>
      <c r="D238" s="7" t="n"/>
      <c r="E238" s="7" t="n"/>
    </row>
    <row r="239" ht="15" customHeight="1" s="5">
      <c r="C239" s="7" t="n"/>
      <c r="D239" s="7" t="n"/>
      <c r="E239" s="7" t="n"/>
    </row>
    <row r="240" ht="15" customHeight="1" s="5">
      <c r="C240" s="7" t="n"/>
      <c r="D240" s="7" t="n"/>
      <c r="E240" s="7" t="n"/>
    </row>
    <row r="241" ht="15" customHeight="1" s="5">
      <c r="C241" s="7" t="n"/>
      <c r="D241" s="7" t="n"/>
      <c r="E241" s="7" t="n"/>
    </row>
    <row r="242" ht="15" customHeight="1" s="5">
      <c r="C242" s="7" t="n"/>
      <c r="D242" s="7" t="n"/>
      <c r="E242" s="7" t="n"/>
    </row>
    <row r="243" ht="15" customHeight="1" s="5">
      <c r="C243" s="7" t="n"/>
      <c r="D243" s="7" t="n"/>
      <c r="E243" s="7" t="n"/>
    </row>
    <row r="244" ht="15" customHeight="1" s="5">
      <c r="C244" s="7" t="n"/>
      <c r="D244" s="7" t="n"/>
      <c r="E244" s="7" t="n"/>
    </row>
    <row r="245" ht="15" customHeight="1" s="5">
      <c r="C245" s="7" t="n"/>
      <c r="D245" s="7" t="n"/>
      <c r="E245" s="7" t="n"/>
    </row>
    <row r="246" ht="15" customHeight="1" s="5">
      <c r="C246" s="7" t="n"/>
      <c r="D246" s="7" t="n"/>
      <c r="E246" s="7" t="n"/>
    </row>
    <row r="247" ht="15" customHeight="1" s="5">
      <c r="C247" s="7" t="n"/>
      <c r="D247" s="7" t="n"/>
      <c r="E247" s="7" t="n"/>
    </row>
    <row r="248" ht="15" customHeight="1" s="5">
      <c r="C248" s="7" t="n"/>
      <c r="D248" s="7" t="n"/>
      <c r="E248" s="7" t="n"/>
    </row>
    <row r="249" ht="15" customHeight="1" s="5">
      <c r="C249" s="7" t="n"/>
      <c r="D249" s="7" t="n"/>
      <c r="E249" s="7" t="n"/>
    </row>
    <row r="250" ht="15" customHeight="1" s="5">
      <c r="C250" s="7" t="n"/>
      <c r="D250" s="7" t="n"/>
      <c r="E250" s="7" t="n"/>
    </row>
    <row r="251" ht="15" customHeight="1" s="5">
      <c r="C251" s="7" t="n"/>
      <c r="D251" s="7" t="n"/>
      <c r="E251" s="7" t="n"/>
    </row>
    <row r="252" ht="15" customHeight="1" s="5">
      <c r="C252" s="7" t="n"/>
      <c r="D252" s="7" t="n"/>
      <c r="E252" s="7" t="n"/>
    </row>
    <row r="253" ht="15" customHeight="1" s="5">
      <c r="C253" s="7" t="n"/>
      <c r="D253" s="7" t="n"/>
      <c r="E253" s="7" t="n"/>
    </row>
    <row r="254" ht="15" customHeight="1" s="5">
      <c r="C254" s="7" t="n"/>
      <c r="D254" s="7" t="n"/>
      <c r="E254" s="7" t="n"/>
    </row>
    <row r="255" ht="15" customHeight="1" s="5">
      <c r="C255" s="7" t="n"/>
      <c r="D255" s="7" t="n"/>
      <c r="E255" s="7" t="n"/>
    </row>
    <row r="256" ht="15" customHeight="1" s="5">
      <c r="C256" s="7" t="n"/>
      <c r="D256" s="7" t="n"/>
      <c r="E256" s="7" t="n"/>
    </row>
    <row r="257" ht="15" customHeight="1" s="5">
      <c r="C257" s="7" t="n"/>
      <c r="D257" s="7" t="n"/>
      <c r="E257" s="7" t="n"/>
    </row>
    <row r="258" ht="15" customHeight="1" s="5">
      <c r="C258" s="7" t="n"/>
      <c r="D258" s="7" t="n"/>
      <c r="E258" s="7" t="n"/>
    </row>
    <row r="259" ht="15" customHeight="1" s="5">
      <c r="C259" s="7" t="n"/>
      <c r="D259" s="7" t="n"/>
      <c r="E259" s="7" t="n"/>
    </row>
    <row r="260" ht="15" customHeight="1" s="5">
      <c r="C260" s="7" t="n"/>
      <c r="D260" s="7" t="n"/>
      <c r="E260" s="7" t="n"/>
    </row>
    <row r="261" ht="15" customHeight="1" s="5">
      <c r="C261" s="7" t="n"/>
      <c r="D261" s="7" t="n"/>
      <c r="E261" s="7" t="n"/>
    </row>
    <row r="262" ht="15" customHeight="1" s="5">
      <c r="C262" s="7" t="n"/>
      <c r="D262" s="7" t="n"/>
      <c r="E262" s="7" t="n"/>
    </row>
    <row r="263" ht="15" customHeight="1" s="5">
      <c r="C263" s="7" t="n"/>
      <c r="D263" s="7" t="n"/>
      <c r="E263" s="7" t="n"/>
    </row>
    <row r="264" ht="15" customHeight="1" s="5">
      <c r="C264" s="7" t="n"/>
      <c r="D264" s="7" t="n"/>
      <c r="E264" s="7" t="n"/>
    </row>
    <row r="265" ht="15" customHeight="1" s="5">
      <c r="C265" s="7" t="n"/>
      <c r="D265" s="7" t="n"/>
      <c r="E265" s="7" t="n"/>
    </row>
    <row r="266" ht="15" customHeight="1" s="5">
      <c r="C266" s="7" t="n"/>
      <c r="D266" s="7" t="n"/>
      <c r="E266" s="7" t="n"/>
    </row>
    <row r="267" ht="15" customHeight="1" s="5">
      <c r="C267" s="7" t="n"/>
      <c r="D267" s="7" t="n"/>
      <c r="E267" s="7" t="n"/>
    </row>
    <row r="268" ht="15" customHeight="1" s="5">
      <c r="C268" s="7" t="n"/>
      <c r="D268" s="7" t="n"/>
      <c r="E268" s="7" t="n"/>
    </row>
    <row r="269" ht="15" customHeight="1" s="5">
      <c r="C269" s="7" t="n"/>
      <c r="D269" s="7" t="n"/>
      <c r="E269" s="7" t="n"/>
    </row>
    <row r="270" ht="15" customHeight="1" s="5">
      <c r="C270" s="7" t="n"/>
      <c r="D270" s="7" t="n"/>
      <c r="E270" s="7" t="n"/>
    </row>
    <row r="271" ht="15" customHeight="1" s="5">
      <c r="C271" s="7" t="n"/>
      <c r="D271" s="7" t="n"/>
      <c r="E271" s="7" t="n"/>
    </row>
    <row r="272" ht="15" customHeight="1" s="5">
      <c r="C272" s="7" t="n"/>
      <c r="D272" s="7" t="n"/>
      <c r="E272" s="7" t="n"/>
    </row>
    <row r="273" ht="15" customHeight="1" s="5">
      <c r="C273" s="7" t="n"/>
      <c r="D273" s="7" t="n"/>
      <c r="E273" s="7" t="n"/>
    </row>
    <row r="274" ht="15" customHeight="1" s="5">
      <c r="C274" s="7" t="n"/>
      <c r="D274" s="7" t="n"/>
      <c r="E274" s="7" t="n"/>
    </row>
    <row r="275" ht="15" customHeight="1" s="5">
      <c r="C275" s="7" t="n"/>
      <c r="D275" s="7" t="n"/>
      <c r="E275" s="7" t="n"/>
    </row>
    <row r="276" ht="15" customHeight="1" s="5">
      <c r="C276" s="7" t="n"/>
      <c r="D276" s="7" t="n"/>
      <c r="E276" s="7" t="n"/>
    </row>
    <row r="277" ht="15" customHeight="1" s="5">
      <c r="C277" s="7" t="n"/>
      <c r="D277" s="7" t="n"/>
      <c r="E277" s="7" t="n"/>
    </row>
    <row r="278" ht="15" customHeight="1" s="5">
      <c r="C278" s="7" t="n"/>
      <c r="D278" s="7" t="n"/>
      <c r="E278" s="7" t="n"/>
    </row>
    <row r="279" ht="15" customHeight="1" s="5">
      <c r="C279" s="7" t="n"/>
      <c r="D279" s="7" t="n"/>
      <c r="E279" s="7" t="n"/>
    </row>
    <row r="280" ht="15" customHeight="1" s="5">
      <c r="C280" s="7" t="n"/>
      <c r="D280" s="7" t="n"/>
      <c r="E280" s="7" t="n"/>
    </row>
    <row r="281" ht="15" customHeight="1" s="5">
      <c r="C281" s="7" t="n"/>
      <c r="D281" s="7" t="n"/>
      <c r="E281" s="7" t="n"/>
    </row>
    <row r="282" ht="15" customHeight="1" s="5">
      <c r="C282" s="7" t="n"/>
      <c r="D282" s="7" t="n"/>
      <c r="E282" s="7" t="n"/>
    </row>
    <row r="283" ht="15" customHeight="1" s="5">
      <c r="C283" s="7" t="n"/>
      <c r="D283" s="7" t="n"/>
      <c r="E283" s="7" t="n"/>
    </row>
    <row r="284" ht="15" customHeight="1" s="5">
      <c r="C284" s="7" t="n"/>
      <c r="D284" s="7" t="n"/>
      <c r="E284" s="7" t="n"/>
    </row>
    <row r="285" ht="15" customHeight="1" s="5">
      <c r="C285" s="7" t="n"/>
      <c r="D285" s="7" t="n"/>
      <c r="E285" s="7" t="n"/>
    </row>
    <row r="286" ht="15" customHeight="1" s="5">
      <c r="C286" s="7" t="n"/>
      <c r="D286" s="7" t="n"/>
      <c r="E286" s="7" t="n"/>
    </row>
    <row r="287" ht="15" customHeight="1" s="5">
      <c r="C287" s="7" t="n"/>
      <c r="D287" s="7" t="n"/>
      <c r="E287" s="7" t="n"/>
    </row>
    <row r="288" ht="15" customHeight="1" s="5">
      <c r="C288" s="7" t="n"/>
      <c r="D288" s="7" t="n"/>
      <c r="E288" s="7" t="n"/>
    </row>
    <row r="289" ht="15" customHeight="1" s="5">
      <c r="C289" s="7" t="n"/>
      <c r="D289" s="7" t="n"/>
      <c r="E289" s="7" t="n"/>
    </row>
    <row r="290" ht="15" customHeight="1" s="5">
      <c r="C290" s="7" t="n"/>
      <c r="D290" s="7" t="n"/>
      <c r="E290" s="7" t="n"/>
    </row>
    <row r="291" ht="15" customHeight="1" s="5">
      <c r="C291" s="7" t="n"/>
      <c r="D291" s="7" t="n"/>
      <c r="E291" s="7" t="n"/>
    </row>
    <row r="292" ht="15" customHeight="1" s="5">
      <c r="C292" s="7" t="n"/>
      <c r="D292" s="7" t="n"/>
      <c r="E292" s="7" t="n"/>
    </row>
    <row r="293" ht="15" customHeight="1" s="5">
      <c r="C293" s="7" t="n"/>
      <c r="D293" s="7" t="n"/>
      <c r="E293" s="7" t="n"/>
    </row>
    <row r="294" ht="15" customHeight="1" s="5">
      <c r="C294" s="7" t="n"/>
      <c r="D294" s="7" t="n"/>
      <c r="E294" s="7" t="n"/>
    </row>
    <row r="295" ht="15" customHeight="1" s="5">
      <c r="C295" s="7" t="n"/>
      <c r="D295" s="7" t="n"/>
      <c r="E295" s="7" t="n"/>
    </row>
    <row r="296" ht="15" customHeight="1" s="5">
      <c r="C296" s="7" t="n"/>
      <c r="D296" s="7" t="n"/>
      <c r="E296" s="7" t="n"/>
    </row>
    <row r="297" ht="15" customHeight="1" s="5">
      <c r="C297" s="7" t="n"/>
      <c r="D297" s="7" t="n"/>
      <c r="E297" s="7" t="n"/>
    </row>
    <row r="298" ht="15" customHeight="1" s="5">
      <c r="C298" s="7" t="n"/>
      <c r="D298" s="7" t="n"/>
      <c r="E298" s="7" t="n"/>
    </row>
    <row r="299" ht="15" customHeight="1" s="5">
      <c r="C299" s="7" t="n"/>
      <c r="D299" s="7" t="n"/>
      <c r="E299" s="7" t="n"/>
    </row>
    <row r="300" ht="15" customHeight="1" s="5">
      <c r="C300" s="7" t="n"/>
      <c r="D300" s="7" t="n"/>
      <c r="E300" s="7" t="n"/>
    </row>
    <row r="301" ht="15" customHeight="1" s="5">
      <c r="C301" s="7" t="n"/>
      <c r="D301" s="7" t="n"/>
      <c r="E301" s="7" t="n"/>
    </row>
    <row r="302" ht="15" customHeight="1" s="5">
      <c r="C302" s="7" t="n"/>
      <c r="D302" s="7" t="n"/>
      <c r="E302" s="7" t="n"/>
    </row>
    <row r="303" ht="15" customHeight="1" s="5">
      <c r="C303" s="7" t="n"/>
      <c r="D303" s="7" t="n"/>
      <c r="E303" s="7" t="n"/>
    </row>
    <row r="304" ht="15" customHeight="1" s="5">
      <c r="C304" s="7" t="n"/>
      <c r="D304" s="7" t="n"/>
      <c r="E304" s="7" t="n"/>
    </row>
    <row r="305" ht="15" customHeight="1" s="5">
      <c r="C305" s="7" t="n"/>
      <c r="D305" s="7" t="n"/>
      <c r="E305" s="7" t="n"/>
    </row>
    <row r="306" ht="15" customHeight="1" s="5">
      <c r="C306" s="7" t="n"/>
      <c r="D306" s="7" t="n"/>
      <c r="E306" s="7" t="n"/>
    </row>
    <row r="307" ht="15" customHeight="1" s="5">
      <c r="C307" s="7" t="n"/>
      <c r="D307" s="7" t="n"/>
      <c r="E307" s="7" t="n"/>
    </row>
    <row r="308" ht="15" customHeight="1" s="5">
      <c r="C308" s="7" t="n"/>
      <c r="D308" s="7" t="n"/>
      <c r="E308" s="7" t="n"/>
    </row>
    <row r="309" ht="15" customHeight="1" s="5">
      <c r="C309" s="7" t="n"/>
      <c r="D309" s="7" t="n"/>
      <c r="E309" s="7" t="n"/>
    </row>
    <row r="310" ht="15" customHeight="1" s="5">
      <c r="C310" s="7" t="n"/>
      <c r="D310" s="7" t="n"/>
      <c r="E310" s="7" t="n"/>
    </row>
    <row r="311" ht="15" customHeight="1" s="5">
      <c r="C311" s="7" t="n"/>
      <c r="D311" s="7" t="n"/>
      <c r="E311" s="7" t="n"/>
    </row>
    <row r="312" ht="15" customHeight="1" s="5">
      <c r="C312" s="7" t="n"/>
      <c r="D312" s="7" t="n"/>
      <c r="E312" s="7" t="n"/>
    </row>
    <row r="313" ht="15" customHeight="1" s="5">
      <c r="C313" s="7" t="n"/>
      <c r="D313" s="7" t="n"/>
      <c r="E313" s="7" t="n"/>
    </row>
    <row r="314" ht="15" customHeight="1" s="5">
      <c r="C314" s="7" t="n"/>
      <c r="D314" s="7" t="n"/>
      <c r="E314" s="7" t="n"/>
    </row>
    <row r="315" ht="15" customHeight="1" s="5">
      <c r="C315" s="7" t="n"/>
      <c r="D315" s="7" t="n"/>
      <c r="E315" s="7" t="n"/>
    </row>
    <row r="316" ht="15" customHeight="1" s="5">
      <c r="C316" s="7" t="n"/>
      <c r="D316" s="7" t="n"/>
      <c r="E316" s="7" t="n"/>
    </row>
    <row r="317" ht="15" customHeight="1" s="5">
      <c r="C317" s="7" t="n"/>
      <c r="D317" s="7" t="n"/>
      <c r="E317" s="7" t="n"/>
    </row>
    <row r="318" ht="15" customHeight="1" s="5">
      <c r="C318" s="7" t="n"/>
      <c r="D318" s="7" t="n"/>
      <c r="E318" s="7" t="n"/>
    </row>
    <row r="319" ht="15" customHeight="1" s="5">
      <c r="C319" s="7" t="n"/>
      <c r="D319" s="7" t="n"/>
      <c r="E319" s="7" t="n"/>
    </row>
    <row r="320" ht="15" customHeight="1" s="5">
      <c r="C320" s="7" t="n"/>
      <c r="D320" s="7" t="n"/>
      <c r="E320" s="7" t="n"/>
    </row>
    <row r="321" ht="15" customHeight="1" s="5">
      <c r="C321" s="7" t="n"/>
      <c r="D321" s="7" t="n"/>
      <c r="E321" s="7" t="n"/>
    </row>
    <row r="322" ht="15" customHeight="1" s="5">
      <c r="C322" s="7" t="n"/>
      <c r="D322" s="7" t="n"/>
      <c r="E322" s="7" t="n"/>
    </row>
    <row r="323" ht="15" customHeight="1" s="5">
      <c r="C323" s="7" t="n"/>
      <c r="D323" s="7" t="n"/>
      <c r="E323" s="7" t="n"/>
    </row>
    <row r="324" ht="15" customHeight="1" s="5">
      <c r="C324" s="7" t="n"/>
      <c r="D324" s="7" t="n"/>
      <c r="E324" s="7" t="n"/>
    </row>
    <row r="325" ht="15" customHeight="1" s="5">
      <c r="C325" s="7" t="n"/>
      <c r="D325" s="7" t="n"/>
      <c r="E325" s="7" t="n"/>
    </row>
    <row r="326" ht="15" customHeight="1" s="5">
      <c r="C326" s="7" t="n"/>
      <c r="D326" s="7" t="n"/>
      <c r="E326" s="7" t="n"/>
    </row>
    <row r="327" ht="15" customHeight="1" s="5">
      <c r="C327" s="7" t="n"/>
      <c r="D327" s="7" t="n"/>
      <c r="E327" s="7" t="n"/>
    </row>
    <row r="328" ht="15" customHeight="1" s="5">
      <c r="C328" s="7" t="n"/>
      <c r="D328" s="7" t="n"/>
      <c r="E328" s="7" t="n"/>
    </row>
    <row r="329" ht="15" customHeight="1" s="5">
      <c r="C329" s="7" t="n"/>
      <c r="D329" s="7" t="n"/>
      <c r="E329" s="7" t="n"/>
    </row>
    <row r="330" ht="15" customHeight="1" s="5">
      <c r="C330" s="7" t="n"/>
      <c r="D330" s="7" t="n"/>
      <c r="E330" s="7" t="n"/>
    </row>
    <row r="331" ht="15" customHeight="1" s="5">
      <c r="C331" s="7" t="n"/>
      <c r="D331" s="7" t="n"/>
      <c r="E331" s="7" t="n"/>
    </row>
    <row r="332" ht="15" customHeight="1" s="5">
      <c r="C332" s="7" t="n"/>
      <c r="D332" s="7" t="n"/>
      <c r="E332" s="7" t="n"/>
    </row>
    <row r="333" ht="15" customHeight="1" s="5">
      <c r="C333" s="7" t="n"/>
      <c r="D333" s="7" t="n"/>
      <c r="E333" s="7" t="n"/>
    </row>
    <row r="334" ht="15" customHeight="1" s="5">
      <c r="C334" s="7" t="n"/>
      <c r="D334" s="7" t="n"/>
      <c r="E334" s="7" t="n"/>
    </row>
    <row r="335" ht="15" customHeight="1" s="5">
      <c r="C335" s="7" t="n"/>
      <c r="D335" s="7" t="n"/>
      <c r="E335" s="7" t="n"/>
    </row>
    <row r="336" ht="15" customHeight="1" s="5">
      <c r="C336" s="7" t="n"/>
      <c r="D336" s="7" t="n"/>
      <c r="E336" s="7" t="n"/>
    </row>
    <row r="337" ht="15" customHeight="1" s="5">
      <c r="C337" s="7" t="n"/>
      <c r="D337" s="7" t="n"/>
      <c r="E337" s="7" t="n"/>
    </row>
    <row r="338" ht="15" customHeight="1" s="5">
      <c r="C338" s="7" t="n"/>
      <c r="D338" s="7" t="n"/>
      <c r="E338" s="7" t="n"/>
    </row>
    <row r="339" ht="15" customHeight="1" s="5">
      <c r="C339" s="7" t="n"/>
      <c r="D339" s="7" t="n"/>
      <c r="E339" s="7" t="n"/>
    </row>
    <row r="340" ht="15" customHeight="1" s="5">
      <c r="C340" s="7" t="n"/>
      <c r="D340" s="7" t="n"/>
      <c r="E340" s="7" t="n"/>
    </row>
    <row r="341" ht="15" customHeight="1" s="5">
      <c r="C341" s="7" t="n"/>
      <c r="D341" s="7" t="n"/>
      <c r="E341" s="7" t="n"/>
    </row>
    <row r="342" ht="15" customHeight="1" s="5">
      <c r="C342" s="7" t="n"/>
      <c r="D342" s="7" t="n"/>
      <c r="E342" s="7" t="n"/>
    </row>
    <row r="343" ht="15" customHeight="1" s="5">
      <c r="C343" s="7" t="n"/>
      <c r="D343" s="7" t="n"/>
      <c r="E343" s="7" t="n"/>
    </row>
    <row r="344" ht="15" customHeight="1" s="5">
      <c r="C344" s="7" t="n"/>
      <c r="D344" s="7" t="n"/>
      <c r="E344" s="7" t="n"/>
    </row>
    <row r="345" ht="15" customHeight="1" s="5">
      <c r="C345" s="7" t="n"/>
      <c r="D345" s="7" t="n"/>
      <c r="E345" s="7" t="n"/>
    </row>
    <row r="346" ht="15" customHeight="1" s="5">
      <c r="C346" s="7" t="n"/>
      <c r="D346" s="7" t="n"/>
      <c r="E346" s="7" t="n"/>
    </row>
    <row r="347" ht="15" customHeight="1" s="5">
      <c r="C347" s="7" t="n"/>
      <c r="D347" s="7" t="n"/>
      <c r="E347" s="7" t="n"/>
    </row>
    <row r="348" ht="15" customHeight="1" s="5">
      <c r="C348" s="7" t="n"/>
      <c r="D348" s="7" t="n"/>
      <c r="E348" s="7" t="n"/>
    </row>
    <row r="349" ht="15" customHeight="1" s="5">
      <c r="C349" s="7" t="n"/>
      <c r="D349" s="7" t="n"/>
      <c r="E349" s="7" t="n"/>
    </row>
    <row r="350" ht="15" customHeight="1" s="5">
      <c r="C350" s="7" t="n"/>
      <c r="D350" s="7" t="n"/>
      <c r="E350" s="7" t="n"/>
    </row>
    <row r="351" ht="15" customHeight="1" s="5">
      <c r="C351" s="7" t="n"/>
      <c r="D351" s="7" t="n"/>
      <c r="E351" s="7" t="n"/>
    </row>
    <row r="352" ht="15" customHeight="1" s="5">
      <c r="C352" s="7" t="n"/>
      <c r="D352" s="7" t="n"/>
      <c r="E352" s="7" t="n"/>
    </row>
    <row r="353" ht="15" customHeight="1" s="5">
      <c r="C353" s="7" t="n"/>
      <c r="D353" s="7" t="n"/>
      <c r="E353" s="7" t="n"/>
    </row>
    <row r="354" ht="15" customHeight="1" s="5">
      <c r="C354" s="7" t="n"/>
      <c r="D354" s="7" t="n"/>
      <c r="E354" s="7" t="n"/>
    </row>
    <row r="355" ht="15" customHeight="1" s="5">
      <c r="C355" s="7" t="n"/>
      <c r="D355" s="7" t="n"/>
      <c r="E355" s="7" t="n"/>
    </row>
    <row r="356" ht="15" customHeight="1" s="5">
      <c r="C356" s="7" t="n"/>
      <c r="D356" s="7" t="n"/>
      <c r="E356" s="7" t="n"/>
    </row>
    <row r="357" ht="15" customHeight="1" s="5">
      <c r="C357" s="7" t="n"/>
      <c r="D357" s="7" t="n"/>
      <c r="E357" s="7" t="n"/>
    </row>
    <row r="358" ht="15" customHeight="1" s="5">
      <c r="C358" s="7" t="n"/>
      <c r="D358" s="7" t="n"/>
      <c r="E358" s="7" t="n"/>
    </row>
    <row r="359" ht="15" customHeight="1" s="5">
      <c r="C359" s="7" t="n"/>
      <c r="D359" s="7" t="n"/>
      <c r="E359" s="7" t="n"/>
    </row>
    <row r="360" ht="15" customHeight="1" s="5">
      <c r="C360" s="7" t="n"/>
      <c r="D360" s="7" t="n"/>
      <c r="E360" s="7" t="n"/>
    </row>
    <row r="361" ht="15" customHeight="1" s="5">
      <c r="C361" s="7" t="n"/>
      <c r="D361" s="7" t="n"/>
      <c r="E361" s="7" t="n"/>
    </row>
    <row r="362" ht="15" customHeight="1" s="5">
      <c r="C362" s="7" t="n"/>
      <c r="D362" s="7" t="n"/>
      <c r="E362" s="7" t="n"/>
    </row>
    <row r="363" ht="15" customHeight="1" s="5">
      <c r="C363" s="7" t="n"/>
      <c r="D363" s="7" t="n"/>
      <c r="E363" s="7" t="n"/>
    </row>
    <row r="364" ht="15" customHeight="1" s="5">
      <c r="C364" s="7" t="n"/>
      <c r="D364" s="7" t="n"/>
      <c r="E364" s="7" t="n"/>
    </row>
    <row r="365" ht="15" customHeight="1" s="5">
      <c r="C365" s="7" t="n"/>
      <c r="D365" s="7" t="n"/>
      <c r="E365" s="7" t="n"/>
    </row>
    <row r="366" ht="15" customHeight="1" s="5">
      <c r="C366" s="7" t="n"/>
      <c r="D366" s="7" t="n"/>
      <c r="E366" s="7" t="n"/>
    </row>
    <row r="367" ht="15" customHeight="1" s="5">
      <c r="C367" s="7" t="n"/>
      <c r="D367" s="7" t="n"/>
      <c r="E367" s="7" t="n"/>
    </row>
    <row r="368" ht="15" customHeight="1" s="5">
      <c r="C368" s="7" t="n"/>
      <c r="D368" s="7" t="n"/>
      <c r="E368" s="7" t="n"/>
    </row>
    <row r="369" ht="15" customHeight="1" s="5">
      <c r="C369" s="7" t="n"/>
      <c r="D369" s="7" t="n"/>
      <c r="E369" s="7" t="n"/>
    </row>
    <row r="370" ht="15" customHeight="1" s="5">
      <c r="C370" s="7" t="n"/>
      <c r="D370" s="7" t="n"/>
      <c r="E370" s="7" t="n"/>
    </row>
    <row r="371" ht="15" customHeight="1" s="5">
      <c r="C371" s="7" t="n"/>
      <c r="D371" s="7" t="n"/>
      <c r="E371" s="7" t="n"/>
    </row>
    <row r="372" ht="15" customHeight="1" s="5">
      <c r="C372" s="7" t="n"/>
      <c r="D372" s="7" t="n"/>
      <c r="E372" s="7" t="n"/>
    </row>
    <row r="373" ht="15" customHeight="1" s="5">
      <c r="C373" s="7" t="n"/>
      <c r="D373" s="7" t="n"/>
      <c r="E373" s="7" t="n"/>
    </row>
    <row r="374" ht="15" customHeight="1" s="5">
      <c r="C374" s="7" t="n"/>
      <c r="D374" s="7" t="n"/>
      <c r="E374" s="7" t="n"/>
    </row>
    <row r="375" ht="15" customHeight="1" s="5">
      <c r="C375" s="7" t="n"/>
      <c r="D375" s="7" t="n"/>
      <c r="E375" s="7" t="n"/>
    </row>
    <row r="376" ht="15" customHeight="1" s="5">
      <c r="C376" s="7" t="n"/>
      <c r="D376" s="7" t="n"/>
      <c r="E376" s="7" t="n"/>
    </row>
    <row r="377" ht="15" customHeight="1" s="5">
      <c r="C377" s="7" t="n"/>
      <c r="D377" s="7" t="n"/>
      <c r="E377" s="7" t="n"/>
    </row>
    <row r="378" ht="15" customHeight="1" s="5">
      <c r="C378" s="7" t="n"/>
      <c r="D378" s="7" t="n"/>
      <c r="E378" s="7" t="n"/>
    </row>
    <row r="379" ht="15" customHeight="1" s="5">
      <c r="C379" s="7" t="n"/>
      <c r="D379" s="7" t="n"/>
      <c r="E379" s="7" t="n"/>
    </row>
    <row r="380" ht="15" customHeight="1" s="5">
      <c r="C380" s="7" t="n"/>
      <c r="D380" s="7" t="n"/>
      <c r="E380" s="7" t="n"/>
    </row>
    <row r="381" ht="15" customHeight="1" s="5">
      <c r="C381" s="7" t="n"/>
      <c r="D381" s="7" t="n"/>
      <c r="E381" s="7" t="n"/>
    </row>
    <row r="382" ht="15" customHeight="1" s="5">
      <c r="C382" s="7" t="n"/>
      <c r="D382" s="7" t="n"/>
      <c r="E382" s="7" t="n"/>
    </row>
    <row r="383" ht="15" customHeight="1" s="5">
      <c r="C383" s="7" t="n"/>
      <c r="D383" s="7" t="n"/>
      <c r="E383" s="7" t="n"/>
    </row>
    <row r="384" ht="15" customHeight="1" s="5">
      <c r="C384" s="7" t="n"/>
      <c r="D384" s="7" t="n"/>
      <c r="E384" s="7" t="n"/>
    </row>
    <row r="385" ht="15" customHeight="1" s="5">
      <c r="C385" s="7" t="n"/>
      <c r="D385" s="7" t="n"/>
      <c r="E385" s="7" t="n"/>
    </row>
    <row r="386" ht="15" customHeight="1" s="5">
      <c r="C386" s="7" t="n"/>
      <c r="D386" s="7" t="n"/>
      <c r="E386" s="7" t="n"/>
    </row>
    <row r="387" ht="15" customHeight="1" s="5">
      <c r="C387" s="7" t="n"/>
      <c r="D387" s="7" t="n"/>
      <c r="E387" s="7" t="n"/>
    </row>
    <row r="388" ht="15" customHeight="1" s="5">
      <c r="C388" s="7" t="n"/>
      <c r="D388" s="7" t="n"/>
      <c r="E388" s="7" t="n"/>
    </row>
    <row r="389" ht="15" customHeight="1" s="5">
      <c r="C389" s="7" t="n"/>
      <c r="D389" s="7" t="n"/>
      <c r="E389" s="7" t="n"/>
    </row>
    <row r="390" ht="15" customHeight="1" s="5">
      <c r="C390" s="7" t="n"/>
      <c r="D390" s="7" t="n"/>
      <c r="E390" s="7" t="n"/>
    </row>
    <row r="391" ht="15" customHeight="1" s="5">
      <c r="C391" s="7" t="n"/>
      <c r="D391" s="7" t="n"/>
      <c r="E391" s="7" t="n"/>
    </row>
    <row r="392" ht="15" customHeight="1" s="5">
      <c r="C392" s="7" t="n"/>
      <c r="D392" s="7" t="n"/>
      <c r="E392" s="7" t="n"/>
    </row>
    <row r="393" ht="15" customHeight="1" s="5">
      <c r="C393" s="7" t="n"/>
      <c r="D393" s="7" t="n"/>
      <c r="E393" s="7" t="n"/>
    </row>
    <row r="394" ht="15" customHeight="1" s="5">
      <c r="C394" s="7" t="n"/>
      <c r="D394" s="7" t="n"/>
      <c r="E394" s="7" t="n"/>
    </row>
    <row r="395" ht="15" customHeight="1" s="5">
      <c r="C395" s="7" t="n"/>
      <c r="D395" s="7" t="n"/>
      <c r="E395" s="7" t="n"/>
    </row>
    <row r="396" ht="15" customHeight="1" s="5">
      <c r="C396" s="7" t="n"/>
      <c r="D396" s="7" t="n"/>
      <c r="E396" s="7" t="n"/>
    </row>
    <row r="397" ht="15" customHeight="1" s="5">
      <c r="C397" s="7" t="n"/>
      <c r="D397" s="7" t="n"/>
      <c r="E397" s="7" t="n"/>
    </row>
    <row r="398" ht="15" customHeight="1" s="5">
      <c r="C398" s="7" t="n"/>
      <c r="D398" s="7" t="n"/>
      <c r="E398" s="7" t="n"/>
    </row>
    <row r="399" ht="15" customHeight="1" s="5">
      <c r="C399" s="7" t="n"/>
      <c r="D399" s="7" t="n"/>
      <c r="E399" s="7" t="n"/>
    </row>
    <row r="400" ht="15" customHeight="1" s="5">
      <c r="C400" s="7" t="n"/>
      <c r="D400" s="7" t="n"/>
      <c r="E400" s="7" t="n"/>
    </row>
    <row r="401" ht="15" customHeight="1" s="5">
      <c r="C401" s="7" t="n"/>
      <c r="D401" s="7" t="n"/>
      <c r="E401" s="7" t="n"/>
    </row>
    <row r="402" ht="15" customHeight="1" s="5">
      <c r="C402" s="7" t="n"/>
      <c r="D402" s="7" t="n"/>
      <c r="E402" s="7" t="n"/>
    </row>
    <row r="403" ht="15" customHeight="1" s="5">
      <c r="C403" s="7" t="n"/>
      <c r="D403" s="7" t="n"/>
      <c r="E403" s="7" t="n"/>
    </row>
    <row r="404" ht="15" customHeight="1" s="5">
      <c r="C404" s="7" t="n"/>
      <c r="D404" s="7" t="n"/>
      <c r="E404" s="7" t="n"/>
    </row>
    <row r="405" ht="15" customHeight="1" s="5">
      <c r="C405" s="7" t="n"/>
      <c r="D405" s="7" t="n"/>
      <c r="E405" s="7" t="n"/>
    </row>
    <row r="406" ht="15" customHeight="1" s="5">
      <c r="C406" s="7" t="n"/>
      <c r="D406" s="7" t="n"/>
      <c r="E406" s="7" t="n"/>
    </row>
    <row r="407" ht="15" customHeight="1" s="5">
      <c r="C407" s="7" t="n"/>
      <c r="D407" s="7" t="n"/>
      <c r="E407" s="7" t="n"/>
    </row>
    <row r="408" ht="15" customHeight="1" s="5">
      <c r="C408" s="7" t="n"/>
      <c r="D408" s="7" t="n"/>
      <c r="E408" s="7" t="n"/>
    </row>
    <row r="409" ht="15" customHeight="1" s="5">
      <c r="C409" s="7" t="n"/>
      <c r="D409" s="7" t="n"/>
      <c r="E409" s="7" t="n"/>
    </row>
    <row r="410" ht="15" customHeight="1" s="5">
      <c r="C410" s="7" t="n"/>
      <c r="D410" s="7" t="n"/>
      <c r="E410" s="7" t="n"/>
    </row>
    <row r="411" ht="15" customHeight="1" s="5">
      <c r="C411" s="7" t="n"/>
      <c r="D411" s="7" t="n"/>
      <c r="E411" s="7" t="n"/>
    </row>
    <row r="412" ht="15" customHeight="1" s="5">
      <c r="C412" s="7" t="n"/>
      <c r="D412" s="7" t="n"/>
      <c r="E412" s="7" t="n"/>
    </row>
    <row r="413" ht="15" customHeight="1" s="5">
      <c r="C413" s="7" t="n"/>
      <c r="D413" s="7" t="n"/>
      <c r="E413" s="7" t="n"/>
    </row>
    <row r="414" ht="15" customHeight="1" s="5">
      <c r="C414" s="7" t="n"/>
      <c r="D414" s="7" t="n"/>
      <c r="E414" s="7" t="n"/>
    </row>
    <row r="415" ht="15" customHeight="1" s="5">
      <c r="C415" s="7" t="n"/>
      <c r="D415" s="7" t="n"/>
      <c r="E415" s="7" t="n"/>
    </row>
    <row r="416" ht="15" customHeight="1" s="5">
      <c r="C416" s="7" t="n"/>
      <c r="D416" s="7" t="n"/>
      <c r="E416" s="7" t="n"/>
    </row>
    <row r="417" ht="15" customHeight="1" s="5">
      <c r="C417" s="7" t="n"/>
      <c r="D417" s="7" t="n"/>
      <c r="E417" s="7" t="n"/>
    </row>
    <row r="418" ht="15" customHeight="1" s="5">
      <c r="C418" s="7" t="n"/>
      <c r="D418" s="7" t="n"/>
      <c r="E418" s="7" t="n"/>
    </row>
    <row r="419" ht="15" customHeight="1" s="5">
      <c r="C419" s="7" t="n"/>
      <c r="D419" s="7" t="n"/>
      <c r="E419" s="7" t="n"/>
    </row>
    <row r="420" ht="15" customHeight="1" s="5">
      <c r="C420" s="7" t="n"/>
      <c r="D420" s="7" t="n"/>
      <c r="E420" s="7" t="n"/>
    </row>
    <row r="421" ht="15" customHeight="1" s="5">
      <c r="C421" s="7" t="n"/>
      <c r="D421" s="7" t="n"/>
      <c r="E421" s="7" t="n"/>
    </row>
    <row r="422" ht="15" customHeight="1" s="5">
      <c r="C422" s="7" t="n"/>
      <c r="D422" s="7" t="n"/>
      <c r="E422" s="7" t="n"/>
    </row>
    <row r="423" ht="15" customHeight="1" s="5">
      <c r="C423" s="7" t="n"/>
      <c r="D423" s="7" t="n"/>
      <c r="E423" s="7" t="n"/>
    </row>
    <row r="424" ht="15" customHeight="1" s="5">
      <c r="C424" s="7" t="n"/>
      <c r="D424" s="7" t="n"/>
      <c r="E424" s="7" t="n"/>
    </row>
    <row r="425" ht="15" customHeight="1" s="5">
      <c r="C425" s="7" t="n"/>
      <c r="D425" s="7" t="n"/>
      <c r="E425" s="7" t="n"/>
    </row>
    <row r="426" ht="15" customHeight="1" s="5">
      <c r="C426" s="7" t="n"/>
      <c r="D426" s="7" t="n"/>
      <c r="E426" s="7" t="n"/>
    </row>
    <row r="427" ht="15" customHeight="1" s="5">
      <c r="C427" s="7" t="n"/>
      <c r="D427" s="7" t="n"/>
      <c r="E427" s="7" t="n"/>
    </row>
    <row r="428" ht="15" customHeight="1" s="5">
      <c r="C428" s="7" t="n"/>
      <c r="D428" s="7" t="n"/>
      <c r="E428" s="7" t="n"/>
    </row>
    <row r="429" ht="15" customHeight="1" s="5">
      <c r="C429" s="7" t="n"/>
      <c r="D429" s="7" t="n"/>
      <c r="E429" s="7" t="n"/>
    </row>
    <row r="430" ht="15" customHeight="1" s="5">
      <c r="C430" s="7" t="n"/>
      <c r="D430" s="7" t="n"/>
      <c r="E430" s="7" t="n"/>
    </row>
    <row r="431" ht="15" customHeight="1" s="5">
      <c r="C431" s="7" t="n"/>
      <c r="D431" s="7" t="n"/>
      <c r="E431" s="7" t="n"/>
    </row>
    <row r="432" ht="15" customHeight="1" s="5">
      <c r="C432" s="7" t="n"/>
      <c r="D432" s="7" t="n"/>
      <c r="E432" s="7" t="n"/>
    </row>
    <row r="433" ht="15" customHeight="1" s="5">
      <c r="C433" s="7" t="n"/>
      <c r="D433" s="7" t="n"/>
      <c r="E433" s="7" t="n"/>
    </row>
    <row r="434" ht="15" customHeight="1" s="5">
      <c r="C434" s="7" t="n"/>
      <c r="D434" s="7" t="n"/>
      <c r="E434" s="7" t="n"/>
    </row>
    <row r="435" ht="15" customHeight="1" s="5">
      <c r="C435" s="7" t="n"/>
      <c r="D435" s="7" t="n"/>
      <c r="E435" s="7" t="n"/>
    </row>
    <row r="436" ht="15" customHeight="1" s="5">
      <c r="C436" s="7" t="n"/>
      <c r="D436" s="7" t="n"/>
      <c r="E436" s="7" t="n"/>
    </row>
    <row r="437" ht="15" customHeight="1" s="5">
      <c r="C437" s="7" t="n"/>
      <c r="D437" s="7" t="n"/>
      <c r="E437" s="7" t="n"/>
    </row>
    <row r="438" ht="15" customHeight="1" s="5">
      <c r="C438" s="7" t="n"/>
      <c r="D438" s="7" t="n"/>
      <c r="E438" s="7" t="n"/>
    </row>
    <row r="439" ht="15" customHeight="1" s="5">
      <c r="C439" s="7" t="n"/>
      <c r="D439" s="7" t="n"/>
      <c r="E439" s="7" t="n"/>
    </row>
    <row r="440" ht="15" customHeight="1" s="5">
      <c r="C440" s="7" t="n"/>
      <c r="D440" s="7" t="n"/>
      <c r="E440" s="7" t="n"/>
    </row>
    <row r="441" ht="15" customHeight="1" s="5">
      <c r="C441" s="7" t="n"/>
      <c r="D441" s="7" t="n"/>
      <c r="E441" s="7" t="n"/>
    </row>
    <row r="442" ht="15" customHeight="1" s="5">
      <c r="C442" s="7" t="n"/>
      <c r="D442" s="7" t="n"/>
      <c r="E442" s="7" t="n"/>
    </row>
    <row r="443" ht="15" customHeight="1" s="5">
      <c r="C443" s="7" t="n"/>
      <c r="D443" s="7" t="n"/>
      <c r="E443" s="7" t="n"/>
    </row>
    <row r="444" ht="15" customHeight="1" s="5">
      <c r="C444" s="7" t="n"/>
      <c r="D444" s="7" t="n"/>
      <c r="E444" s="7" t="n"/>
    </row>
    <row r="445" ht="15" customHeight="1" s="5">
      <c r="C445" s="7" t="n"/>
      <c r="D445" s="7" t="n"/>
      <c r="E445" s="7" t="n"/>
    </row>
    <row r="446" ht="15" customHeight="1" s="5">
      <c r="C446" s="7" t="n"/>
      <c r="D446" s="7" t="n"/>
      <c r="E446" s="7" t="n"/>
    </row>
    <row r="447" ht="15" customHeight="1" s="5">
      <c r="C447" s="7" t="n"/>
      <c r="D447" s="7" t="n"/>
      <c r="E447" s="7" t="n"/>
    </row>
    <row r="448" ht="15" customHeight="1" s="5">
      <c r="C448" s="7" t="n"/>
      <c r="D448" s="7" t="n"/>
      <c r="E448" s="7" t="n"/>
    </row>
    <row r="449" ht="15" customHeight="1" s="5">
      <c r="C449" s="7" t="n"/>
      <c r="D449" s="7" t="n"/>
      <c r="E449" s="7" t="n"/>
    </row>
    <row r="450" ht="15" customHeight="1" s="5">
      <c r="C450" s="7" t="n"/>
      <c r="D450" s="7" t="n"/>
      <c r="E450" s="7" t="n"/>
    </row>
    <row r="451" ht="15" customHeight="1" s="5">
      <c r="C451" s="7" t="n"/>
      <c r="D451" s="7" t="n"/>
      <c r="E451" s="7" t="n"/>
    </row>
    <row r="452" ht="15" customHeight="1" s="5">
      <c r="C452" s="7" t="n"/>
      <c r="D452" s="7" t="n"/>
      <c r="E452" s="7" t="n"/>
    </row>
    <row r="453" ht="15" customHeight="1" s="5">
      <c r="C453" s="7" t="n"/>
      <c r="D453" s="7" t="n"/>
      <c r="E453" s="7" t="n"/>
    </row>
    <row r="454" ht="15" customHeight="1" s="5">
      <c r="C454" s="7" t="n"/>
      <c r="D454" s="7" t="n"/>
      <c r="E454" s="7" t="n"/>
    </row>
    <row r="455" ht="15" customHeight="1" s="5">
      <c r="C455" s="7" t="n"/>
      <c r="D455" s="7" t="n"/>
      <c r="E455" s="7" t="n"/>
    </row>
    <row r="456" ht="15" customHeight="1" s="5">
      <c r="C456" s="7" t="n"/>
      <c r="D456" s="7" t="n"/>
      <c r="E456" s="7" t="n"/>
    </row>
    <row r="457" ht="15" customHeight="1" s="5">
      <c r="C457" s="7" t="n"/>
      <c r="D457" s="7" t="n"/>
      <c r="E457" s="7" t="n"/>
    </row>
    <row r="458" ht="15" customHeight="1" s="5">
      <c r="C458" s="7" t="n"/>
      <c r="D458" s="7" t="n"/>
      <c r="E458" s="7" t="n"/>
    </row>
    <row r="459" ht="15" customHeight="1" s="5">
      <c r="C459" s="7" t="n"/>
      <c r="D459" s="7" t="n"/>
      <c r="E459" s="7" t="n"/>
    </row>
    <row r="460" ht="15" customHeight="1" s="5">
      <c r="C460" s="7" t="n"/>
      <c r="D460" s="7" t="n"/>
      <c r="E460" s="7" t="n"/>
    </row>
    <row r="461" ht="15" customHeight="1" s="5">
      <c r="C461" s="7" t="n"/>
      <c r="D461" s="7" t="n"/>
      <c r="E461" s="7" t="n"/>
    </row>
    <row r="462" ht="15" customHeight="1" s="5">
      <c r="C462" s="7" t="n"/>
      <c r="D462" s="7" t="n"/>
      <c r="E462" s="7" t="n"/>
    </row>
    <row r="463" ht="15" customHeight="1" s="5">
      <c r="C463" s="7" t="n"/>
      <c r="D463" s="7" t="n"/>
      <c r="E463" s="7" t="n"/>
    </row>
    <row r="464" ht="15" customHeight="1" s="5">
      <c r="C464" s="7" t="n"/>
      <c r="D464" s="7" t="n"/>
      <c r="E464" s="7" t="n"/>
    </row>
    <row r="465" ht="15" customHeight="1" s="5">
      <c r="C465" s="7" t="n"/>
      <c r="D465" s="7" t="n"/>
      <c r="E465" s="7" t="n"/>
    </row>
    <row r="466" ht="15" customHeight="1" s="5">
      <c r="C466" s="7" t="n"/>
      <c r="D466" s="7" t="n"/>
      <c r="E466" s="7" t="n"/>
    </row>
    <row r="467" ht="15" customHeight="1" s="5">
      <c r="C467" s="7" t="n"/>
      <c r="D467" s="7" t="n"/>
      <c r="E467" s="7" t="n"/>
    </row>
    <row r="468" ht="15" customHeight="1" s="5">
      <c r="C468" s="7" t="n"/>
      <c r="D468" s="7" t="n"/>
      <c r="E468" s="7" t="n"/>
    </row>
    <row r="469" ht="15" customHeight="1" s="5">
      <c r="C469" s="7" t="n"/>
      <c r="D469" s="7" t="n"/>
      <c r="E469" s="7" t="n"/>
    </row>
    <row r="470" ht="15" customHeight="1" s="5">
      <c r="C470" s="7" t="n"/>
      <c r="D470" s="7" t="n"/>
      <c r="E470" s="7" t="n"/>
    </row>
    <row r="471" ht="15" customHeight="1" s="5">
      <c r="C471" s="7" t="n"/>
      <c r="D471" s="7" t="n"/>
      <c r="E471" s="7" t="n"/>
    </row>
    <row r="472" ht="15" customHeight="1" s="5">
      <c r="C472" s="7" t="n"/>
      <c r="D472" s="7" t="n"/>
      <c r="E472" s="7" t="n"/>
    </row>
    <row r="473" ht="15" customHeight="1" s="5">
      <c r="C473" s="7" t="n"/>
      <c r="D473" s="7" t="n"/>
      <c r="E473" s="7" t="n"/>
    </row>
    <row r="474" ht="15" customHeight="1" s="5">
      <c r="C474" s="7" t="n"/>
      <c r="D474" s="7" t="n"/>
      <c r="E474" s="7" t="n"/>
    </row>
    <row r="475" ht="15" customHeight="1" s="5">
      <c r="C475" s="7" t="n"/>
      <c r="D475" s="7" t="n"/>
      <c r="E475" s="7" t="n"/>
    </row>
    <row r="476" ht="15" customHeight="1" s="5">
      <c r="C476" s="7" t="n"/>
      <c r="D476" s="7" t="n"/>
      <c r="E476" s="7" t="n"/>
    </row>
    <row r="477" ht="15" customHeight="1" s="5">
      <c r="C477" s="7" t="n"/>
      <c r="D477" s="7" t="n"/>
      <c r="E477" s="7" t="n"/>
    </row>
    <row r="478" ht="15" customHeight="1" s="5">
      <c r="C478" s="7" t="n"/>
      <c r="D478" s="7" t="n"/>
      <c r="E478" s="7" t="n"/>
    </row>
    <row r="479" ht="15" customHeight="1" s="5">
      <c r="C479" s="7" t="n"/>
      <c r="D479" s="7" t="n"/>
      <c r="E479" s="7" t="n"/>
    </row>
    <row r="480" ht="15" customHeight="1" s="5">
      <c r="C480" s="7" t="n"/>
      <c r="D480" s="7" t="n"/>
      <c r="E480" s="7" t="n"/>
    </row>
    <row r="481" ht="15" customHeight="1" s="5">
      <c r="C481" s="7" t="n"/>
      <c r="D481" s="7" t="n"/>
      <c r="E481" s="7" t="n"/>
    </row>
    <row r="482" ht="15" customHeight="1" s="5">
      <c r="C482" s="7" t="n"/>
      <c r="D482" s="7" t="n"/>
      <c r="E482" s="7" t="n"/>
    </row>
    <row r="483" ht="15" customHeight="1" s="5">
      <c r="C483" s="7" t="n"/>
      <c r="D483" s="7" t="n"/>
      <c r="E483" s="7" t="n"/>
    </row>
    <row r="484" ht="15" customHeight="1" s="5">
      <c r="C484" s="7" t="n"/>
      <c r="D484" s="7" t="n"/>
      <c r="E484" s="7" t="n"/>
    </row>
    <row r="485" ht="15" customHeight="1" s="5">
      <c r="C485" s="7" t="n"/>
      <c r="D485" s="7" t="n"/>
      <c r="E485" s="7" t="n"/>
    </row>
    <row r="486" ht="15" customHeight="1" s="5">
      <c r="C486" s="7" t="n"/>
      <c r="D486" s="7" t="n"/>
      <c r="E486" s="7" t="n"/>
    </row>
    <row r="487" ht="15" customHeight="1" s="5">
      <c r="C487" s="7" t="n"/>
      <c r="D487" s="7" t="n"/>
      <c r="E487" s="7" t="n"/>
    </row>
    <row r="488" ht="15" customHeight="1" s="5">
      <c r="C488" s="7" t="n"/>
      <c r="D488" s="7" t="n"/>
      <c r="E488" s="7" t="n"/>
    </row>
    <row r="489" ht="15" customHeight="1" s="5">
      <c r="C489" s="7" t="n"/>
      <c r="D489" s="7" t="n"/>
      <c r="E489" s="7" t="n"/>
    </row>
    <row r="490" ht="15" customHeight="1" s="5">
      <c r="C490" s="7" t="n"/>
      <c r="D490" s="7" t="n"/>
      <c r="E490" s="7" t="n"/>
    </row>
    <row r="491" ht="15" customHeight="1" s="5">
      <c r="C491" s="7" t="n"/>
      <c r="D491" s="7" t="n"/>
      <c r="E491" s="7" t="n"/>
    </row>
    <row r="492" ht="15" customHeight="1" s="5">
      <c r="C492" s="7" t="n"/>
      <c r="D492" s="7" t="n"/>
      <c r="E492" s="7" t="n"/>
    </row>
    <row r="493" ht="15" customHeight="1" s="5">
      <c r="C493" s="7" t="n"/>
      <c r="D493" s="7" t="n"/>
      <c r="E493" s="7" t="n"/>
    </row>
    <row r="494" ht="15" customHeight="1" s="5">
      <c r="C494" s="7" t="n"/>
      <c r="D494" s="7" t="n"/>
      <c r="E494" s="7" t="n"/>
    </row>
    <row r="495" ht="15" customHeight="1" s="5">
      <c r="C495" s="7" t="n"/>
      <c r="D495" s="7" t="n"/>
      <c r="E495" s="7" t="n"/>
    </row>
    <row r="496" ht="15" customHeight="1" s="5">
      <c r="C496" s="7" t="n"/>
      <c r="D496" s="7" t="n"/>
      <c r="E496" s="7" t="n"/>
    </row>
    <row r="497" ht="15" customHeight="1" s="5">
      <c r="C497" s="7" t="n"/>
      <c r="D497" s="7" t="n"/>
      <c r="E497" s="7" t="n"/>
    </row>
    <row r="498" ht="15" customHeight="1" s="5">
      <c r="C498" s="7" t="n"/>
      <c r="D498" s="7" t="n"/>
      <c r="E498" s="7" t="n"/>
    </row>
    <row r="499" ht="15" customHeight="1" s="5">
      <c r="C499" s="7" t="n"/>
      <c r="D499" s="7" t="n"/>
      <c r="E499" s="7" t="n"/>
    </row>
    <row r="500" ht="15" customHeight="1" s="5">
      <c r="C500" s="7" t="n"/>
      <c r="D500" s="7" t="n"/>
      <c r="E500" s="7" t="n"/>
    </row>
    <row r="501" ht="15" customHeight="1" s="5">
      <c r="C501" s="7" t="n"/>
      <c r="D501" s="7" t="n"/>
      <c r="E501" s="7" t="n"/>
    </row>
    <row r="502" ht="15" customHeight="1" s="5">
      <c r="C502" s="7" t="n"/>
      <c r="D502" s="7" t="n"/>
      <c r="E502" s="7" t="n"/>
    </row>
    <row r="503" ht="15" customHeight="1" s="5">
      <c r="C503" s="7" t="n"/>
      <c r="D503" s="7" t="n"/>
      <c r="E503" s="7" t="n"/>
    </row>
    <row r="504" ht="15" customHeight="1" s="5">
      <c r="C504" s="7" t="n"/>
      <c r="D504" s="7" t="n"/>
      <c r="E504" s="7" t="n"/>
    </row>
    <row r="505" ht="15" customHeight="1" s="5">
      <c r="C505" s="7" t="n"/>
      <c r="D505" s="7" t="n"/>
      <c r="E505" s="7" t="n"/>
    </row>
    <row r="506" ht="15" customHeight="1" s="5">
      <c r="C506" s="7" t="n"/>
      <c r="D506" s="7" t="n"/>
      <c r="E506" s="7" t="n"/>
    </row>
    <row r="507" ht="15" customHeight="1" s="5">
      <c r="C507" s="7" t="n"/>
      <c r="D507" s="7" t="n"/>
      <c r="E507" s="7" t="n"/>
    </row>
    <row r="508" ht="15" customHeight="1" s="5">
      <c r="C508" s="7" t="n"/>
      <c r="D508" s="7" t="n"/>
      <c r="E508" s="7" t="n"/>
    </row>
    <row r="509" ht="15" customHeight="1" s="5">
      <c r="C509" s="7" t="n"/>
      <c r="D509" s="7" t="n"/>
      <c r="E509" s="7" t="n"/>
    </row>
    <row r="510" ht="15" customHeight="1" s="5">
      <c r="C510" s="7" t="n"/>
      <c r="D510" s="7" t="n"/>
      <c r="E510" s="7" t="n"/>
    </row>
    <row r="511" ht="15" customHeight="1" s="5">
      <c r="C511" s="7" t="n"/>
      <c r="D511" s="7" t="n"/>
      <c r="E511" s="7" t="n"/>
    </row>
    <row r="512" ht="15" customHeight="1" s="5">
      <c r="C512" s="7" t="n"/>
      <c r="D512" s="7" t="n"/>
      <c r="E512" s="7" t="n"/>
    </row>
    <row r="513" ht="15" customHeight="1" s="5">
      <c r="C513" s="7" t="n"/>
      <c r="D513" s="7" t="n"/>
      <c r="E513" s="7" t="n"/>
    </row>
    <row r="514" ht="15" customHeight="1" s="5">
      <c r="C514" s="7" t="n"/>
      <c r="D514" s="7" t="n"/>
      <c r="E514" s="7" t="n"/>
    </row>
    <row r="515" ht="15" customHeight="1" s="5">
      <c r="C515" s="7" t="n"/>
      <c r="D515" s="7" t="n"/>
      <c r="E515" s="7" t="n"/>
    </row>
    <row r="516" ht="15" customHeight="1" s="5">
      <c r="C516" s="7" t="n"/>
      <c r="D516" s="7" t="n"/>
      <c r="E516" s="7" t="n"/>
    </row>
    <row r="517" ht="15" customHeight="1" s="5">
      <c r="C517" s="7" t="n"/>
      <c r="D517" s="7" t="n"/>
      <c r="E517" s="7" t="n"/>
    </row>
    <row r="518" ht="15" customHeight="1" s="5">
      <c r="C518" s="7" t="n"/>
      <c r="D518" s="7" t="n"/>
      <c r="E518" s="7" t="n"/>
    </row>
    <row r="519" ht="15" customHeight="1" s="5">
      <c r="C519" s="7" t="n"/>
      <c r="D519" s="7" t="n"/>
      <c r="E519" s="7" t="n"/>
    </row>
    <row r="520" ht="15" customHeight="1" s="5">
      <c r="C520" s="7" t="n"/>
      <c r="D520" s="7" t="n"/>
      <c r="E520" s="7" t="n"/>
    </row>
    <row r="521" ht="15" customHeight="1" s="5">
      <c r="C521" s="7" t="n"/>
      <c r="D521" s="7" t="n"/>
      <c r="E521" s="7" t="n"/>
    </row>
    <row r="522" ht="15" customHeight="1" s="5">
      <c r="C522" s="7" t="n"/>
      <c r="D522" s="7" t="n"/>
      <c r="E522" s="7" t="n"/>
    </row>
    <row r="523" ht="15" customHeight="1" s="5">
      <c r="C523" s="7" t="n"/>
      <c r="D523" s="7" t="n"/>
      <c r="E523" s="7" t="n"/>
    </row>
    <row r="524" ht="15" customHeight="1" s="5">
      <c r="C524" s="7" t="n"/>
      <c r="D524" s="7" t="n"/>
      <c r="E524" s="7" t="n"/>
    </row>
    <row r="525" ht="15" customHeight="1" s="5">
      <c r="C525" s="7" t="n"/>
      <c r="D525" s="7" t="n"/>
      <c r="E525" s="7" t="n"/>
    </row>
    <row r="526" ht="15" customHeight="1" s="5">
      <c r="C526" s="7" t="n"/>
      <c r="D526" s="7" t="n"/>
      <c r="E526" s="7" t="n"/>
    </row>
    <row r="527" ht="15" customHeight="1" s="5">
      <c r="C527" s="7" t="n"/>
      <c r="D527" s="7" t="n"/>
      <c r="E527" s="7" t="n"/>
    </row>
    <row r="528" ht="15" customHeight="1" s="5">
      <c r="C528" s="7" t="n"/>
      <c r="D528" s="7" t="n"/>
      <c r="E528" s="7" t="n"/>
    </row>
    <row r="529" ht="15" customHeight="1" s="5">
      <c r="C529" s="7" t="n"/>
      <c r="D529" s="7" t="n"/>
      <c r="E529" s="7" t="n"/>
    </row>
    <row r="530" ht="15" customHeight="1" s="5">
      <c r="C530" s="7" t="n"/>
      <c r="D530" s="7" t="n"/>
      <c r="E530" s="7" t="n"/>
    </row>
    <row r="531" ht="15" customHeight="1" s="5">
      <c r="C531" s="7" t="n"/>
      <c r="D531" s="7" t="n"/>
      <c r="E531" s="7" t="n"/>
    </row>
    <row r="532" ht="15" customHeight="1" s="5">
      <c r="C532" s="7" t="n"/>
      <c r="D532" s="7" t="n"/>
      <c r="E532" s="7" t="n"/>
    </row>
    <row r="533" ht="15" customHeight="1" s="5">
      <c r="C533" s="7" t="n"/>
      <c r="D533" s="7" t="n"/>
      <c r="E533" s="7" t="n"/>
    </row>
    <row r="534" ht="15" customHeight="1" s="5">
      <c r="C534" s="7" t="n"/>
      <c r="D534" s="7" t="n"/>
      <c r="E534" s="7" t="n"/>
    </row>
    <row r="535" ht="15" customHeight="1" s="5">
      <c r="C535" s="7" t="n"/>
      <c r="D535" s="7" t="n"/>
      <c r="E535" s="7" t="n"/>
    </row>
    <row r="536" ht="15" customHeight="1" s="5">
      <c r="C536" s="7" t="n"/>
      <c r="D536" s="7" t="n"/>
      <c r="E536" s="7" t="n"/>
    </row>
    <row r="537" ht="15" customHeight="1" s="5">
      <c r="C537" s="7" t="n"/>
      <c r="D537" s="7" t="n"/>
      <c r="E537" s="7" t="n"/>
    </row>
    <row r="538" ht="15" customHeight="1" s="5">
      <c r="C538" s="7" t="n"/>
      <c r="D538" s="7" t="n"/>
      <c r="E538" s="7" t="n"/>
    </row>
    <row r="539" ht="15" customHeight="1" s="5">
      <c r="C539" s="7" t="n"/>
      <c r="D539" s="7" t="n"/>
      <c r="E539" s="7" t="n"/>
    </row>
    <row r="540" ht="15" customHeight="1" s="5">
      <c r="C540" s="7" t="n"/>
      <c r="D540" s="7" t="n"/>
      <c r="E540" s="7" t="n"/>
    </row>
    <row r="541" ht="15" customHeight="1" s="5">
      <c r="C541" s="7" t="n"/>
      <c r="D541" s="7" t="n"/>
      <c r="E541" s="7" t="n"/>
    </row>
  </sheetData>
  <dataValidations count="6">
    <dataValidation sqref="C2:C541" showDropDown="0" showInputMessage="0" showErrorMessage="0" allowBlank="1" errorTitle="Not in Config list" error="Value not in Config; will still be saved." promptTitle="Dependency Type" prompt="Pick from Config → Dependency Type" type="list" errorStyle="warning" operator="between">
      <formula1>"Finish-Start,Start-Start,Blocks,Shared Resource"</formula1>
      <formula2>0</formula2>
    </dataValidation>
    <dataValidation sqref="D2:D541" showDropDown="0" showInputMessage="0" showErrorMessage="0" allowBlank="1" errorTitle="Not in Config list" error="Value not in Config; will still be saved." promptTitle="Dependency Status" prompt="Pick from Config → Dependency Status" type="list" errorStyle="warning" operator="between">
      <formula1>"Healthy,At Risk,Blocked"</formula1>
      <formula2>0</formula2>
    </dataValidation>
    <dataValidation sqref="E2:E541" showDropDown="0" showInputMessage="0" showErrorMessage="0" allowBlank="1" errorTitle="Not in Config list" error="Value not in Config; will still be saved." promptTitle="Risk Impact" prompt="Pick from Config → Risk Impact" type="list" errorStyle="warning" operator="between">
      <formula1>"Low,Medium,High,Critical"</formula1>
      <formula2>0</formula2>
    </dataValidation>
    <dataValidation sqref="C2:C1041" showDropDown="0" showInputMessage="0" showErrorMessage="0" allowBlank="1" errorTitle="Not in Config list" error="Value not in Config; will still be saved." promptTitle="Dependency Type" prompt="Pick from Config → Dependency Type" type="list" errorStyle="warning">
      <formula1>"Finish-Start,Start-Start,Blocks,Shared Resource"</formula1>
    </dataValidation>
    <dataValidation sqref="D2:D1041" showDropDown="0" showInputMessage="0" showErrorMessage="0" allowBlank="1" errorTitle="Not in Config list" error="Value not in Config; will still be saved." promptTitle="Dependency Status" prompt="Pick from Config → Dependency Status" type="list" errorStyle="warning">
      <formula1>"Healthy,At Risk,Blocked"</formula1>
    </dataValidation>
    <dataValidation sqref="E2:E1041" showDropDown="0" showInputMessage="0" showErrorMessage="0" allowBlank="1" errorTitle="Not in Config list" error="Value not in Config; will still be saved." promptTitle="Risk Impact" prompt="Pick from Config → Risk Impact" type="list" errorStyle="warning">
      <formula1>"Low,Medium,High,Critical"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J5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Idea ID</t>
        </is>
      </c>
      <c r="B1" s="6" t="inlineStr">
        <is>
          <t>Name</t>
        </is>
      </c>
      <c r="C1" s="6" t="inlineStr">
        <is>
          <t>Submitter</t>
        </is>
      </c>
      <c r="D1" s="6" t="inlineStr">
        <is>
          <t>Strategic Fit (1-5)</t>
        </is>
      </c>
      <c r="E1" s="6" t="inlineStr">
        <is>
          <t>Value (1-5)</t>
        </is>
      </c>
      <c r="F1" s="6" t="inlineStr">
        <is>
          <t>Risk (1-5)</t>
        </is>
      </c>
      <c r="G1" s="6" t="inlineStr">
        <is>
          <t>Effort (1-5)</t>
        </is>
      </c>
      <c r="H1" s="6" t="inlineStr">
        <is>
          <t>Priority Score</t>
        </is>
      </c>
      <c r="I1" s="6" t="inlineStr">
        <is>
          <t>Decision</t>
        </is>
      </c>
      <c r="J1" s="6" t="inlineStr">
        <is>
          <t>Est. Budget ($K)</t>
        </is>
      </c>
    </row>
    <row r="2" ht="15" customHeight="1" s="5">
      <c r="A2" s="7" t="inlineStr">
        <is>
          <t>IDEA008</t>
        </is>
      </c>
      <c r="B2" s="7" t="inlineStr">
        <is>
          <t>Quantum Pilot</t>
        </is>
      </c>
      <c r="C2" s="7" t="inlineStr">
        <is>
          <t>Priya Patel</t>
        </is>
      </c>
      <c r="D2" s="7" t="n">
        <v>4</v>
      </c>
      <c r="E2" s="7" t="n">
        <v>4</v>
      </c>
      <c r="F2" s="7" t="n">
        <v>3</v>
      </c>
      <c r="G2" s="7" t="n">
        <v>5</v>
      </c>
      <c r="H2" s="7">
        <f>(D2*0.3+E2*0.4-F2*0.15-G2*0.15)*20</f>
        <v/>
      </c>
      <c r="I2" s="7" t="inlineStr">
        <is>
          <t>New</t>
        </is>
      </c>
      <c r="J2" s="7" t="n">
        <v>724</v>
      </c>
    </row>
    <row r="3" ht="15" customHeight="1" s="5">
      <c r="A3" s="7" t="inlineStr">
        <is>
          <t>IDEA004</t>
        </is>
      </c>
      <c r="B3" s="7" t="inlineStr">
        <is>
          <t>Edge Analytics</t>
        </is>
      </c>
      <c r="C3" s="7" t="inlineStr">
        <is>
          <t>Alex Brown</t>
        </is>
      </c>
      <c r="D3" s="7" t="n">
        <v>5</v>
      </c>
      <c r="E3" s="7" t="n">
        <v>2</v>
      </c>
      <c r="F3" s="7" t="n">
        <v>5</v>
      </c>
      <c r="G3" s="7" t="n">
        <v>1</v>
      </c>
      <c r="H3" s="7">
        <f>(D3*0.3+E3*0.4-F3*0.15-G3*0.15)*20</f>
        <v/>
      </c>
      <c r="I3" s="7" t="inlineStr">
        <is>
          <t>Parked</t>
        </is>
      </c>
      <c r="J3" s="7" t="n">
        <v>419</v>
      </c>
    </row>
    <row r="4" ht="15" customHeight="1" s="5">
      <c r="A4" s="7" t="inlineStr">
        <is>
          <t>IDEA009</t>
        </is>
      </c>
      <c r="B4" s="7" t="inlineStr">
        <is>
          <t>SaaS Rationalisation</t>
        </is>
      </c>
      <c r="C4" s="7" t="inlineStr">
        <is>
          <t>Priya Patel</t>
        </is>
      </c>
      <c r="D4" s="7" t="n">
        <v>1</v>
      </c>
      <c r="E4" s="7" t="n">
        <v>5</v>
      </c>
      <c r="F4" s="7" t="n">
        <v>4</v>
      </c>
      <c r="G4" s="7" t="n">
        <v>3</v>
      </c>
      <c r="H4" s="7">
        <f>(D4*0.3+E4*0.4-F4*0.15-G4*0.15)*20</f>
        <v/>
      </c>
      <c r="I4" s="7" t="inlineStr">
        <is>
          <t>Parked</t>
        </is>
      </c>
      <c r="J4" s="7" t="n">
        <v>314</v>
      </c>
    </row>
    <row r="5" ht="15" customHeight="1" s="5">
      <c r="A5" s="7" t="inlineStr">
        <is>
          <t>IDEA007</t>
        </is>
      </c>
      <c r="B5" s="7" t="inlineStr">
        <is>
          <t>Citizen Dev Studio</t>
        </is>
      </c>
      <c r="C5" s="7" t="inlineStr">
        <is>
          <t>John Smith</t>
        </is>
      </c>
      <c r="D5" s="7" t="n">
        <v>1</v>
      </c>
      <c r="E5" s="7" t="n">
        <v>3</v>
      </c>
      <c r="F5" s="7" t="n">
        <v>2</v>
      </c>
      <c r="G5" s="7" t="n">
        <v>1</v>
      </c>
      <c r="H5" s="7">
        <f>(D5*0.3+E5*0.4-F5*0.15-G5*0.15)*20</f>
        <v/>
      </c>
      <c r="I5" s="7" t="inlineStr">
        <is>
          <t>Rejected</t>
        </is>
      </c>
      <c r="J5" s="7" t="n">
        <v>1751</v>
      </c>
    </row>
    <row r="6" ht="15" customHeight="1" s="5">
      <c r="A6" s="7" t="inlineStr">
        <is>
          <t>IDEA005</t>
        </is>
      </c>
      <c r="B6" s="7" t="inlineStr">
        <is>
          <t>Green IT</t>
        </is>
      </c>
      <c r="C6" s="7" t="inlineStr">
        <is>
          <t>Priya Patel</t>
        </is>
      </c>
      <c r="D6" s="7" t="n">
        <v>4</v>
      </c>
      <c r="E6" s="7" t="n">
        <v>1</v>
      </c>
      <c r="F6" s="7" t="n">
        <v>2</v>
      </c>
      <c r="G6" s="7" t="n">
        <v>4</v>
      </c>
      <c r="H6" s="7">
        <f>(D6*0.3+E6*0.4-F6*0.15-G6*0.15)*20</f>
        <v/>
      </c>
      <c r="I6" s="7" t="inlineStr">
        <is>
          <t>New</t>
        </is>
      </c>
      <c r="J6" s="7" t="n">
        <v>1867</v>
      </c>
    </row>
    <row r="7" ht="15" customHeight="1" s="5">
      <c r="A7" s="7" t="inlineStr">
        <is>
          <t>IDEA001</t>
        </is>
      </c>
      <c r="B7" s="7" t="inlineStr">
        <is>
          <t>Process Automation v2</t>
        </is>
      </c>
      <c r="C7" s="7" t="inlineStr">
        <is>
          <t>Sarah Lee</t>
        </is>
      </c>
      <c r="D7" s="7" t="n">
        <v>1</v>
      </c>
      <c r="E7" s="7" t="n">
        <v>4</v>
      </c>
      <c r="F7" s="7" t="n">
        <v>3</v>
      </c>
      <c r="G7" s="7" t="n">
        <v>5</v>
      </c>
      <c r="H7" s="7">
        <f>(D7*0.3+E7*0.4-F7*0.15-G7*0.15)*20</f>
        <v/>
      </c>
      <c r="I7" s="7" t="inlineStr">
        <is>
          <t>Rejected</t>
        </is>
      </c>
      <c r="J7" s="7" t="n">
        <v>1059</v>
      </c>
    </row>
    <row r="8" ht="15" customHeight="1" s="5">
      <c r="A8" s="7" t="inlineStr">
        <is>
          <t>IDEA006</t>
        </is>
      </c>
      <c r="B8" s="7" t="inlineStr">
        <is>
          <t>ESG Data Hub</t>
        </is>
      </c>
      <c r="C8" s="7" t="inlineStr">
        <is>
          <t>Sarah Lee</t>
        </is>
      </c>
      <c r="D8" s="7" t="n">
        <v>3</v>
      </c>
      <c r="E8" s="7" t="n">
        <v>1</v>
      </c>
      <c r="F8" s="7" t="n">
        <v>3</v>
      </c>
      <c r="G8" s="7" t="n">
        <v>1</v>
      </c>
      <c r="H8" s="7">
        <f>(D8*0.3+E8*0.4-F8*0.15-G8*0.15)*20</f>
        <v/>
      </c>
      <c r="I8" s="7" t="inlineStr">
        <is>
          <t>Approved</t>
        </is>
      </c>
      <c r="J8" s="7" t="n">
        <v>1259</v>
      </c>
    </row>
    <row r="9" ht="15" customHeight="1" s="5">
      <c r="A9" s="7" t="inlineStr">
        <is>
          <t>IDEA003</t>
        </is>
      </c>
      <c r="B9" s="7" t="inlineStr">
        <is>
          <t>ML Ops Platform</t>
        </is>
      </c>
      <c r="C9" s="7" t="inlineStr">
        <is>
          <t>Carlos Diaz</t>
        </is>
      </c>
      <c r="D9" s="7" t="n">
        <v>3</v>
      </c>
      <c r="E9" s="7" t="n">
        <v>2</v>
      </c>
      <c r="F9" s="7" t="n">
        <v>2</v>
      </c>
      <c r="G9" s="7" t="n">
        <v>5</v>
      </c>
      <c r="H9" s="7">
        <f>(D9*0.3+E9*0.4-F9*0.15-G9*0.15)*20</f>
        <v/>
      </c>
      <c r="I9" s="7" t="inlineStr">
        <is>
          <t>Approved</t>
        </is>
      </c>
      <c r="J9" s="7" t="n">
        <v>1203</v>
      </c>
    </row>
    <row r="10" ht="15" customHeight="1" s="5">
      <c r="A10" s="7" t="inlineStr">
        <is>
          <t>IDEA002</t>
        </is>
      </c>
      <c r="B10" s="7" t="inlineStr">
        <is>
          <t>Customer 360</t>
        </is>
      </c>
      <c r="C10" s="7" t="inlineStr">
        <is>
          <t>John Smith</t>
        </is>
      </c>
      <c r="D10" s="7" t="n">
        <v>1</v>
      </c>
      <c r="E10" s="7" t="n">
        <v>2</v>
      </c>
      <c r="F10" s="7" t="n">
        <v>1</v>
      </c>
      <c r="G10" s="7" t="n">
        <v>3</v>
      </c>
      <c r="H10" s="7">
        <f>(D10*0.3+E10*0.4-F10*0.15-G10*0.15)*20</f>
        <v/>
      </c>
      <c r="I10" s="7" t="inlineStr">
        <is>
          <t>Under Review</t>
        </is>
      </c>
      <c r="J10" s="7" t="n">
        <v>1828</v>
      </c>
    </row>
    <row r="11" ht="15" customHeight="1" s="5">
      <c r="A11" s="7" t="inlineStr">
        <is>
          <t>IDEA010</t>
        </is>
      </c>
      <c r="B11" s="7" t="inlineStr">
        <is>
          <t>Zero Trust v2</t>
        </is>
      </c>
      <c r="C11" s="7" t="inlineStr">
        <is>
          <t>Carlos Diaz</t>
        </is>
      </c>
      <c r="D11" s="7" t="n">
        <v>2</v>
      </c>
      <c r="E11" s="7" t="n">
        <v>1</v>
      </c>
      <c r="F11" s="7" t="n">
        <v>3</v>
      </c>
      <c r="G11" s="7" t="n">
        <v>3</v>
      </c>
      <c r="H11" s="7">
        <f>(D11*0.3+E11*0.4-F11*0.15-G11*0.15)*20</f>
        <v/>
      </c>
      <c r="I11" s="7" t="inlineStr">
        <is>
          <t>New</t>
        </is>
      </c>
      <c r="J11" s="7" t="n">
        <v>1573</v>
      </c>
    </row>
    <row r="12" ht="15" customHeight="1" s="5">
      <c r="I12" s="7" t="n"/>
    </row>
    <row r="13" ht="15" customHeight="1" s="5">
      <c r="I13" s="7" t="n"/>
    </row>
    <row r="14" ht="15" customHeight="1" s="5">
      <c r="I14" s="7" t="n"/>
    </row>
    <row r="15" ht="15" customHeight="1" s="5">
      <c r="I15" s="7" t="n"/>
    </row>
    <row r="16" ht="15" customHeight="1" s="5">
      <c r="I16" s="7" t="n"/>
    </row>
    <row r="17" ht="15" customHeight="1" s="5">
      <c r="I17" s="7" t="n"/>
    </row>
    <row r="18" ht="15" customHeight="1" s="5">
      <c r="I18" s="7" t="n"/>
    </row>
    <row r="19" ht="15" customHeight="1" s="5">
      <c r="I19" s="7" t="n"/>
    </row>
    <row r="20" ht="15" customHeight="1" s="5">
      <c r="I20" s="7" t="n"/>
    </row>
    <row r="21" ht="15" customHeight="1" s="5">
      <c r="I21" s="7" t="n"/>
    </row>
    <row r="22" ht="15" customHeight="1" s="5">
      <c r="I22" s="7" t="n"/>
    </row>
    <row r="23" ht="15" customHeight="1" s="5">
      <c r="I23" s="7" t="n"/>
    </row>
    <row r="24" ht="15" customHeight="1" s="5">
      <c r="I24" s="7" t="n"/>
    </row>
    <row r="25" ht="15" customHeight="1" s="5">
      <c r="I25" s="7" t="n"/>
    </row>
    <row r="26" ht="15" customHeight="1" s="5">
      <c r="I26" s="7" t="n"/>
    </row>
    <row r="27" ht="15" customHeight="1" s="5">
      <c r="I27" s="7" t="n"/>
    </row>
    <row r="28" ht="15" customHeight="1" s="5">
      <c r="I28" s="7" t="n"/>
    </row>
    <row r="29" ht="15" customHeight="1" s="5">
      <c r="I29" s="7" t="n"/>
    </row>
    <row r="30" ht="15" customHeight="1" s="5">
      <c r="I30" s="7" t="n"/>
    </row>
    <row r="31" ht="15" customHeight="1" s="5">
      <c r="I31" s="7" t="n"/>
    </row>
    <row r="32" ht="15" customHeight="1" s="5">
      <c r="I32" s="7" t="n"/>
    </row>
    <row r="33" ht="15" customHeight="1" s="5">
      <c r="I33" s="7" t="n"/>
    </row>
    <row r="34" ht="15" customHeight="1" s="5">
      <c r="I34" s="7" t="n"/>
    </row>
    <row r="35" ht="15" customHeight="1" s="5">
      <c r="I35" s="7" t="n"/>
    </row>
    <row r="36" ht="15" customHeight="1" s="5">
      <c r="I36" s="7" t="n"/>
    </row>
    <row r="37" ht="15" customHeight="1" s="5">
      <c r="I37" s="7" t="n"/>
    </row>
    <row r="38" ht="15" customHeight="1" s="5">
      <c r="I38" s="7" t="n"/>
    </row>
    <row r="39" ht="15" customHeight="1" s="5">
      <c r="I39" s="7" t="n"/>
    </row>
    <row r="40" ht="15" customHeight="1" s="5">
      <c r="I40" s="7" t="n"/>
    </row>
    <row r="41" ht="15" customHeight="1" s="5">
      <c r="I41" s="7" t="n"/>
    </row>
    <row r="42" ht="15" customHeight="1" s="5">
      <c r="I42" s="7" t="n"/>
    </row>
    <row r="43" ht="15" customHeight="1" s="5">
      <c r="I43" s="7" t="n"/>
    </row>
    <row r="44" ht="15" customHeight="1" s="5">
      <c r="I44" s="7" t="n"/>
    </row>
    <row r="45" ht="15" customHeight="1" s="5">
      <c r="I45" s="7" t="n"/>
    </row>
    <row r="46" ht="15" customHeight="1" s="5">
      <c r="I46" s="7" t="n"/>
    </row>
    <row r="47" ht="15" customHeight="1" s="5">
      <c r="I47" s="7" t="n"/>
    </row>
    <row r="48" ht="15" customHeight="1" s="5">
      <c r="I48" s="7" t="n"/>
    </row>
    <row r="49" ht="15" customHeight="1" s="5">
      <c r="I49" s="7" t="n"/>
    </row>
    <row r="50" ht="15" customHeight="1" s="5">
      <c r="I50" s="7" t="n"/>
    </row>
    <row r="51" ht="15" customHeight="1" s="5">
      <c r="I51" s="7" t="n"/>
    </row>
    <row r="52" ht="15" customHeight="1" s="5">
      <c r="I52" s="7" t="n"/>
    </row>
    <row r="53" ht="15" customHeight="1" s="5">
      <c r="I53" s="7" t="n"/>
    </row>
    <row r="54" ht="15" customHeight="1" s="5">
      <c r="I54" s="7" t="n"/>
    </row>
    <row r="55" ht="15" customHeight="1" s="5">
      <c r="I55" s="7" t="n"/>
    </row>
    <row r="56" ht="15" customHeight="1" s="5">
      <c r="I56" s="7" t="n"/>
    </row>
    <row r="57" ht="15" customHeight="1" s="5">
      <c r="I57" s="7" t="n"/>
    </row>
    <row r="58" ht="15" customHeight="1" s="5">
      <c r="I58" s="7" t="n"/>
    </row>
    <row r="59" ht="15" customHeight="1" s="5">
      <c r="I59" s="7" t="n"/>
    </row>
    <row r="60" ht="15" customHeight="1" s="5">
      <c r="I60" s="7" t="n"/>
    </row>
    <row r="61" ht="15" customHeight="1" s="5">
      <c r="I61" s="7" t="n"/>
    </row>
    <row r="62" ht="15" customHeight="1" s="5">
      <c r="I62" s="7" t="n"/>
    </row>
    <row r="63" ht="15" customHeight="1" s="5">
      <c r="I63" s="7" t="n"/>
    </row>
    <row r="64" ht="15" customHeight="1" s="5">
      <c r="I64" s="7" t="n"/>
    </row>
    <row r="65" ht="15" customHeight="1" s="5">
      <c r="I65" s="7" t="n"/>
    </row>
    <row r="66" ht="15" customHeight="1" s="5">
      <c r="I66" s="7" t="n"/>
    </row>
    <row r="67" ht="15" customHeight="1" s="5">
      <c r="I67" s="7" t="n"/>
    </row>
    <row r="68" ht="15" customHeight="1" s="5">
      <c r="I68" s="7" t="n"/>
    </row>
    <row r="69" ht="15" customHeight="1" s="5">
      <c r="I69" s="7" t="n"/>
    </row>
    <row r="70" ht="15" customHeight="1" s="5">
      <c r="I70" s="7" t="n"/>
    </row>
    <row r="71" ht="15" customHeight="1" s="5">
      <c r="I71" s="7" t="n"/>
    </row>
    <row r="72" ht="15" customHeight="1" s="5">
      <c r="I72" s="7" t="n"/>
    </row>
    <row r="73" ht="15" customHeight="1" s="5">
      <c r="I73" s="7" t="n"/>
    </row>
    <row r="74" ht="15" customHeight="1" s="5">
      <c r="I74" s="7" t="n"/>
    </row>
    <row r="75" ht="15" customHeight="1" s="5">
      <c r="I75" s="7" t="n"/>
    </row>
    <row r="76" ht="15" customHeight="1" s="5">
      <c r="I76" s="7" t="n"/>
    </row>
    <row r="77" ht="15" customHeight="1" s="5">
      <c r="I77" s="7" t="n"/>
    </row>
    <row r="78" ht="15" customHeight="1" s="5">
      <c r="I78" s="7" t="n"/>
    </row>
    <row r="79" ht="15" customHeight="1" s="5">
      <c r="I79" s="7" t="n"/>
    </row>
    <row r="80" ht="15" customHeight="1" s="5">
      <c r="I80" s="7" t="n"/>
    </row>
    <row r="81" ht="15" customHeight="1" s="5">
      <c r="I81" s="7" t="n"/>
    </row>
    <row r="82" ht="15" customHeight="1" s="5">
      <c r="I82" s="7" t="n"/>
    </row>
    <row r="83" ht="15" customHeight="1" s="5">
      <c r="I83" s="7" t="n"/>
    </row>
    <row r="84" ht="15" customHeight="1" s="5">
      <c r="I84" s="7" t="n"/>
    </row>
    <row r="85" ht="15" customHeight="1" s="5">
      <c r="I85" s="7" t="n"/>
    </row>
    <row r="86" ht="15" customHeight="1" s="5">
      <c r="I86" s="7" t="n"/>
    </row>
    <row r="87" ht="15" customHeight="1" s="5">
      <c r="I87" s="7" t="n"/>
    </row>
    <row r="88" ht="15" customHeight="1" s="5">
      <c r="I88" s="7" t="n"/>
    </row>
    <row r="89" ht="15" customHeight="1" s="5">
      <c r="I89" s="7" t="n"/>
    </row>
    <row r="90" ht="15" customHeight="1" s="5">
      <c r="I90" s="7" t="n"/>
    </row>
    <row r="91" ht="15" customHeight="1" s="5">
      <c r="I91" s="7" t="n"/>
    </row>
    <row r="92" ht="15" customHeight="1" s="5">
      <c r="I92" s="7" t="n"/>
    </row>
    <row r="93" ht="15" customHeight="1" s="5">
      <c r="I93" s="7" t="n"/>
    </row>
    <row r="94" ht="15" customHeight="1" s="5">
      <c r="I94" s="7" t="n"/>
    </row>
    <row r="95" ht="15" customHeight="1" s="5">
      <c r="I95" s="7" t="n"/>
    </row>
    <row r="96" ht="15" customHeight="1" s="5">
      <c r="I96" s="7" t="n"/>
    </row>
    <row r="97" ht="15" customHeight="1" s="5">
      <c r="I97" s="7" t="n"/>
    </row>
    <row r="98" ht="15" customHeight="1" s="5">
      <c r="I98" s="7" t="n"/>
    </row>
    <row r="99" ht="15" customHeight="1" s="5">
      <c r="I99" s="7" t="n"/>
    </row>
    <row r="100" ht="15" customHeight="1" s="5">
      <c r="I100" s="7" t="n"/>
    </row>
    <row r="101" ht="15" customHeight="1" s="5">
      <c r="I101" s="7" t="n"/>
    </row>
    <row r="102" ht="15" customHeight="1" s="5">
      <c r="I102" s="7" t="n"/>
    </row>
    <row r="103" ht="15" customHeight="1" s="5">
      <c r="I103" s="7" t="n"/>
    </row>
    <row r="104" ht="15" customHeight="1" s="5">
      <c r="I104" s="7" t="n"/>
    </row>
    <row r="105" ht="15" customHeight="1" s="5">
      <c r="I105" s="7" t="n"/>
    </row>
    <row r="106" ht="15" customHeight="1" s="5">
      <c r="I106" s="7" t="n"/>
    </row>
    <row r="107" ht="15" customHeight="1" s="5">
      <c r="I107" s="7" t="n"/>
    </row>
    <row r="108" ht="15" customHeight="1" s="5">
      <c r="I108" s="7" t="n"/>
    </row>
    <row r="109" ht="15" customHeight="1" s="5">
      <c r="I109" s="7" t="n"/>
    </row>
    <row r="110" ht="15" customHeight="1" s="5">
      <c r="I110" s="7" t="n"/>
    </row>
    <row r="111" ht="15" customHeight="1" s="5">
      <c r="I111" s="7" t="n"/>
    </row>
    <row r="112" ht="15" customHeight="1" s="5">
      <c r="I112" s="7" t="n"/>
    </row>
    <row r="113" ht="15" customHeight="1" s="5">
      <c r="I113" s="7" t="n"/>
    </row>
    <row r="114" ht="15" customHeight="1" s="5">
      <c r="I114" s="7" t="n"/>
    </row>
    <row r="115" ht="15" customHeight="1" s="5">
      <c r="I115" s="7" t="n"/>
    </row>
    <row r="116" ht="15" customHeight="1" s="5">
      <c r="I116" s="7" t="n"/>
    </row>
    <row r="117" ht="15" customHeight="1" s="5">
      <c r="I117" s="7" t="n"/>
    </row>
    <row r="118" ht="15" customHeight="1" s="5">
      <c r="I118" s="7" t="n"/>
    </row>
    <row r="119" ht="15" customHeight="1" s="5">
      <c r="I119" s="7" t="n"/>
    </row>
    <row r="120" ht="15" customHeight="1" s="5">
      <c r="I120" s="7" t="n"/>
    </row>
    <row r="121" ht="15" customHeight="1" s="5">
      <c r="I121" s="7" t="n"/>
    </row>
    <row r="122" ht="15" customHeight="1" s="5">
      <c r="I122" s="7" t="n"/>
    </row>
    <row r="123" ht="15" customHeight="1" s="5">
      <c r="I123" s="7" t="n"/>
    </row>
    <row r="124" ht="15" customHeight="1" s="5">
      <c r="I124" s="7" t="n"/>
    </row>
    <row r="125" ht="15" customHeight="1" s="5">
      <c r="I125" s="7" t="n"/>
    </row>
    <row r="126" ht="15" customHeight="1" s="5">
      <c r="I126" s="7" t="n"/>
    </row>
    <row r="127" ht="15" customHeight="1" s="5">
      <c r="I127" s="7" t="n"/>
    </row>
    <row r="128" ht="15" customHeight="1" s="5">
      <c r="I128" s="7" t="n"/>
    </row>
    <row r="129" ht="15" customHeight="1" s="5">
      <c r="I129" s="7" t="n"/>
    </row>
    <row r="130" ht="15" customHeight="1" s="5">
      <c r="I130" s="7" t="n"/>
    </row>
    <row r="131" ht="15" customHeight="1" s="5">
      <c r="I131" s="7" t="n"/>
    </row>
    <row r="132" ht="15" customHeight="1" s="5">
      <c r="I132" s="7" t="n"/>
    </row>
    <row r="133" ht="15" customHeight="1" s="5">
      <c r="I133" s="7" t="n"/>
    </row>
    <row r="134" ht="15" customHeight="1" s="5">
      <c r="I134" s="7" t="n"/>
    </row>
    <row r="135" ht="15" customHeight="1" s="5">
      <c r="I135" s="7" t="n"/>
    </row>
    <row r="136" ht="15" customHeight="1" s="5">
      <c r="I136" s="7" t="n"/>
    </row>
    <row r="137" ht="15" customHeight="1" s="5">
      <c r="I137" s="7" t="n"/>
    </row>
    <row r="138" ht="15" customHeight="1" s="5">
      <c r="I138" s="7" t="n"/>
    </row>
    <row r="139" ht="15" customHeight="1" s="5">
      <c r="I139" s="7" t="n"/>
    </row>
    <row r="140" ht="15" customHeight="1" s="5">
      <c r="I140" s="7" t="n"/>
    </row>
    <row r="141" ht="15" customHeight="1" s="5">
      <c r="I141" s="7" t="n"/>
    </row>
    <row r="142" ht="15" customHeight="1" s="5">
      <c r="I142" s="7" t="n"/>
    </row>
    <row r="143" ht="15" customHeight="1" s="5">
      <c r="I143" s="7" t="n"/>
    </row>
    <row r="144" ht="15" customHeight="1" s="5">
      <c r="I144" s="7" t="n"/>
    </row>
    <row r="145" ht="15" customHeight="1" s="5">
      <c r="I145" s="7" t="n"/>
    </row>
    <row r="146" ht="15" customHeight="1" s="5">
      <c r="I146" s="7" t="n"/>
    </row>
    <row r="147" ht="15" customHeight="1" s="5">
      <c r="I147" s="7" t="n"/>
    </row>
    <row r="148" ht="15" customHeight="1" s="5">
      <c r="I148" s="7" t="n"/>
    </row>
    <row r="149" ht="15" customHeight="1" s="5">
      <c r="I149" s="7" t="n"/>
    </row>
    <row r="150" ht="15" customHeight="1" s="5">
      <c r="I150" s="7" t="n"/>
    </row>
    <row r="151" ht="15" customHeight="1" s="5">
      <c r="I151" s="7" t="n"/>
    </row>
    <row r="152" ht="15" customHeight="1" s="5">
      <c r="I152" s="7" t="n"/>
    </row>
    <row r="153" ht="15" customHeight="1" s="5">
      <c r="I153" s="7" t="n"/>
    </row>
    <row r="154" ht="15" customHeight="1" s="5">
      <c r="I154" s="7" t="n"/>
    </row>
    <row r="155" ht="15" customHeight="1" s="5">
      <c r="I155" s="7" t="n"/>
    </row>
    <row r="156" ht="15" customHeight="1" s="5">
      <c r="I156" s="7" t="n"/>
    </row>
    <row r="157" ht="15" customHeight="1" s="5">
      <c r="I157" s="7" t="n"/>
    </row>
    <row r="158" ht="15" customHeight="1" s="5">
      <c r="I158" s="7" t="n"/>
    </row>
    <row r="159" ht="15" customHeight="1" s="5">
      <c r="I159" s="7" t="n"/>
    </row>
    <row r="160" ht="15" customHeight="1" s="5">
      <c r="I160" s="7" t="n"/>
    </row>
    <row r="161" ht="15" customHeight="1" s="5">
      <c r="I161" s="7" t="n"/>
    </row>
    <row r="162" ht="15" customHeight="1" s="5">
      <c r="I162" s="7" t="n"/>
    </row>
    <row r="163" ht="15" customHeight="1" s="5">
      <c r="I163" s="7" t="n"/>
    </row>
    <row r="164" ht="15" customHeight="1" s="5">
      <c r="I164" s="7" t="n"/>
    </row>
    <row r="165" ht="15" customHeight="1" s="5">
      <c r="I165" s="7" t="n"/>
    </row>
    <row r="166" ht="15" customHeight="1" s="5">
      <c r="I166" s="7" t="n"/>
    </row>
    <row r="167" ht="15" customHeight="1" s="5">
      <c r="I167" s="7" t="n"/>
    </row>
    <row r="168" ht="15" customHeight="1" s="5">
      <c r="I168" s="7" t="n"/>
    </row>
    <row r="169" ht="15" customHeight="1" s="5">
      <c r="I169" s="7" t="n"/>
    </row>
    <row r="170" ht="15" customHeight="1" s="5">
      <c r="I170" s="7" t="n"/>
    </row>
    <row r="171" ht="15" customHeight="1" s="5">
      <c r="I171" s="7" t="n"/>
    </row>
    <row r="172" ht="15" customHeight="1" s="5">
      <c r="I172" s="7" t="n"/>
    </row>
    <row r="173" ht="15" customHeight="1" s="5">
      <c r="I173" s="7" t="n"/>
    </row>
    <row r="174" ht="15" customHeight="1" s="5">
      <c r="I174" s="7" t="n"/>
    </row>
    <row r="175" ht="15" customHeight="1" s="5">
      <c r="I175" s="7" t="n"/>
    </row>
    <row r="176" ht="15" customHeight="1" s="5">
      <c r="I176" s="7" t="n"/>
    </row>
    <row r="177" ht="15" customHeight="1" s="5">
      <c r="I177" s="7" t="n"/>
    </row>
    <row r="178" ht="15" customHeight="1" s="5">
      <c r="I178" s="7" t="n"/>
    </row>
    <row r="179" ht="15" customHeight="1" s="5">
      <c r="I179" s="7" t="n"/>
    </row>
    <row r="180" ht="15" customHeight="1" s="5">
      <c r="I180" s="7" t="n"/>
    </row>
    <row r="181" ht="15" customHeight="1" s="5">
      <c r="I181" s="7" t="n"/>
    </row>
    <row r="182" ht="15" customHeight="1" s="5">
      <c r="I182" s="7" t="n"/>
    </row>
    <row r="183" ht="15" customHeight="1" s="5">
      <c r="I183" s="7" t="n"/>
    </row>
    <row r="184" ht="15" customHeight="1" s="5">
      <c r="I184" s="7" t="n"/>
    </row>
    <row r="185" ht="15" customHeight="1" s="5">
      <c r="I185" s="7" t="n"/>
    </row>
    <row r="186" ht="15" customHeight="1" s="5">
      <c r="I186" s="7" t="n"/>
    </row>
    <row r="187" ht="15" customHeight="1" s="5">
      <c r="I187" s="7" t="n"/>
    </row>
    <row r="188" ht="15" customHeight="1" s="5">
      <c r="I188" s="7" t="n"/>
    </row>
    <row r="189" ht="15" customHeight="1" s="5">
      <c r="I189" s="7" t="n"/>
    </row>
    <row r="190" ht="15" customHeight="1" s="5">
      <c r="I190" s="7" t="n"/>
    </row>
    <row r="191" ht="15" customHeight="1" s="5">
      <c r="I191" s="7" t="n"/>
    </row>
    <row r="192" ht="15" customHeight="1" s="5">
      <c r="I192" s="7" t="n"/>
    </row>
    <row r="193" ht="15" customHeight="1" s="5">
      <c r="I193" s="7" t="n"/>
    </row>
    <row r="194" ht="15" customHeight="1" s="5">
      <c r="I194" s="7" t="n"/>
    </row>
    <row r="195" ht="15" customHeight="1" s="5">
      <c r="I195" s="7" t="n"/>
    </row>
    <row r="196" ht="15" customHeight="1" s="5">
      <c r="I196" s="7" t="n"/>
    </row>
    <row r="197" ht="15" customHeight="1" s="5">
      <c r="I197" s="7" t="n"/>
    </row>
    <row r="198" ht="15" customHeight="1" s="5">
      <c r="I198" s="7" t="n"/>
    </row>
    <row r="199" ht="15" customHeight="1" s="5">
      <c r="I199" s="7" t="n"/>
    </row>
    <row r="200" ht="15" customHeight="1" s="5">
      <c r="I200" s="7" t="n"/>
    </row>
    <row r="201" ht="15" customHeight="1" s="5">
      <c r="I201" s="7" t="n"/>
    </row>
    <row r="202" ht="15" customHeight="1" s="5">
      <c r="I202" s="7" t="n"/>
    </row>
    <row r="203" ht="15" customHeight="1" s="5">
      <c r="I203" s="7" t="n"/>
    </row>
    <row r="204" ht="15" customHeight="1" s="5">
      <c r="I204" s="7" t="n"/>
    </row>
    <row r="205" ht="15" customHeight="1" s="5">
      <c r="I205" s="7" t="n"/>
    </row>
    <row r="206" ht="15" customHeight="1" s="5">
      <c r="I206" s="7" t="n"/>
    </row>
    <row r="207" ht="15" customHeight="1" s="5">
      <c r="I207" s="7" t="n"/>
    </row>
    <row r="208" ht="15" customHeight="1" s="5">
      <c r="I208" s="7" t="n"/>
    </row>
    <row r="209" ht="15" customHeight="1" s="5">
      <c r="I209" s="7" t="n"/>
    </row>
    <row r="210" ht="15" customHeight="1" s="5">
      <c r="I210" s="7" t="n"/>
    </row>
    <row r="211" ht="15" customHeight="1" s="5">
      <c r="I211" s="7" t="n"/>
    </row>
    <row r="212" ht="15" customHeight="1" s="5">
      <c r="I212" s="7" t="n"/>
    </row>
    <row r="213" ht="15" customHeight="1" s="5">
      <c r="I213" s="7" t="n"/>
    </row>
    <row r="214" ht="15" customHeight="1" s="5">
      <c r="I214" s="7" t="n"/>
    </row>
    <row r="215" ht="15" customHeight="1" s="5">
      <c r="I215" s="7" t="n"/>
    </row>
    <row r="216" ht="15" customHeight="1" s="5">
      <c r="I216" s="7" t="n"/>
    </row>
    <row r="217" ht="15" customHeight="1" s="5">
      <c r="I217" s="7" t="n"/>
    </row>
    <row r="218" ht="15" customHeight="1" s="5">
      <c r="I218" s="7" t="n"/>
    </row>
    <row r="219" ht="15" customHeight="1" s="5">
      <c r="I219" s="7" t="n"/>
    </row>
    <row r="220" ht="15" customHeight="1" s="5">
      <c r="I220" s="7" t="n"/>
    </row>
    <row r="221" ht="15" customHeight="1" s="5">
      <c r="I221" s="7" t="n"/>
    </row>
    <row r="222" ht="15" customHeight="1" s="5">
      <c r="I222" s="7" t="n"/>
    </row>
    <row r="223" ht="15" customHeight="1" s="5">
      <c r="I223" s="7" t="n"/>
    </row>
    <row r="224" ht="15" customHeight="1" s="5">
      <c r="I224" s="7" t="n"/>
    </row>
    <row r="225" ht="15" customHeight="1" s="5">
      <c r="I225" s="7" t="n"/>
    </row>
    <row r="226" ht="15" customHeight="1" s="5">
      <c r="I226" s="7" t="n"/>
    </row>
    <row r="227" ht="15" customHeight="1" s="5">
      <c r="I227" s="7" t="n"/>
    </row>
    <row r="228" ht="15" customHeight="1" s="5">
      <c r="I228" s="7" t="n"/>
    </row>
    <row r="229" ht="15" customHeight="1" s="5">
      <c r="I229" s="7" t="n"/>
    </row>
    <row r="230" ht="15" customHeight="1" s="5">
      <c r="I230" s="7" t="n"/>
    </row>
    <row r="231" ht="15" customHeight="1" s="5">
      <c r="I231" s="7" t="n"/>
    </row>
    <row r="232" ht="15" customHeight="1" s="5">
      <c r="I232" s="7" t="n"/>
    </row>
    <row r="233" ht="15" customHeight="1" s="5">
      <c r="I233" s="7" t="n"/>
    </row>
    <row r="234" ht="15" customHeight="1" s="5">
      <c r="I234" s="7" t="n"/>
    </row>
    <row r="235" ht="15" customHeight="1" s="5">
      <c r="I235" s="7" t="n"/>
    </row>
    <row r="236" ht="15" customHeight="1" s="5">
      <c r="I236" s="7" t="n"/>
    </row>
    <row r="237" ht="15" customHeight="1" s="5">
      <c r="I237" s="7" t="n"/>
    </row>
    <row r="238" ht="15" customHeight="1" s="5">
      <c r="I238" s="7" t="n"/>
    </row>
    <row r="239" ht="15" customHeight="1" s="5">
      <c r="I239" s="7" t="n"/>
    </row>
    <row r="240" ht="15" customHeight="1" s="5">
      <c r="I240" s="7" t="n"/>
    </row>
    <row r="241" ht="15" customHeight="1" s="5">
      <c r="I241" s="7" t="n"/>
    </row>
    <row r="242" ht="15" customHeight="1" s="5">
      <c r="I242" s="7" t="n"/>
    </row>
    <row r="243" ht="15" customHeight="1" s="5">
      <c r="I243" s="7" t="n"/>
    </row>
    <row r="244" ht="15" customHeight="1" s="5">
      <c r="I244" s="7" t="n"/>
    </row>
    <row r="245" ht="15" customHeight="1" s="5">
      <c r="I245" s="7" t="n"/>
    </row>
    <row r="246" ht="15" customHeight="1" s="5">
      <c r="I246" s="7" t="n"/>
    </row>
    <row r="247" ht="15" customHeight="1" s="5">
      <c r="I247" s="7" t="n"/>
    </row>
    <row r="248" ht="15" customHeight="1" s="5">
      <c r="I248" s="7" t="n"/>
    </row>
    <row r="249" ht="15" customHeight="1" s="5">
      <c r="I249" s="7" t="n"/>
    </row>
    <row r="250" ht="15" customHeight="1" s="5">
      <c r="I250" s="7" t="n"/>
    </row>
    <row r="251" ht="15" customHeight="1" s="5">
      <c r="I251" s="7" t="n"/>
    </row>
    <row r="252" ht="15" customHeight="1" s="5">
      <c r="I252" s="7" t="n"/>
    </row>
    <row r="253" ht="15" customHeight="1" s="5">
      <c r="I253" s="7" t="n"/>
    </row>
    <row r="254" ht="15" customHeight="1" s="5">
      <c r="I254" s="7" t="n"/>
    </row>
    <row r="255" ht="15" customHeight="1" s="5">
      <c r="I255" s="7" t="n"/>
    </row>
    <row r="256" ht="15" customHeight="1" s="5">
      <c r="I256" s="7" t="n"/>
    </row>
    <row r="257" ht="15" customHeight="1" s="5">
      <c r="I257" s="7" t="n"/>
    </row>
    <row r="258" ht="15" customHeight="1" s="5">
      <c r="I258" s="7" t="n"/>
    </row>
    <row r="259" ht="15" customHeight="1" s="5">
      <c r="I259" s="7" t="n"/>
    </row>
    <row r="260" ht="15" customHeight="1" s="5">
      <c r="I260" s="7" t="n"/>
    </row>
    <row r="261" ht="15" customHeight="1" s="5">
      <c r="I261" s="7" t="n"/>
    </row>
    <row r="262" ht="15" customHeight="1" s="5">
      <c r="I262" s="7" t="n"/>
    </row>
    <row r="263" ht="15" customHeight="1" s="5">
      <c r="I263" s="7" t="n"/>
    </row>
    <row r="264" ht="15" customHeight="1" s="5">
      <c r="I264" s="7" t="n"/>
    </row>
    <row r="265" ht="15" customHeight="1" s="5">
      <c r="I265" s="7" t="n"/>
    </row>
    <row r="266" ht="15" customHeight="1" s="5">
      <c r="I266" s="7" t="n"/>
    </row>
    <row r="267" ht="15" customHeight="1" s="5">
      <c r="I267" s="7" t="n"/>
    </row>
    <row r="268" ht="15" customHeight="1" s="5">
      <c r="I268" s="7" t="n"/>
    </row>
    <row r="269" ht="15" customHeight="1" s="5">
      <c r="I269" s="7" t="n"/>
    </row>
    <row r="270" ht="15" customHeight="1" s="5">
      <c r="I270" s="7" t="n"/>
    </row>
    <row r="271" ht="15" customHeight="1" s="5">
      <c r="I271" s="7" t="n"/>
    </row>
    <row r="272" ht="15" customHeight="1" s="5">
      <c r="I272" s="7" t="n"/>
    </row>
    <row r="273" ht="15" customHeight="1" s="5">
      <c r="I273" s="7" t="n"/>
    </row>
    <row r="274" ht="15" customHeight="1" s="5">
      <c r="I274" s="7" t="n"/>
    </row>
    <row r="275" ht="15" customHeight="1" s="5">
      <c r="I275" s="7" t="n"/>
    </row>
    <row r="276" ht="15" customHeight="1" s="5">
      <c r="I276" s="7" t="n"/>
    </row>
    <row r="277" ht="15" customHeight="1" s="5">
      <c r="I277" s="7" t="n"/>
    </row>
    <row r="278" ht="15" customHeight="1" s="5">
      <c r="I278" s="7" t="n"/>
    </row>
    <row r="279" ht="15" customHeight="1" s="5">
      <c r="I279" s="7" t="n"/>
    </row>
    <row r="280" ht="15" customHeight="1" s="5">
      <c r="I280" s="7" t="n"/>
    </row>
    <row r="281" ht="15" customHeight="1" s="5">
      <c r="I281" s="7" t="n"/>
    </row>
    <row r="282" ht="15" customHeight="1" s="5">
      <c r="I282" s="7" t="n"/>
    </row>
    <row r="283" ht="15" customHeight="1" s="5">
      <c r="I283" s="7" t="n"/>
    </row>
    <row r="284" ht="15" customHeight="1" s="5">
      <c r="I284" s="7" t="n"/>
    </row>
    <row r="285" ht="15" customHeight="1" s="5">
      <c r="I285" s="7" t="n"/>
    </row>
    <row r="286" ht="15" customHeight="1" s="5">
      <c r="I286" s="7" t="n"/>
    </row>
    <row r="287" ht="15" customHeight="1" s="5">
      <c r="I287" s="7" t="n"/>
    </row>
    <row r="288" ht="15" customHeight="1" s="5">
      <c r="I288" s="7" t="n"/>
    </row>
    <row r="289" ht="15" customHeight="1" s="5">
      <c r="I289" s="7" t="n"/>
    </row>
    <row r="290" ht="15" customHeight="1" s="5">
      <c r="I290" s="7" t="n"/>
    </row>
    <row r="291" ht="15" customHeight="1" s="5">
      <c r="I291" s="7" t="n"/>
    </row>
    <row r="292" ht="15" customHeight="1" s="5">
      <c r="I292" s="7" t="n"/>
    </row>
    <row r="293" ht="15" customHeight="1" s="5">
      <c r="I293" s="7" t="n"/>
    </row>
    <row r="294" ht="15" customHeight="1" s="5">
      <c r="I294" s="7" t="n"/>
    </row>
    <row r="295" ht="15" customHeight="1" s="5">
      <c r="I295" s="7" t="n"/>
    </row>
    <row r="296" ht="15" customHeight="1" s="5">
      <c r="I296" s="7" t="n"/>
    </row>
    <row r="297" ht="15" customHeight="1" s="5">
      <c r="I297" s="7" t="n"/>
    </row>
    <row r="298" ht="15" customHeight="1" s="5">
      <c r="I298" s="7" t="n"/>
    </row>
    <row r="299" ht="15" customHeight="1" s="5">
      <c r="I299" s="7" t="n"/>
    </row>
    <row r="300" ht="15" customHeight="1" s="5">
      <c r="I300" s="7" t="n"/>
    </row>
    <row r="301" ht="15" customHeight="1" s="5">
      <c r="I301" s="7" t="n"/>
    </row>
    <row r="302" ht="15" customHeight="1" s="5">
      <c r="I302" s="7" t="n"/>
    </row>
    <row r="303" ht="15" customHeight="1" s="5">
      <c r="I303" s="7" t="n"/>
    </row>
    <row r="304" ht="15" customHeight="1" s="5">
      <c r="I304" s="7" t="n"/>
    </row>
    <row r="305" ht="15" customHeight="1" s="5">
      <c r="I305" s="7" t="n"/>
    </row>
    <row r="306" ht="15" customHeight="1" s="5">
      <c r="I306" s="7" t="n"/>
    </row>
    <row r="307" ht="15" customHeight="1" s="5">
      <c r="I307" s="7" t="n"/>
    </row>
    <row r="308" ht="15" customHeight="1" s="5">
      <c r="I308" s="7" t="n"/>
    </row>
    <row r="309" ht="15" customHeight="1" s="5">
      <c r="I309" s="7" t="n"/>
    </row>
    <row r="310" ht="15" customHeight="1" s="5">
      <c r="I310" s="7" t="n"/>
    </row>
    <row r="311" ht="15" customHeight="1" s="5">
      <c r="I311" s="7" t="n"/>
    </row>
    <row r="312" ht="15" customHeight="1" s="5">
      <c r="I312" s="7" t="n"/>
    </row>
    <row r="313" ht="15" customHeight="1" s="5">
      <c r="I313" s="7" t="n"/>
    </row>
    <row r="314" ht="15" customHeight="1" s="5">
      <c r="I314" s="7" t="n"/>
    </row>
    <row r="315" ht="15" customHeight="1" s="5">
      <c r="I315" s="7" t="n"/>
    </row>
    <row r="316" ht="15" customHeight="1" s="5">
      <c r="I316" s="7" t="n"/>
    </row>
    <row r="317" ht="15" customHeight="1" s="5">
      <c r="I317" s="7" t="n"/>
    </row>
    <row r="318" ht="15" customHeight="1" s="5">
      <c r="I318" s="7" t="n"/>
    </row>
    <row r="319" ht="15" customHeight="1" s="5">
      <c r="I319" s="7" t="n"/>
    </row>
    <row r="320" ht="15" customHeight="1" s="5">
      <c r="I320" s="7" t="n"/>
    </row>
    <row r="321" ht="15" customHeight="1" s="5">
      <c r="I321" s="7" t="n"/>
    </row>
    <row r="322" ht="15" customHeight="1" s="5">
      <c r="I322" s="7" t="n"/>
    </row>
    <row r="323" ht="15" customHeight="1" s="5">
      <c r="I323" s="7" t="n"/>
    </row>
    <row r="324" ht="15" customHeight="1" s="5">
      <c r="I324" s="7" t="n"/>
    </row>
    <row r="325" ht="15" customHeight="1" s="5">
      <c r="I325" s="7" t="n"/>
    </row>
    <row r="326" ht="15" customHeight="1" s="5">
      <c r="I326" s="7" t="n"/>
    </row>
    <row r="327" ht="15" customHeight="1" s="5">
      <c r="I327" s="7" t="n"/>
    </row>
    <row r="328" ht="15" customHeight="1" s="5">
      <c r="I328" s="7" t="n"/>
    </row>
    <row r="329" ht="15" customHeight="1" s="5">
      <c r="I329" s="7" t="n"/>
    </row>
    <row r="330" ht="15" customHeight="1" s="5">
      <c r="I330" s="7" t="n"/>
    </row>
    <row r="331" ht="15" customHeight="1" s="5">
      <c r="I331" s="7" t="n"/>
    </row>
    <row r="332" ht="15" customHeight="1" s="5">
      <c r="I332" s="7" t="n"/>
    </row>
    <row r="333" ht="15" customHeight="1" s="5">
      <c r="I333" s="7" t="n"/>
    </row>
    <row r="334" ht="15" customHeight="1" s="5">
      <c r="I334" s="7" t="n"/>
    </row>
    <row r="335" ht="15" customHeight="1" s="5">
      <c r="I335" s="7" t="n"/>
    </row>
    <row r="336" ht="15" customHeight="1" s="5">
      <c r="I336" s="7" t="n"/>
    </row>
    <row r="337" ht="15" customHeight="1" s="5">
      <c r="I337" s="7" t="n"/>
    </row>
    <row r="338" ht="15" customHeight="1" s="5">
      <c r="I338" s="7" t="n"/>
    </row>
    <row r="339" ht="15" customHeight="1" s="5">
      <c r="I339" s="7" t="n"/>
    </row>
    <row r="340" ht="15" customHeight="1" s="5">
      <c r="I340" s="7" t="n"/>
    </row>
    <row r="341" ht="15" customHeight="1" s="5">
      <c r="I341" s="7" t="n"/>
    </row>
    <row r="342" ht="15" customHeight="1" s="5">
      <c r="I342" s="7" t="n"/>
    </row>
    <row r="343" ht="15" customHeight="1" s="5">
      <c r="I343" s="7" t="n"/>
    </row>
    <row r="344" ht="15" customHeight="1" s="5">
      <c r="I344" s="7" t="n"/>
    </row>
    <row r="345" ht="15" customHeight="1" s="5">
      <c r="I345" s="7" t="n"/>
    </row>
    <row r="346" ht="15" customHeight="1" s="5">
      <c r="I346" s="7" t="n"/>
    </row>
    <row r="347" ht="15" customHeight="1" s="5">
      <c r="I347" s="7" t="n"/>
    </row>
    <row r="348" ht="15" customHeight="1" s="5">
      <c r="I348" s="7" t="n"/>
    </row>
    <row r="349" ht="15" customHeight="1" s="5">
      <c r="I349" s="7" t="n"/>
    </row>
    <row r="350" ht="15" customHeight="1" s="5">
      <c r="I350" s="7" t="n"/>
    </row>
    <row r="351" ht="15" customHeight="1" s="5">
      <c r="I351" s="7" t="n"/>
    </row>
    <row r="352" ht="15" customHeight="1" s="5">
      <c r="I352" s="7" t="n"/>
    </row>
    <row r="353" ht="15" customHeight="1" s="5">
      <c r="I353" s="7" t="n"/>
    </row>
    <row r="354" ht="15" customHeight="1" s="5">
      <c r="I354" s="7" t="n"/>
    </row>
    <row r="355" ht="15" customHeight="1" s="5">
      <c r="I355" s="7" t="n"/>
    </row>
    <row r="356" ht="15" customHeight="1" s="5">
      <c r="I356" s="7" t="n"/>
    </row>
    <row r="357" ht="15" customHeight="1" s="5">
      <c r="I357" s="7" t="n"/>
    </row>
    <row r="358" ht="15" customHeight="1" s="5">
      <c r="I358" s="7" t="n"/>
    </row>
    <row r="359" ht="15" customHeight="1" s="5">
      <c r="I359" s="7" t="n"/>
    </row>
    <row r="360" ht="15" customHeight="1" s="5">
      <c r="I360" s="7" t="n"/>
    </row>
    <row r="361" ht="15" customHeight="1" s="5">
      <c r="I361" s="7" t="n"/>
    </row>
    <row r="362" ht="15" customHeight="1" s="5">
      <c r="I362" s="7" t="n"/>
    </row>
    <row r="363" ht="15" customHeight="1" s="5">
      <c r="I363" s="7" t="n"/>
    </row>
    <row r="364" ht="15" customHeight="1" s="5">
      <c r="I364" s="7" t="n"/>
    </row>
    <row r="365" ht="15" customHeight="1" s="5">
      <c r="I365" s="7" t="n"/>
    </row>
    <row r="366" ht="15" customHeight="1" s="5">
      <c r="I366" s="7" t="n"/>
    </row>
    <row r="367" ht="15" customHeight="1" s="5">
      <c r="I367" s="7" t="n"/>
    </row>
    <row r="368" ht="15" customHeight="1" s="5">
      <c r="I368" s="7" t="n"/>
    </row>
    <row r="369" ht="15" customHeight="1" s="5">
      <c r="I369" s="7" t="n"/>
    </row>
    <row r="370" ht="15" customHeight="1" s="5">
      <c r="I370" s="7" t="n"/>
    </row>
    <row r="371" ht="15" customHeight="1" s="5">
      <c r="I371" s="7" t="n"/>
    </row>
    <row r="372" ht="15" customHeight="1" s="5">
      <c r="I372" s="7" t="n"/>
    </row>
    <row r="373" ht="15" customHeight="1" s="5">
      <c r="I373" s="7" t="n"/>
    </row>
    <row r="374" ht="15" customHeight="1" s="5">
      <c r="I374" s="7" t="n"/>
    </row>
    <row r="375" ht="15" customHeight="1" s="5">
      <c r="I375" s="7" t="n"/>
    </row>
    <row r="376" ht="15" customHeight="1" s="5">
      <c r="I376" s="7" t="n"/>
    </row>
    <row r="377" ht="15" customHeight="1" s="5">
      <c r="I377" s="7" t="n"/>
    </row>
    <row r="378" ht="15" customHeight="1" s="5">
      <c r="I378" s="7" t="n"/>
    </row>
    <row r="379" ht="15" customHeight="1" s="5">
      <c r="I379" s="7" t="n"/>
    </row>
    <row r="380" ht="15" customHeight="1" s="5">
      <c r="I380" s="7" t="n"/>
    </row>
    <row r="381" ht="15" customHeight="1" s="5">
      <c r="I381" s="7" t="n"/>
    </row>
    <row r="382" ht="15" customHeight="1" s="5">
      <c r="I382" s="7" t="n"/>
    </row>
    <row r="383" ht="15" customHeight="1" s="5">
      <c r="I383" s="7" t="n"/>
    </row>
    <row r="384" ht="15" customHeight="1" s="5">
      <c r="I384" s="7" t="n"/>
    </row>
    <row r="385" ht="15" customHeight="1" s="5">
      <c r="I385" s="7" t="n"/>
    </row>
    <row r="386" ht="15" customHeight="1" s="5">
      <c r="I386" s="7" t="n"/>
    </row>
    <row r="387" ht="15" customHeight="1" s="5">
      <c r="I387" s="7" t="n"/>
    </row>
    <row r="388" ht="15" customHeight="1" s="5">
      <c r="I388" s="7" t="n"/>
    </row>
    <row r="389" ht="15" customHeight="1" s="5">
      <c r="I389" s="7" t="n"/>
    </row>
    <row r="390" ht="15" customHeight="1" s="5">
      <c r="I390" s="7" t="n"/>
    </row>
    <row r="391" ht="15" customHeight="1" s="5">
      <c r="I391" s="7" t="n"/>
    </row>
    <row r="392" ht="15" customHeight="1" s="5">
      <c r="I392" s="7" t="n"/>
    </row>
    <row r="393" ht="15" customHeight="1" s="5">
      <c r="I393" s="7" t="n"/>
    </row>
    <row r="394" ht="15" customHeight="1" s="5">
      <c r="I394" s="7" t="n"/>
    </row>
    <row r="395" ht="15" customHeight="1" s="5">
      <c r="I395" s="7" t="n"/>
    </row>
    <row r="396" ht="15" customHeight="1" s="5">
      <c r="I396" s="7" t="n"/>
    </row>
    <row r="397" ht="15" customHeight="1" s="5">
      <c r="I397" s="7" t="n"/>
    </row>
    <row r="398" ht="15" customHeight="1" s="5">
      <c r="I398" s="7" t="n"/>
    </row>
    <row r="399" ht="15" customHeight="1" s="5">
      <c r="I399" s="7" t="n"/>
    </row>
    <row r="400" ht="15" customHeight="1" s="5">
      <c r="I400" s="7" t="n"/>
    </row>
    <row r="401" ht="15" customHeight="1" s="5">
      <c r="I401" s="7" t="n"/>
    </row>
    <row r="402" ht="15" customHeight="1" s="5">
      <c r="I402" s="7" t="n"/>
    </row>
    <row r="403" ht="15" customHeight="1" s="5">
      <c r="I403" s="7" t="n"/>
    </row>
    <row r="404" ht="15" customHeight="1" s="5">
      <c r="I404" s="7" t="n"/>
    </row>
    <row r="405" ht="15" customHeight="1" s="5">
      <c r="I405" s="7" t="n"/>
    </row>
    <row r="406" ht="15" customHeight="1" s="5">
      <c r="I406" s="7" t="n"/>
    </row>
    <row r="407" ht="15" customHeight="1" s="5">
      <c r="I407" s="7" t="n"/>
    </row>
    <row r="408" ht="15" customHeight="1" s="5">
      <c r="I408" s="7" t="n"/>
    </row>
    <row r="409" ht="15" customHeight="1" s="5">
      <c r="I409" s="7" t="n"/>
    </row>
    <row r="410" ht="15" customHeight="1" s="5">
      <c r="I410" s="7" t="n"/>
    </row>
    <row r="411" ht="15" customHeight="1" s="5">
      <c r="I411" s="7" t="n"/>
    </row>
    <row r="412" ht="15" customHeight="1" s="5">
      <c r="I412" s="7" t="n"/>
    </row>
    <row r="413" ht="15" customHeight="1" s="5">
      <c r="I413" s="7" t="n"/>
    </row>
    <row r="414" ht="15" customHeight="1" s="5">
      <c r="I414" s="7" t="n"/>
    </row>
    <row r="415" ht="15" customHeight="1" s="5">
      <c r="I415" s="7" t="n"/>
    </row>
    <row r="416" ht="15" customHeight="1" s="5">
      <c r="I416" s="7" t="n"/>
    </row>
    <row r="417" ht="15" customHeight="1" s="5">
      <c r="I417" s="7" t="n"/>
    </row>
    <row r="418" ht="15" customHeight="1" s="5">
      <c r="I418" s="7" t="n"/>
    </row>
    <row r="419" ht="15" customHeight="1" s="5">
      <c r="I419" s="7" t="n"/>
    </row>
    <row r="420" ht="15" customHeight="1" s="5">
      <c r="I420" s="7" t="n"/>
    </row>
    <row r="421" ht="15" customHeight="1" s="5">
      <c r="I421" s="7" t="n"/>
    </row>
    <row r="422" ht="15" customHeight="1" s="5">
      <c r="I422" s="7" t="n"/>
    </row>
    <row r="423" ht="15" customHeight="1" s="5">
      <c r="I423" s="7" t="n"/>
    </row>
    <row r="424" ht="15" customHeight="1" s="5">
      <c r="I424" s="7" t="n"/>
    </row>
    <row r="425" ht="15" customHeight="1" s="5">
      <c r="I425" s="7" t="n"/>
    </row>
    <row r="426" ht="15" customHeight="1" s="5">
      <c r="I426" s="7" t="n"/>
    </row>
    <row r="427" ht="15" customHeight="1" s="5">
      <c r="I427" s="7" t="n"/>
    </row>
    <row r="428" ht="15" customHeight="1" s="5">
      <c r="I428" s="7" t="n"/>
    </row>
    <row r="429" ht="15" customHeight="1" s="5">
      <c r="I429" s="7" t="n"/>
    </row>
    <row r="430" ht="15" customHeight="1" s="5">
      <c r="I430" s="7" t="n"/>
    </row>
    <row r="431" ht="15" customHeight="1" s="5">
      <c r="I431" s="7" t="n"/>
    </row>
    <row r="432" ht="15" customHeight="1" s="5">
      <c r="I432" s="7" t="n"/>
    </row>
    <row r="433" ht="15" customHeight="1" s="5">
      <c r="I433" s="7" t="n"/>
    </row>
    <row r="434" ht="15" customHeight="1" s="5">
      <c r="I434" s="7" t="n"/>
    </row>
    <row r="435" ht="15" customHeight="1" s="5">
      <c r="I435" s="7" t="n"/>
    </row>
    <row r="436" ht="15" customHeight="1" s="5">
      <c r="I436" s="7" t="n"/>
    </row>
    <row r="437" ht="15" customHeight="1" s="5">
      <c r="I437" s="7" t="n"/>
    </row>
    <row r="438" ht="15" customHeight="1" s="5">
      <c r="I438" s="7" t="n"/>
    </row>
    <row r="439" ht="15" customHeight="1" s="5">
      <c r="I439" s="7" t="n"/>
    </row>
    <row r="440" ht="15" customHeight="1" s="5">
      <c r="I440" s="7" t="n"/>
    </row>
    <row r="441" ht="15" customHeight="1" s="5">
      <c r="I441" s="7" t="n"/>
    </row>
    <row r="442" ht="15" customHeight="1" s="5">
      <c r="I442" s="7" t="n"/>
    </row>
    <row r="443" ht="15" customHeight="1" s="5">
      <c r="I443" s="7" t="n"/>
    </row>
    <row r="444" ht="15" customHeight="1" s="5">
      <c r="I444" s="7" t="n"/>
    </row>
    <row r="445" ht="15" customHeight="1" s="5">
      <c r="I445" s="7" t="n"/>
    </row>
    <row r="446" ht="15" customHeight="1" s="5">
      <c r="I446" s="7" t="n"/>
    </row>
    <row r="447" ht="15" customHeight="1" s="5">
      <c r="I447" s="7" t="n"/>
    </row>
    <row r="448" ht="15" customHeight="1" s="5">
      <c r="I448" s="7" t="n"/>
    </row>
    <row r="449" ht="15" customHeight="1" s="5">
      <c r="I449" s="7" t="n"/>
    </row>
    <row r="450" ht="15" customHeight="1" s="5">
      <c r="I450" s="7" t="n"/>
    </row>
    <row r="451" ht="15" customHeight="1" s="5">
      <c r="I451" s="7" t="n"/>
    </row>
    <row r="452" ht="15" customHeight="1" s="5">
      <c r="I452" s="7" t="n"/>
    </row>
    <row r="453" ht="15" customHeight="1" s="5">
      <c r="I453" s="7" t="n"/>
    </row>
    <row r="454" ht="15" customHeight="1" s="5">
      <c r="I454" s="7" t="n"/>
    </row>
    <row r="455" ht="15" customHeight="1" s="5">
      <c r="I455" s="7" t="n"/>
    </row>
    <row r="456" ht="15" customHeight="1" s="5">
      <c r="I456" s="7" t="n"/>
    </row>
    <row r="457" ht="15" customHeight="1" s="5">
      <c r="I457" s="7" t="n"/>
    </row>
    <row r="458" ht="15" customHeight="1" s="5">
      <c r="I458" s="7" t="n"/>
    </row>
    <row r="459" ht="15" customHeight="1" s="5">
      <c r="I459" s="7" t="n"/>
    </row>
    <row r="460" ht="15" customHeight="1" s="5">
      <c r="I460" s="7" t="n"/>
    </row>
    <row r="461" ht="15" customHeight="1" s="5">
      <c r="I461" s="7" t="n"/>
    </row>
    <row r="462" ht="15" customHeight="1" s="5">
      <c r="I462" s="7" t="n"/>
    </row>
    <row r="463" ht="15" customHeight="1" s="5">
      <c r="I463" s="7" t="n"/>
    </row>
    <row r="464" ht="15" customHeight="1" s="5">
      <c r="I464" s="7" t="n"/>
    </row>
    <row r="465" ht="15" customHeight="1" s="5">
      <c r="I465" s="7" t="n"/>
    </row>
    <row r="466" ht="15" customHeight="1" s="5">
      <c r="I466" s="7" t="n"/>
    </row>
    <row r="467" ht="15" customHeight="1" s="5">
      <c r="I467" s="7" t="n"/>
    </row>
    <row r="468" ht="15" customHeight="1" s="5">
      <c r="I468" s="7" t="n"/>
    </row>
    <row r="469" ht="15" customHeight="1" s="5">
      <c r="I469" s="7" t="n"/>
    </row>
    <row r="470" ht="15" customHeight="1" s="5">
      <c r="I470" s="7" t="n"/>
    </row>
    <row r="471" ht="15" customHeight="1" s="5">
      <c r="I471" s="7" t="n"/>
    </row>
    <row r="472" ht="15" customHeight="1" s="5">
      <c r="I472" s="7" t="n"/>
    </row>
    <row r="473" ht="15" customHeight="1" s="5">
      <c r="I473" s="7" t="n"/>
    </row>
    <row r="474" ht="15" customHeight="1" s="5">
      <c r="I474" s="7" t="n"/>
    </row>
    <row r="475" ht="15" customHeight="1" s="5">
      <c r="I475" s="7" t="n"/>
    </row>
    <row r="476" ht="15" customHeight="1" s="5">
      <c r="I476" s="7" t="n"/>
    </row>
    <row r="477" ht="15" customHeight="1" s="5">
      <c r="I477" s="7" t="n"/>
    </row>
    <row r="478" ht="15" customHeight="1" s="5">
      <c r="I478" s="7" t="n"/>
    </row>
    <row r="479" ht="15" customHeight="1" s="5">
      <c r="I479" s="7" t="n"/>
    </row>
    <row r="480" ht="15" customHeight="1" s="5">
      <c r="I480" s="7" t="n"/>
    </row>
    <row r="481" ht="15" customHeight="1" s="5">
      <c r="I481" s="7" t="n"/>
    </row>
    <row r="482" ht="15" customHeight="1" s="5">
      <c r="I482" s="7" t="n"/>
    </row>
    <row r="483" ht="15" customHeight="1" s="5">
      <c r="I483" s="7" t="n"/>
    </row>
    <row r="484" ht="15" customHeight="1" s="5">
      <c r="I484" s="7" t="n"/>
    </row>
    <row r="485" ht="15" customHeight="1" s="5">
      <c r="I485" s="7" t="n"/>
    </row>
    <row r="486" ht="15" customHeight="1" s="5">
      <c r="I486" s="7" t="n"/>
    </row>
    <row r="487" ht="15" customHeight="1" s="5">
      <c r="I487" s="7" t="n"/>
    </row>
    <row r="488" ht="15" customHeight="1" s="5">
      <c r="I488" s="7" t="n"/>
    </row>
    <row r="489" ht="15" customHeight="1" s="5">
      <c r="I489" s="7" t="n"/>
    </row>
    <row r="490" ht="15" customHeight="1" s="5">
      <c r="I490" s="7" t="n"/>
    </row>
    <row r="491" ht="15" customHeight="1" s="5">
      <c r="I491" s="7" t="n"/>
    </row>
    <row r="492" ht="15" customHeight="1" s="5">
      <c r="I492" s="7" t="n"/>
    </row>
    <row r="493" ht="15" customHeight="1" s="5">
      <c r="I493" s="7" t="n"/>
    </row>
    <row r="494" ht="15" customHeight="1" s="5">
      <c r="I494" s="7" t="n"/>
    </row>
    <row r="495" ht="15" customHeight="1" s="5">
      <c r="I495" s="7" t="n"/>
    </row>
    <row r="496" ht="15" customHeight="1" s="5">
      <c r="I496" s="7" t="n"/>
    </row>
    <row r="497" ht="15" customHeight="1" s="5">
      <c r="I497" s="7" t="n"/>
    </row>
    <row r="498" ht="15" customHeight="1" s="5">
      <c r="I498" s="7" t="n"/>
    </row>
    <row r="499" ht="15" customHeight="1" s="5">
      <c r="I499" s="7" t="n"/>
    </row>
    <row r="500" ht="15" customHeight="1" s="5">
      <c r="I500" s="7" t="n"/>
    </row>
    <row r="501" ht="15" customHeight="1" s="5">
      <c r="I501" s="7" t="n"/>
    </row>
    <row r="502" ht="15" customHeight="1" s="5">
      <c r="I502" s="7" t="n"/>
    </row>
    <row r="503" ht="15" customHeight="1" s="5">
      <c r="I503" s="7" t="n"/>
    </row>
    <row r="504" ht="15" customHeight="1" s="5">
      <c r="I504" s="7" t="n"/>
    </row>
    <row r="505" ht="15" customHeight="1" s="5">
      <c r="I505" s="7" t="n"/>
    </row>
    <row r="506" ht="15" customHeight="1" s="5">
      <c r="I506" s="7" t="n"/>
    </row>
    <row r="507" ht="15" customHeight="1" s="5">
      <c r="I507" s="7" t="n"/>
    </row>
    <row r="508" ht="15" customHeight="1" s="5">
      <c r="I508" s="7" t="n"/>
    </row>
    <row r="509" ht="15" customHeight="1" s="5">
      <c r="I509" s="7" t="n"/>
    </row>
    <row r="510" ht="15" customHeight="1" s="5">
      <c r="I510" s="7" t="n"/>
    </row>
    <row r="511" ht="15" customHeight="1" s="5">
      <c r="I511" s="7" t="n"/>
    </row>
  </sheetData>
  <dataValidations count="2">
    <dataValidation sqref="I2:I511" showDropDown="0" showInputMessage="0" showErrorMessage="0" allowBlank="1" errorTitle="Not in Config list" error="Value not in Config; will still be saved." promptTitle="Pipeline Decision" prompt="Pick from Config → Pipeline Decision" type="list" errorStyle="warning" operator="between">
      <formula1>"New,Under Review,Approved,Rejected,Parked"</formula1>
      <formula2>0</formula2>
    </dataValidation>
    <dataValidation sqref="I2:I1011" showDropDown="0" showInputMessage="0" showErrorMessage="0" allowBlank="1" errorTitle="Not in Config list" error="Value not in Config; will still be saved." promptTitle="Pipeline Decision" prompt="Pick from Config → Pipeline Decision" type="list" errorStyle="warning">
      <formula1>"New,Under Review,Approved,Rejected,Parked"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O7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hidden="1" width="13" customWidth="1" style="7" min="4" max="4"/>
  </cols>
  <sheetData>
    <row r="1" ht="15" customHeight="1" s="5">
      <c r="A1" s="6" t="inlineStr">
        <is>
          <t>Project ID</t>
        </is>
      </c>
      <c r="B1" s="6" t="inlineStr">
        <is>
          <t>Project Name</t>
        </is>
      </c>
      <c r="C1" s="6" t="inlineStr">
        <is>
          <t>Program</t>
        </is>
      </c>
      <c r="D1" s="6" t="inlineStr">
        <is>
          <t>Year Offset</t>
        </is>
      </c>
      <c r="E1" s="6" t="inlineStr">
        <is>
          <t>Year</t>
        </is>
      </c>
      <c r="F1" s="6" t="inlineStr">
        <is>
          <t>CAPEX</t>
        </is>
      </c>
      <c r="G1" s="6" t="inlineStr">
        <is>
          <t>OPEX</t>
        </is>
      </c>
      <c r="H1" s="6" t="inlineStr">
        <is>
          <t>Total Cost</t>
        </is>
      </c>
      <c r="I1" s="6" t="inlineStr">
        <is>
          <t>Benefit Recurring</t>
        </is>
      </c>
      <c r="J1" s="6" t="inlineStr">
        <is>
          <t>Benefit One-Off</t>
        </is>
      </c>
      <c r="K1" s="6" t="inlineStr">
        <is>
          <t>Total Benefit</t>
        </is>
      </c>
      <c r="L1" s="6" t="inlineStr">
        <is>
          <t>Net Benefit</t>
        </is>
      </c>
      <c r="M1" s="6" t="inlineStr">
        <is>
          <t>Benefit Type</t>
        </is>
      </c>
      <c r="N1" s="6" t="inlineStr">
        <is>
          <t>Benefit Category</t>
        </is>
      </c>
      <c r="O1" s="6" t="inlineStr">
        <is>
          <t>Confidence %</t>
        </is>
      </c>
    </row>
    <row r="2" ht="15" customHeight="1" s="5">
      <c r="A2" s="7" t="inlineStr">
        <is>
          <t>PRJ001</t>
        </is>
      </c>
      <c r="B2" s="7">
        <f>IFERROR(VLOOKUP(A2,Projects!$A:$AK,2,FALSE()),"")</f>
        <v/>
      </c>
      <c r="C2" s="7">
        <f>IFERROR(VLOOKUP(A2,Projects!$A:$AK,3,FALSE()),"")</f>
        <v/>
      </c>
      <c r="D2" s="7" t="n">
        <v>0</v>
      </c>
      <c r="E2" s="7">
        <f>IFERROR(YEAR(VLOOKUP(A2,Projects!$A:$AK,16,FALSE()))+D2,D2)</f>
        <v/>
      </c>
      <c r="F2" s="7">
        <f>IFERROR(VLOOKUP(A2,Projects!$A:$AK,21,FALSE()),"")</f>
        <v/>
      </c>
      <c r="G2" s="7">
        <f>IFERROR(VLOOKUP(A2,Projects!$A:$AK,22,FALSE()),"")</f>
        <v/>
      </c>
      <c r="H2" s="7">
        <f>F2+G2</f>
        <v/>
      </c>
      <c r="I2" s="7" t="n">
        <v>0</v>
      </c>
      <c r="J2" s="7" t="n">
        <v>0</v>
      </c>
      <c r="K2" s="7">
        <f>I2+J2</f>
        <v/>
      </c>
      <c r="L2" s="7">
        <f>K2-H2</f>
        <v/>
      </c>
      <c r="M2" s="7" t="inlineStr">
        <is>
          <t>Recurring</t>
        </is>
      </c>
      <c r="N2" s="7" t="inlineStr">
        <is>
          <t>Compliance</t>
        </is>
      </c>
      <c r="O2" s="7" t="n">
        <v>70</v>
      </c>
    </row>
    <row r="3" ht="15" customHeight="1" s="5">
      <c r="A3" s="7" t="inlineStr">
        <is>
          <t>PRJ001</t>
        </is>
      </c>
      <c r="B3" s="7">
        <f>IFERROR(VLOOKUP(A3,Projects!$A:$AK,2,FALSE()),"")</f>
        <v/>
      </c>
      <c r="C3" s="7">
        <f>IFERROR(VLOOKUP(A3,Projects!$A:$AK,3,FALSE()),"")</f>
        <v/>
      </c>
      <c r="D3" s="7" t="n">
        <v>1</v>
      </c>
      <c r="E3" s="7">
        <f>IFERROR(YEAR(VLOOKUP(A3,Projects!$A:$AK,16,FALSE()))+D3,D3)</f>
        <v/>
      </c>
      <c r="F3" s="7">
        <f>IFERROR(VLOOKUP(A3,Projects!$A:$AK,21,FALSE()),"")</f>
        <v/>
      </c>
      <c r="G3" s="7">
        <f>IFERROR(VLOOKUP(A3,Projects!$A:$AK,22,FALSE()),"")</f>
        <v/>
      </c>
      <c r="H3" s="7">
        <f>F3+G3</f>
        <v/>
      </c>
      <c r="I3" s="7" t="n">
        <v>738473</v>
      </c>
      <c r="J3" s="7" t="n">
        <v>0</v>
      </c>
      <c r="K3" s="7">
        <f>I3+J3</f>
        <v/>
      </c>
      <c r="L3" s="7">
        <f>K3-H3</f>
        <v/>
      </c>
      <c r="M3" s="7" t="inlineStr">
        <is>
          <t>Recurring</t>
        </is>
      </c>
      <c r="N3" s="7" t="inlineStr">
        <is>
          <t>Compliance</t>
        </is>
      </c>
      <c r="O3" s="7" t="n">
        <v>70</v>
      </c>
    </row>
    <row r="4" ht="15" customHeight="1" s="5">
      <c r="A4" s="7" t="inlineStr">
        <is>
          <t>PRJ001</t>
        </is>
      </c>
      <c r="B4" s="7">
        <f>IFERROR(VLOOKUP(A4,Projects!$A:$AK,2,FALSE()),"")</f>
        <v/>
      </c>
      <c r="C4" s="7">
        <f>IFERROR(VLOOKUP(A4,Projects!$A:$AK,3,FALSE()),"")</f>
        <v/>
      </c>
      <c r="D4" s="7" t="n">
        <v>2</v>
      </c>
      <c r="E4" s="7">
        <f>IFERROR(YEAR(VLOOKUP(A4,Projects!$A:$AK,16,FALSE()))+D4,D4)</f>
        <v/>
      </c>
      <c r="F4" s="7">
        <f>IFERROR(VLOOKUP(A4,Projects!$A:$AK,21,FALSE()),"")</f>
        <v/>
      </c>
      <c r="G4" s="7">
        <f>IFERROR(VLOOKUP(A4,Projects!$A:$AK,22,FALSE()),"")</f>
        <v/>
      </c>
      <c r="H4" s="7">
        <f>F4+G4</f>
        <v/>
      </c>
      <c r="I4" s="7" t="n">
        <v>807665</v>
      </c>
      <c r="J4" s="7" t="n">
        <v>0</v>
      </c>
      <c r="K4" s="7">
        <f>I4+J4</f>
        <v/>
      </c>
      <c r="L4" s="7">
        <f>K4-H4</f>
        <v/>
      </c>
      <c r="M4" s="7" t="inlineStr">
        <is>
          <t>Recurring</t>
        </is>
      </c>
      <c r="N4" s="7" t="inlineStr">
        <is>
          <t>Compliance</t>
        </is>
      </c>
      <c r="O4" s="7" t="n">
        <v>70</v>
      </c>
    </row>
    <row r="5" ht="15" customHeight="1" s="5">
      <c r="A5" s="7" t="inlineStr">
        <is>
          <t>PRJ001</t>
        </is>
      </c>
      <c r="B5" s="7">
        <f>IFERROR(VLOOKUP(A5,Projects!$A:$AK,2,FALSE()),"")</f>
        <v/>
      </c>
      <c r="C5" s="7">
        <f>IFERROR(VLOOKUP(A5,Projects!$A:$AK,3,FALSE()),"")</f>
        <v/>
      </c>
      <c r="D5" s="7" t="n">
        <v>3</v>
      </c>
      <c r="E5" s="7">
        <f>IFERROR(YEAR(VLOOKUP(A5,Projects!$A:$AK,16,FALSE()))+D5,D5)</f>
        <v/>
      </c>
      <c r="F5" s="7">
        <f>IFERROR(VLOOKUP(A5,Projects!$A:$AK,21,FALSE()),"")</f>
        <v/>
      </c>
      <c r="G5" s="7">
        <f>IFERROR(VLOOKUP(A5,Projects!$A:$AK,22,FALSE()),"")</f>
        <v/>
      </c>
      <c r="H5" s="7">
        <f>F5+G5</f>
        <v/>
      </c>
      <c r="I5" s="7" t="n">
        <v>859774</v>
      </c>
      <c r="J5" s="7" t="n">
        <v>0</v>
      </c>
      <c r="K5" s="7">
        <f>I5+J5</f>
        <v/>
      </c>
      <c r="L5" s="7">
        <f>K5-H5</f>
        <v/>
      </c>
      <c r="M5" s="7" t="inlineStr">
        <is>
          <t>Recurring</t>
        </is>
      </c>
      <c r="N5" s="7" t="inlineStr">
        <is>
          <t>Compliance</t>
        </is>
      </c>
      <c r="O5" s="7" t="n">
        <v>80</v>
      </c>
    </row>
    <row r="6" ht="15" customHeight="1" s="5">
      <c r="A6" s="7" t="inlineStr">
        <is>
          <t>PRJ001</t>
        </is>
      </c>
      <c r="B6" s="7">
        <f>IFERROR(VLOOKUP(A6,Projects!$A:$AK,2,FALSE()),"")</f>
        <v/>
      </c>
      <c r="C6" s="7">
        <f>IFERROR(VLOOKUP(A6,Projects!$A:$AK,3,FALSE()),"")</f>
        <v/>
      </c>
      <c r="D6" s="7" t="n">
        <v>4</v>
      </c>
      <c r="E6" s="7">
        <f>IFERROR(YEAR(VLOOKUP(A6,Projects!$A:$AK,16,FALSE()))+D6,D6)</f>
        <v/>
      </c>
      <c r="F6" s="7">
        <f>IFERROR(VLOOKUP(A6,Projects!$A:$AK,21,FALSE()),"")</f>
        <v/>
      </c>
      <c r="G6" s="7">
        <f>IFERROR(VLOOKUP(A6,Projects!$A:$AK,22,FALSE()),"")</f>
        <v/>
      </c>
      <c r="H6" s="7">
        <f>F6+G6</f>
        <v/>
      </c>
      <c r="I6" s="7" t="n">
        <v>833860</v>
      </c>
      <c r="J6" s="7" t="n">
        <v>0</v>
      </c>
      <c r="K6" s="7">
        <f>I6+J6</f>
        <v/>
      </c>
      <c r="L6" s="7">
        <f>K6-H6</f>
        <v/>
      </c>
      <c r="M6" s="7" t="inlineStr">
        <is>
          <t>Recurring</t>
        </is>
      </c>
      <c r="N6" s="7" t="inlineStr">
        <is>
          <t>Compliance</t>
        </is>
      </c>
      <c r="O6" s="7" t="n">
        <v>60</v>
      </c>
    </row>
    <row r="7" ht="15" customHeight="1" s="5">
      <c r="A7" s="7" t="inlineStr">
        <is>
          <t>PRJ002</t>
        </is>
      </c>
      <c r="B7" s="7">
        <f>IFERROR(VLOOKUP(A7,Projects!$A:$AK,2,FALSE()),"")</f>
        <v/>
      </c>
      <c r="C7" s="7">
        <f>IFERROR(VLOOKUP(A7,Projects!$A:$AK,3,FALSE()),"")</f>
        <v/>
      </c>
      <c r="D7" s="7" t="n">
        <v>0</v>
      </c>
      <c r="E7" s="7">
        <f>IFERROR(YEAR(VLOOKUP(A7,Projects!$A:$AK,16,FALSE()))+D7,D7)</f>
        <v/>
      </c>
      <c r="F7" s="7">
        <f>IFERROR(VLOOKUP(A7,Projects!$A:$AK,21,FALSE()),"")</f>
        <v/>
      </c>
      <c r="G7" s="7">
        <f>IFERROR(VLOOKUP(A7,Projects!$A:$AK,22,FALSE()),"")</f>
        <v/>
      </c>
      <c r="H7" s="7">
        <f>F7+G7</f>
        <v/>
      </c>
      <c r="I7" s="7" t="n">
        <v>0</v>
      </c>
      <c r="J7" s="7" t="n">
        <v>0</v>
      </c>
      <c r="K7" s="7">
        <f>I7+J7</f>
        <v/>
      </c>
      <c r="L7" s="7">
        <f>K7-H7</f>
        <v/>
      </c>
      <c r="M7" s="7" t="inlineStr">
        <is>
          <t>Recurring</t>
        </is>
      </c>
      <c r="N7" s="7" t="inlineStr">
        <is>
          <t>Compliance</t>
        </is>
      </c>
      <c r="O7" s="7" t="n">
        <v>90</v>
      </c>
    </row>
    <row r="8" ht="15" customHeight="1" s="5">
      <c r="A8" s="7" t="inlineStr">
        <is>
          <t>PRJ002</t>
        </is>
      </c>
      <c r="B8" s="7">
        <f>IFERROR(VLOOKUP(A8,Projects!$A:$AK,2,FALSE()),"")</f>
        <v/>
      </c>
      <c r="C8" s="7">
        <f>IFERROR(VLOOKUP(A8,Projects!$A:$AK,3,FALSE()),"")</f>
        <v/>
      </c>
      <c r="D8" s="7" t="n">
        <v>1</v>
      </c>
      <c r="E8" s="7">
        <f>IFERROR(YEAR(VLOOKUP(A8,Projects!$A:$AK,16,FALSE()))+D8,D8)</f>
        <v/>
      </c>
      <c r="F8" s="7">
        <f>IFERROR(VLOOKUP(A8,Projects!$A:$AK,21,FALSE()),"")</f>
        <v/>
      </c>
      <c r="G8" s="7">
        <f>IFERROR(VLOOKUP(A8,Projects!$A:$AK,22,FALSE()),"")</f>
        <v/>
      </c>
      <c r="H8" s="7">
        <f>F8+G8</f>
        <v/>
      </c>
      <c r="I8" s="7" t="n">
        <v>653868</v>
      </c>
      <c r="J8" s="7" t="n">
        <v>0</v>
      </c>
      <c r="K8" s="7">
        <f>I8+J8</f>
        <v/>
      </c>
      <c r="L8" s="7">
        <f>K8-H8</f>
        <v/>
      </c>
      <c r="M8" s="7" t="inlineStr">
        <is>
          <t>Recurring</t>
        </is>
      </c>
      <c r="N8" s="7" t="inlineStr">
        <is>
          <t>Compliance</t>
        </is>
      </c>
      <c r="O8" s="7" t="n">
        <v>70</v>
      </c>
    </row>
    <row r="9" ht="15" customHeight="1" s="5">
      <c r="A9" s="7" t="inlineStr">
        <is>
          <t>PRJ002</t>
        </is>
      </c>
      <c r="B9" s="7">
        <f>IFERROR(VLOOKUP(A9,Projects!$A:$AK,2,FALSE()),"")</f>
        <v/>
      </c>
      <c r="C9" s="7">
        <f>IFERROR(VLOOKUP(A9,Projects!$A:$AK,3,FALSE()),"")</f>
        <v/>
      </c>
      <c r="D9" s="7" t="n">
        <v>2</v>
      </c>
      <c r="E9" s="7">
        <f>IFERROR(YEAR(VLOOKUP(A9,Projects!$A:$AK,16,FALSE()))+D9,D9)</f>
        <v/>
      </c>
      <c r="F9" s="7">
        <f>IFERROR(VLOOKUP(A9,Projects!$A:$AK,21,FALSE()),"")</f>
        <v/>
      </c>
      <c r="G9" s="7">
        <f>IFERROR(VLOOKUP(A9,Projects!$A:$AK,22,FALSE()),"")</f>
        <v/>
      </c>
      <c r="H9" s="7">
        <f>F9+G9</f>
        <v/>
      </c>
      <c r="I9" s="7" t="n">
        <v>563363</v>
      </c>
      <c r="J9" s="7" t="n">
        <v>0</v>
      </c>
      <c r="K9" s="7">
        <f>I9+J9</f>
        <v/>
      </c>
      <c r="L9" s="7">
        <f>K9-H9</f>
        <v/>
      </c>
      <c r="M9" s="7" t="inlineStr">
        <is>
          <t>Recurring</t>
        </is>
      </c>
      <c r="N9" s="7" t="inlineStr">
        <is>
          <t>Compliance</t>
        </is>
      </c>
      <c r="O9" s="7" t="n">
        <v>80</v>
      </c>
    </row>
    <row r="10" ht="15" customHeight="1" s="5">
      <c r="A10" s="7" t="inlineStr">
        <is>
          <t>PRJ002</t>
        </is>
      </c>
      <c r="B10" s="7">
        <f>IFERROR(VLOOKUP(A10,Projects!$A:$AK,2,FALSE()),"")</f>
        <v/>
      </c>
      <c r="C10" s="7">
        <f>IFERROR(VLOOKUP(A10,Projects!$A:$AK,3,FALSE()),"")</f>
        <v/>
      </c>
      <c r="D10" s="7" t="n">
        <v>3</v>
      </c>
      <c r="E10" s="7">
        <f>IFERROR(YEAR(VLOOKUP(A10,Projects!$A:$AK,16,FALSE()))+D10,D10)</f>
        <v/>
      </c>
      <c r="F10" s="7">
        <f>IFERROR(VLOOKUP(A10,Projects!$A:$AK,21,FALSE()),"")</f>
        <v/>
      </c>
      <c r="G10" s="7">
        <f>IFERROR(VLOOKUP(A10,Projects!$A:$AK,22,FALSE()),"")</f>
        <v/>
      </c>
      <c r="H10" s="7">
        <f>F10+G10</f>
        <v/>
      </c>
      <c r="I10" s="7" t="n">
        <v>731003</v>
      </c>
      <c r="J10" s="7" t="n">
        <v>0</v>
      </c>
      <c r="K10" s="7">
        <f>I10+J10</f>
        <v/>
      </c>
      <c r="L10" s="7">
        <f>K10-H10</f>
        <v/>
      </c>
      <c r="M10" s="7" t="inlineStr">
        <is>
          <t>Recurring</t>
        </is>
      </c>
      <c r="N10" s="7" t="inlineStr">
        <is>
          <t>Compliance</t>
        </is>
      </c>
      <c r="O10" s="7" t="n">
        <v>70</v>
      </c>
    </row>
    <row r="11" ht="15" customHeight="1" s="5">
      <c r="A11" s="7" t="inlineStr">
        <is>
          <t>PRJ002</t>
        </is>
      </c>
      <c r="B11" s="7">
        <f>IFERROR(VLOOKUP(A11,Projects!$A:$AK,2,FALSE()),"")</f>
        <v/>
      </c>
      <c r="C11" s="7">
        <f>IFERROR(VLOOKUP(A11,Projects!$A:$AK,3,FALSE()),"")</f>
        <v/>
      </c>
      <c r="D11" s="7" t="n">
        <v>4</v>
      </c>
      <c r="E11" s="7">
        <f>IFERROR(YEAR(VLOOKUP(A11,Projects!$A:$AK,16,FALSE()))+D11,D11)</f>
        <v/>
      </c>
      <c r="F11" s="7">
        <f>IFERROR(VLOOKUP(A11,Projects!$A:$AK,21,FALSE()),"")</f>
        <v/>
      </c>
      <c r="G11" s="7">
        <f>IFERROR(VLOOKUP(A11,Projects!$A:$AK,22,FALSE()),"")</f>
        <v/>
      </c>
      <c r="H11" s="7">
        <f>F11+G11</f>
        <v/>
      </c>
      <c r="I11" s="7" t="n">
        <v>730897</v>
      </c>
      <c r="J11" s="7" t="n">
        <v>0</v>
      </c>
      <c r="K11" s="7">
        <f>I11+J11</f>
        <v/>
      </c>
      <c r="L11" s="7">
        <f>K11-H11</f>
        <v/>
      </c>
      <c r="M11" s="7" t="inlineStr">
        <is>
          <t>Recurring</t>
        </is>
      </c>
      <c r="N11" s="7" t="inlineStr">
        <is>
          <t>Compliance</t>
        </is>
      </c>
      <c r="O11" s="7" t="n">
        <v>60</v>
      </c>
    </row>
    <row r="12" ht="15" customHeight="1" s="5">
      <c r="A12" s="7" t="inlineStr">
        <is>
          <t>PRJ003</t>
        </is>
      </c>
      <c r="B12" s="7">
        <f>IFERROR(VLOOKUP(A12,Projects!$A:$AK,2,FALSE()),"")</f>
        <v/>
      </c>
      <c r="C12" s="7">
        <f>IFERROR(VLOOKUP(A12,Projects!$A:$AK,3,FALSE()),"")</f>
        <v/>
      </c>
      <c r="D12" s="7" t="n">
        <v>0</v>
      </c>
      <c r="E12" s="7">
        <f>IFERROR(YEAR(VLOOKUP(A12,Projects!$A:$AK,16,FALSE()))+D12,D12)</f>
        <v/>
      </c>
      <c r="F12" s="7">
        <f>IFERROR(VLOOKUP(A12,Projects!$A:$AK,21,FALSE()),"")</f>
        <v/>
      </c>
      <c r="G12" s="7">
        <f>IFERROR(VLOOKUP(A12,Projects!$A:$AK,22,FALSE()),"")</f>
        <v/>
      </c>
      <c r="H12" s="7">
        <f>F12+G12</f>
        <v/>
      </c>
      <c r="I12" s="7" t="n">
        <v>0</v>
      </c>
      <c r="J12" s="7" t="n">
        <v>0</v>
      </c>
      <c r="K12" s="7">
        <f>I12+J12</f>
        <v/>
      </c>
      <c r="L12" s="7">
        <f>K12-H12</f>
        <v/>
      </c>
      <c r="M12" s="7" t="inlineStr">
        <is>
          <t>Recurring</t>
        </is>
      </c>
      <c r="N12" s="7" t="inlineStr">
        <is>
          <t>Risk Avoidance</t>
        </is>
      </c>
      <c r="O12" s="7" t="n">
        <v>70</v>
      </c>
    </row>
    <row r="13" ht="15" customHeight="1" s="5">
      <c r="A13" s="7" t="inlineStr">
        <is>
          <t>PRJ003</t>
        </is>
      </c>
      <c r="B13" s="7">
        <f>IFERROR(VLOOKUP(A13,Projects!$A:$AK,2,FALSE()),"")</f>
        <v/>
      </c>
      <c r="C13" s="7">
        <f>IFERROR(VLOOKUP(A13,Projects!$A:$AK,3,FALSE()),"")</f>
        <v/>
      </c>
      <c r="D13" s="7" t="n">
        <v>1</v>
      </c>
      <c r="E13" s="7">
        <f>IFERROR(YEAR(VLOOKUP(A13,Projects!$A:$AK,16,FALSE()))+D13,D13)</f>
        <v/>
      </c>
      <c r="F13" s="7">
        <f>IFERROR(VLOOKUP(A13,Projects!$A:$AK,21,FALSE()),"")</f>
        <v/>
      </c>
      <c r="G13" s="7">
        <f>IFERROR(VLOOKUP(A13,Projects!$A:$AK,22,FALSE()),"")</f>
        <v/>
      </c>
      <c r="H13" s="7">
        <f>F13+G13</f>
        <v/>
      </c>
      <c r="I13" s="7" t="n">
        <v>2114749</v>
      </c>
      <c r="J13" s="7" t="n">
        <v>0</v>
      </c>
      <c r="K13" s="7">
        <f>I13+J13</f>
        <v/>
      </c>
      <c r="L13" s="7">
        <f>K13-H13</f>
        <v/>
      </c>
      <c r="M13" s="7" t="inlineStr">
        <is>
          <t>Recurring</t>
        </is>
      </c>
      <c r="N13" s="7" t="inlineStr">
        <is>
          <t>Risk Avoidance</t>
        </is>
      </c>
      <c r="O13" s="7" t="n">
        <v>90</v>
      </c>
    </row>
    <row r="14" ht="15" customHeight="1" s="5">
      <c r="A14" s="7" t="inlineStr">
        <is>
          <t>PRJ003</t>
        </is>
      </c>
      <c r="B14" s="7">
        <f>IFERROR(VLOOKUP(A14,Projects!$A:$AK,2,FALSE()),"")</f>
        <v/>
      </c>
      <c r="C14" s="7">
        <f>IFERROR(VLOOKUP(A14,Projects!$A:$AK,3,FALSE()),"")</f>
        <v/>
      </c>
      <c r="D14" s="7" t="n">
        <v>2</v>
      </c>
      <c r="E14" s="7">
        <f>IFERROR(YEAR(VLOOKUP(A14,Projects!$A:$AK,16,FALSE()))+D14,D14)</f>
        <v/>
      </c>
      <c r="F14" s="7">
        <f>IFERROR(VLOOKUP(A14,Projects!$A:$AK,21,FALSE()),"")</f>
        <v/>
      </c>
      <c r="G14" s="7">
        <f>IFERROR(VLOOKUP(A14,Projects!$A:$AK,22,FALSE()),"")</f>
        <v/>
      </c>
      <c r="H14" s="7">
        <f>F14+G14</f>
        <v/>
      </c>
      <c r="I14" s="7" t="n">
        <v>1952878</v>
      </c>
      <c r="J14" s="7" t="n">
        <v>0</v>
      </c>
      <c r="K14" s="7">
        <f>I14+J14</f>
        <v/>
      </c>
      <c r="L14" s="7">
        <f>K14-H14</f>
        <v/>
      </c>
      <c r="M14" s="7" t="inlineStr">
        <is>
          <t>Recurring</t>
        </is>
      </c>
      <c r="N14" s="7" t="inlineStr">
        <is>
          <t>Risk Avoidance</t>
        </is>
      </c>
      <c r="O14" s="7" t="n">
        <v>60</v>
      </c>
    </row>
    <row r="15" ht="15" customHeight="1" s="5">
      <c r="A15" s="7" t="inlineStr">
        <is>
          <t>PRJ003</t>
        </is>
      </c>
      <c r="B15" s="7">
        <f>IFERROR(VLOOKUP(A15,Projects!$A:$AK,2,FALSE()),"")</f>
        <v/>
      </c>
      <c r="C15" s="7">
        <f>IFERROR(VLOOKUP(A15,Projects!$A:$AK,3,FALSE()),"")</f>
        <v/>
      </c>
      <c r="D15" s="7" t="n">
        <v>3</v>
      </c>
      <c r="E15" s="7">
        <f>IFERROR(YEAR(VLOOKUP(A15,Projects!$A:$AK,16,FALSE()))+D15,D15)</f>
        <v/>
      </c>
      <c r="F15" s="7">
        <f>IFERROR(VLOOKUP(A15,Projects!$A:$AK,21,FALSE()),"")</f>
        <v/>
      </c>
      <c r="G15" s="7">
        <f>IFERROR(VLOOKUP(A15,Projects!$A:$AK,22,FALSE()),"")</f>
        <v/>
      </c>
      <c r="H15" s="7">
        <f>F15+G15</f>
        <v/>
      </c>
      <c r="I15" s="7" t="n">
        <v>2269327</v>
      </c>
      <c r="J15" s="7" t="n">
        <v>0</v>
      </c>
      <c r="K15" s="7">
        <f>I15+J15</f>
        <v/>
      </c>
      <c r="L15" s="7">
        <f>K15-H15</f>
        <v/>
      </c>
      <c r="M15" s="7" t="inlineStr">
        <is>
          <t>Recurring</t>
        </is>
      </c>
      <c r="N15" s="7" t="inlineStr">
        <is>
          <t>Risk Avoidance</t>
        </is>
      </c>
      <c r="O15" s="7" t="n">
        <v>90</v>
      </c>
    </row>
    <row r="16" ht="15" customHeight="1" s="5">
      <c r="A16" s="7" t="inlineStr">
        <is>
          <t>PRJ003</t>
        </is>
      </c>
      <c r="B16" s="7">
        <f>IFERROR(VLOOKUP(A16,Projects!$A:$AK,2,FALSE()),"")</f>
        <v/>
      </c>
      <c r="C16" s="7">
        <f>IFERROR(VLOOKUP(A16,Projects!$A:$AK,3,FALSE()),"")</f>
        <v/>
      </c>
      <c r="D16" s="7" t="n">
        <v>4</v>
      </c>
      <c r="E16" s="7">
        <f>IFERROR(YEAR(VLOOKUP(A16,Projects!$A:$AK,16,FALSE()))+D16,D16)</f>
        <v/>
      </c>
      <c r="F16" s="7">
        <f>IFERROR(VLOOKUP(A16,Projects!$A:$AK,21,FALSE()),"")</f>
        <v/>
      </c>
      <c r="G16" s="7">
        <f>IFERROR(VLOOKUP(A16,Projects!$A:$AK,22,FALSE()),"")</f>
        <v/>
      </c>
      <c r="H16" s="7">
        <f>F16+G16</f>
        <v/>
      </c>
      <c r="I16" s="7" t="n">
        <v>2119194</v>
      </c>
      <c r="J16" s="7" t="n">
        <v>0</v>
      </c>
      <c r="K16" s="7">
        <f>I16+J16</f>
        <v/>
      </c>
      <c r="L16" s="7">
        <f>K16-H16</f>
        <v/>
      </c>
      <c r="M16" s="7" t="inlineStr">
        <is>
          <t>Recurring</t>
        </is>
      </c>
      <c r="N16" s="7" t="inlineStr">
        <is>
          <t>Risk Avoidance</t>
        </is>
      </c>
      <c r="O16" s="7" t="n">
        <v>80</v>
      </c>
    </row>
    <row r="17" ht="15" customHeight="1" s="5">
      <c r="A17" s="7" t="inlineStr">
        <is>
          <t>PRJ004</t>
        </is>
      </c>
      <c r="B17" s="7">
        <f>IFERROR(VLOOKUP(A17,Projects!$A:$AK,2,FALSE()),"")</f>
        <v/>
      </c>
      <c r="C17" s="7">
        <f>IFERROR(VLOOKUP(A17,Projects!$A:$AK,3,FALSE()),"")</f>
        <v/>
      </c>
      <c r="D17" s="7" t="n">
        <v>0</v>
      </c>
      <c r="E17" s="7">
        <f>IFERROR(YEAR(VLOOKUP(A17,Projects!$A:$AK,16,FALSE()))+D17,D17)</f>
        <v/>
      </c>
      <c r="F17" s="7">
        <f>IFERROR(VLOOKUP(A17,Projects!$A:$AK,21,FALSE()),"")</f>
        <v/>
      </c>
      <c r="G17" s="7">
        <f>IFERROR(VLOOKUP(A17,Projects!$A:$AK,22,FALSE()),"")</f>
        <v/>
      </c>
      <c r="H17" s="7">
        <f>F17+G17</f>
        <v/>
      </c>
      <c r="I17" s="7" t="n">
        <v>0</v>
      </c>
      <c r="J17" s="7" t="n">
        <v>0</v>
      </c>
      <c r="K17" s="7">
        <f>I17+J17</f>
        <v/>
      </c>
      <c r="L17" s="7">
        <f>K17-H17</f>
        <v/>
      </c>
      <c r="M17" s="7" t="inlineStr">
        <is>
          <t>One-Off</t>
        </is>
      </c>
      <c r="N17" s="7" t="inlineStr">
        <is>
          <t>Cost Savings</t>
        </is>
      </c>
      <c r="O17" s="7" t="n">
        <v>70</v>
      </c>
    </row>
    <row r="18" ht="15" customHeight="1" s="5">
      <c r="A18" s="7" t="inlineStr">
        <is>
          <t>PRJ004</t>
        </is>
      </c>
      <c r="B18" s="7">
        <f>IFERROR(VLOOKUP(A18,Projects!$A:$AK,2,FALSE()),"")</f>
        <v/>
      </c>
      <c r="C18" s="7">
        <f>IFERROR(VLOOKUP(A18,Projects!$A:$AK,3,FALSE()),"")</f>
        <v/>
      </c>
      <c r="D18" s="7" t="n">
        <v>1</v>
      </c>
      <c r="E18" s="7">
        <f>IFERROR(YEAR(VLOOKUP(A18,Projects!$A:$AK,16,FALSE()))+D18,D18)</f>
        <v/>
      </c>
      <c r="F18" s="7">
        <f>IFERROR(VLOOKUP(A18,Projects!$A:$AK,21,FALSE()),"")</f>
        <v/>
      </c>
      <c r="G18" s="7">
        <f>IFERROR(VLOOKUP(A18,Projects!$A:$AK,22,FALSE()),"")</f>
        <v/>
      </c>
      <c r="H18" s="7">
        <f>F18+G18</f>
        <v/>
      </c>
      <c r="I18" s="7" t="n">
        <v>0</v>
      </c>
      <c r="J18" s="7" t="n">
        <v>0</v>
      </c>
      <c r="K18" s="7">
        <f>I18+J18</f>
        <v/>
      </c>
      <c r="L18" s="7">
        <f>K18-H18</f>
        <v/>
      </c>
      <c r="M18" s="7" t="inlineStr">
        <is>
          <t>One-Off</t>
        </is>
      </c>
      <c r="N18" s="7" t="inlineStr">
        <is>
          <t>Cost Savings</t>
        </is>
      </c>
      <c r="O18" s="7" t="n">
        <v>90</v>
      </c>
    </row>
    <row r="19" ht="15" customHeight="1" s="5">
      <c r="A19" s="7" t="inlineStr">
        <is>
          <t>PRJ004</t>
        </is>
      </c>
      <c r="B19" s="7">
        <f>IFERROR(VLOOKUP(A19,Projects!$A:$AK,2,FALSE()),"")</f>
        <v/>
      </c>
      <c r="C19" s="7">
        <f>IFERROR(VLOOKUP(A19,Projects!$A:$AK,3,FALSE()),"")</f>
        <v/>
      </c>
      <c r="D19" s="7" t="n">
        <v>2</v>
      </c>
      <c r="E19" s="7">
        <f>IFERROR(YEAR(VLOOKUP(A19,Projects!$A:$AK,16,FALSE()))+D19,D19)</f>
        <v/>
      </c>
      <c r="F19" s="7">
        <f>IFERROR(VLOOKUP(A19,Projects!$A:$AK,21,FALSE()),"")</f>
        <v/>
      </c>
      <c r="G19" s="7">
        <f>IFERROR(VLOOKUP(A19,Projects!$A:$AK,22,FALSE()),"")</f>
        <v/>
      </c>
      <c r="H19" s="7">
        <f>F19+G19</f>
        <v/>
      </c>
      <c r="I19" s="7" t="n">
        <v>0</v>
      </c>
      <c r="J19" s="7" t="n">
        <v>509515</v>
      </c>
      <c r="K19" s="7">
        <f>I19+J19</f>
        <v/>
      </c>
      <c r="L19" s="7">
        <f>K19-H19</f>
        <v/>
      </c>
      <c r="M19" s="7" t="inlineStr">
        <is>
          <t>One-Off</t>
        </is>
      </c>
      <c r="N19" s="7" t="inlineStr">
        <is>
          <t>Cost Savings</t>
        </is>
      </c>
      <c r="O19" s="7" t="n">
        <v>90</v>
      </c>
    </row>
    <row r="20" ht="15" customHeight="1" s="5">
      <c r="A20" s="7" t="inlineStr">
        <is>
          <t>PRJ004</t>
        </is>
      </c>
      <c r="B20" s="7">
        <f>IFERROR(VLOOKUP(A20,Projects!$A:$AK,2,FALSE()),"")</f>
        <v/>
      </c>
      <c r="C20" s="7">
        <f>IFERROR(VLOOKUP(A20,Projects!$A:$AK,3,FALSE()),"")</f>
        <v/>
      </c>
      <c r="D20" s="7" t="n">
        <v>3</v>
      </c>
      <c r="E20" s="7">
        <f>IFERROR(YEAR(VLOOKUP(A20,Projects!$A:$AK,16,FALSE()))+D20,D20)</f>
        <v/>
      </c>
      <c r="F20" s="7">
        <f>IFERROR(VLOOKUP(A20,Projects!$A:$AK,21,FALSE()),"")</f>
        <v/>
      </c>
      <c r="G20" s="7">
        <f>IFERROR(VLOOKUP(A20,Projects!$A:$AK,22,FALSE()),"")</f>
        <v/>
      </c>
      <c r="H20" s="7">
        <f>F20+G20</f>
        <v/>
      </c>
      <c r="I20" s="7" t="n">
        <v>0</v>
      </c>
      <c r="J20" s="7" t="n">
        <v>0</v>
      </c>
      <c r="K20" s="7">
        <f>I20+J20</f>
        <v/>
      </c>
      <c r="L20" s="7">
        <f>K20-H20</f>
        <v/>
      </c>
      <c r="M20" s="7" t="inlineStr">
        <is>
          <t>One-Off</t>
        </is>
      </c>
      <c r="N20" s="7" t="inlineStr">
        <is>
          <t>Cost Savings</t>
        </is>
      </c>
      <c r="O20" s="7" t="n">
        <v>80</v>
      </c>
    </row>
    <row r="21" ht="15" customHeight="1" s="5">
      <c r="A21" s="7" t="inlineStr">
        <is>
          <t>PRJ004</t>
        </is>
      </c>
      <c r="B21" s="7">
        <f>IFERROR(VLOOKUP(A21,Projects!$A:$AK,2,FALSE()),"")</f>
        <v/>
      </c>
      <c r="C21" s="7">
        <f>IFERROR(VLOOKUP(A21,Projects!$A:$AK,3,FALSE()),"")</f>
        <v/>
      </c>
      <c r="D21" s="7" t="n">
        <v>4</v>
      </c>
      <c r="E21" s="7">
        <f>IFERROR(YEAR(VLOOKUP(A21,Projects!$A:$AK,16,FALSE()))+D21,D21)</f>
        <v/>
      </c>
      <c r="F21" s="7">
        <f>IFERROR(VLOOKUP(A21,Projects!$A:$AK,21,FALSE()),"")</f>
        <v/>
      </c>
      <c r="G21" s="7">
        <f>IFERROR(VLOOKUP(A21,Projects!$A:$AK,22,FALSE()),"")</f>
        <v/>
      </c>
      <c r="H21" s="7">
        <f>F21+G21</f>
        <v/>
      </c>
      <c r="I21" s="7" t="n">
        <v>0</v>
      </c>
      <c r="J21" s="7" t="n">
        <v>0</v>
      </c>
      <c r="K21" s="7">
        <f>I21+J21</f>
        <v/>
      </c>
      <c r="L21" s="7">
        <f>K21-H21</f>
        <v/>
      </c>
      <c r="M21" s="7" t="inlineStr">
        <is>
          <t>One-Off</t>
        </is>
      </c>
      <c r="N21" s="7" t="inlineStr">
        <is>
          <t>Cost Savings</t>
        </is>
      </c>
      <c r="O21" s="7" t="n">
        <v>70</v>
      </c>
    </row>
    <row r="22" ht="15" customHeight="1" s="5">
      <c r="A22" s="7" t="inlineStr">
        <is>
          <t>PRJ005</t>
        </is>
      </c>
      <c r="B22" s="7">
        <f>IFERROR(VLOOKUP(A22,Projects!$A:$AK,2,FALSE()),"")</f>
        <v/>
      </c>
      <c r="C22" s="7">
        <f>IFERROR(VLOOKUP(A22,Projects!$A:$AK,3,FALSE()),"")</f>
        <v/>
      </c>
      <c r="D22" s="7" t="n">
        <v>0</v>
      </c>
      <c r="E22" s="7">
        <f>IFERROR(YEAR(VLOOKUP(A22,Projects!$A:$AK,16,FALSE()))+D22,D22)</f>
        <v/>
      </c>
      <c r="F22" s="7">
        <f>IFERROR(VLOOKUP(A22,Projects!$A:$AK,21,FALSE()),"")</f>
        <v/>
      </c>
      <c r="G22" s="7">
        <f>IFERROR(VLOOKUP(A22,Projects!$A:$AK,22,FALSE()),"")</f>
        <v/>
      </c>
      <c r="H22" s="7">
        <f>F22+G22</f>
        <v/>
      </c>
      <c r="I22" s="7" t="n">
        <v>0</v>
      </c>
      <c r="J22" s="7" t="n">
        <v>0</v>
      </c>
      <c r="K22" s="7">
        <f>I22+J22</f>
        <v/>
      </c>
      <c r="L22" s="7">
        <f>K22-H22</f>
        <v/>
      </c>
      <c r="M22" s="7" t="inlineStr">
        <is>
          <t>Recurring</t>
        </is>
      </c>
      <c r="N22" s="7" t="inlineStr">
        <is>
          <t>Revenue Uplift</t>
        </is>
      </c>
      <c r="O22" s="7" t="n">
        <v>60</v>
      </c>
    </row>
    <row r="23" ht="15" customHeight="1" s="5">
      <c r="A23" s="7" t="inlineStr">
        <is>
          <t>PRJ005</t>
        </is>
      </c>
      <c r="B23" s="7">
        <f>IFERROR(VLOOKUP(A23,Projects!$A:$AK,2,FALSE()),"")</f>
        <v/>
      </c>
      <c r="C23" s="7">
        <f>IFERROR(VLOOKUP(A23,Projects!$A:$AK,3,FALSE()),"")</f>
        <v/>
      </c>
      <c r="D23" s="7" t="n">
        <v>1</v>
      </c>
      <c r="E23" s="7">
        <f>IFERROR(YEAR(VLOOKUP(A23,Projects!$A:$AK,16,FALSE()))+D23,D23)</f>
        <v/>
      </c>
      <c r="F23" s="7">
        <f>IFERROR(VLOOKUP(A23,Projects!$A:$AK,21,FALSE()),"")</f>
        <v/>
      </c>
      <c r="G23" s="7">
        <f>IFERROR(VLOOKUP(A23,Projects!$A:$AK,22,FALSE()),"")</f>
        <v/>
      </c>
      <c r="H23" s="7">
        <f>F23+G23</f>
        <v/>
      </c>
      <c r="I23" s="7" t="n">
        <v>1022279</v>
      </c>
      <c r="J23" s="7" t="n">
        <v>0</v>
      </c>
      <c r="K23" s="7">
        <f>I23+J23</f>
        <v/>
      </c>
      <c r="L23" s="7">
        <f>K23-H23</f>
        <v/>
      </c>
      <c r="M23" s="7" t="inlineStr">
        <is>
          <t>Recurring</t>
        </is>
      </c>
      <c r="N23" s="7" t="inlineStr">
        <is>
          <t>Revenue Uplift</t>
        </is>
      </c>
      <c r="O23" s="7" t="n">
        <v>60</v>
      </c>
    </row>
    <row r="24" ht="15" customHeight="1" s="5">
      <c r="A24" s="7" t="inlineStr">
        <is>
          <t>PRJ005</t>
        </is>
      </c>
      <c r="B24" s="7">
        <f>IFERROR(VLOOKUP(A24,Projects!$A:$AK,2,FALSE()),"")</f>
        <v/>
      </c>
      <c r="C24" s="7">
        <f>IFERROR(VLOOKUP(A24,Projects!$A:$AK,3,FALSE()),"")</f>
        <v/>
      </c>
      <c r="D24" s="7" t="n">
        <v>2</v>
      </c>
      <c r="E24" s="7">
        <f>IFERROR(YEAR(VLOOKUP(A24,Projects!$A:$AK,16,FALSE()))+D24,D24)</f>
        <v/>
      </c>
      <c r="F24" s="7">
        <f>IFERROR(VLOOKUP(A24,Projects!$A:$AK,21,FALSE()),"")</f>
        <v/>
      </c>
      <c r="G24" s="7">
        <f>IFERROR(VLOOKUP(A24,Projects!$A:$AK,22,FALSE()),"")</f>
        <v/>
      </c>
      <c r="H24" s="7">
        <f>F24+G24</f>
        <v/>
      </c>
      <c r="I24" s="7" t="n">
        <v>1149000</v>
      </c>
      <c r="J24" s="7" t="n">
        <v>0</v>
      </c>
      <c r="K24" s="7">
        <f>I24+J24</f>
        <v/>
      </c>
      <c r="L24" s="7">
        <f>K24-H24</f>
        <v/>
      </c>
      <c r="M24" s="7" t="inlineStr">
        <is>
          <t>Recurring</t>
        </is>
      </c>
      <c r="N24" s="7" t="inlineStr">
        <is>
          <t>Revenue Uplift</t>
        </is>
      </c>
      <c r="O24" s="7" t="n">
        <v>90</v>
      </c>
    </row>
    <row r="25" ht="15" customHeight="1" s="5">
      <c r="A25" s="7" t="inlineStr">
        <is>
          <t>PRJ005</t>
        </is>
      </c>
      <c r="B25" s="7">
        <f>IFERROR(VLOOKUP(A25,Projects!$A:$AK,2,FALSE()),"")</f>
        <v/>
      </c>
      <c r="C25" s="7">
        <f>IFERROR(VLOOKUP(A25,Projects!$A:$AK,3,FALSE()),"")</f>
        <v/>
      </c>
      <c r="D25" s="7" t="n">
        <v>3</v>
      </c>
      <c r="E25" s="7">
        <f>IFERROR(YEAR(VLOOKUP(A25,Projects!$A:$AK,16,FALSE()))+D25,D25)</f>
        <v/>
      </c>
      <c r="F25" s="7">
        <f>IFERROR(VLOOKUP(A25,Projects!$A:$AK,21,FALSE()),"")</f>
        <v/>
      </c>
      <c r="G25" s="7">
        <f>IFERROR(VLOOKUP(A25,Projects!$A:$AK,22,FALSE()),"")</f>
        <v/>
      </c>
      <c r="H25" s="7">
        <f>F25+G25</f>
        <v/>
      </c>
      <c r="I25" s="7" t="n">
        <v>1116960</v>
      </c>
      <c r="J25" s="7" t="n">
        <v>0</v>
      </c>
      <c r="K25" s="7">
        <f>I25+J25</f>
        <v/>
      </c>
      <c r="L25" s="7">
        <f>K25-H25</f>
        <v/>
      </c>
      <c r="M25" s="7" t="inlineStr">
        <is>
          <t>Recurring</t>
        </is>
      </c>
      <c r="N25" s="7" t="inlineStr">
        <is>
          <t>Revenue Uplift</t>
        </is>
      </c>
      <c r="O25" s="7" t="n">
        <v>90</v>
      </c>
    </row>
    <row r="26" ht="15" customHeight="1" s="5">
      <c r="A26" s="7" t="inlineStr">
        <is>
          <t>PRJ005</t>
        </is>
      </c>
      <c r="B26" s="7">
        <f>IFERROR(VLOOKUP(A26,Projects!$A:$AK,2,FALSE()),"")</f>
        <v/>
      </c>
      <c r="C26" s="7">
        <f>IFERROR(VLOOKUP(A26,Projects!$A:$AK,3,FALSE()),"")</f>
        <v/>
      </c>
      <c r="D26" s="7" t="n">
        <v>4</v>
      </c>
      <c r="E26" s="7">
        <f>IFERROR(YEAR(VLOOKUP(A26,Projects!$A:$AK,16,FALSE()))+D26,D26)</f>
        <v/>
      </c>
      <c r="F26" s="7">
        <f>IFERROR(VLOOKUP(A26,Projects!$A:$AK,21,FALSE()),"")</f>
        <v/>
      </c>
      <c r="G26" s="7">
        <f>IFERROR(VLOOKUP(A26,Projects!$A:$AK,22,FALSE()),"")</f>
        <v/>
      </c>
      <c r="H26" s="7">
        <f>F26+G26</f>
        <v/>
      </c>
      <c r="I26" s="7" t="n">
        <v>911375</v>
      </c>
      <c r="J26" s="7" t="n">
        <v>0</v>
      </c>
      <c r="K26" s="7">
        <f>I26+J26</f>
        <v/>
      </c>
      <c r="L26" s="7">
        <f>K26-H26</f>
        <v/>
      </c>
      <c r="M26" s="7" t="inlineStr">
        <is>
          <t>Recurring</t>
        </is>
      </c>
      <c r="N26" s="7" t="inlineStr">
        <is>
          <t>Revenue Uplift</t>
        </is>
      </c>
      <c r="O26" s="7" t="n">
        <v>70</v>
      </c>
    </row>
    <row r="27" ht="15" customHeight="1" s="5">
      <c r="A27" s="7" t="inlineStr">
        <is>
          <t>PRJ006</t>
        </is>
      </c>
      <c r="B27" s="7">
        <f>IFERROR(VLOOKUP(A27,Projects!$A:$AK,2,FALSE()),"")</f>
        <v/>
      </c>
      <c r="C27" s="7">
        <f>IFERROR(VLOOKUP(A27,Projects!$A:$AK,3,FALSE()),"")</f>
        <v/>
      </c>
      <c r="D27" s="7" t="n">
        <v>0</v>
      </c>
      <c r="E27" s="7">
        <f>IFERROR(YEAR(VLOOKUP(A27,Projects!$A:$AK,16,FALSE()))+D27,D27)</f>
        <v/>
      </c>
      <c r="F27" s="7">
        <f>IFERROR(VLOOKUP(A27,Projects!$A:$AK,21,FALSE()),"")</f>
        <v/>
      </c>
      <c r="G27" s="7">
        <f>IFERROR(VLOOKUP(A27,Projects!$A:$AK,22,FALSE()),"")</f>
        <v/>
      </c>
      <c r="H27" s="7">
        <f>F27+G27</f>
        <v/>
      </c>
      <c r="I27" s="7" t="n">
        <v>0</v>
      </c>
      <c r="J27" s="7" t="n">
        <v>0</v>
      </c>
      <c r="K27" s="7">
        <f>I27+J27</f>
        <v/>
      </c>
      <c r="L27" s="7">
        <f>K27-H27</f>
        <v/>
      </c>
      <c r="M27" s="7" t="inlineStr">
        <is>
          <t>Recurring</t>
        </is>
      </c>
      <c r="N27" s="7" t="inlineStr">
        <is>
          <t>Cost Savings</t>
        </is>
      </c>
      <c r="O27" s="7" t="n">
        <v>70</v>
      </c>
    </row>
    <row r="28" ht="15" customHeight="1" s="5">
      <c r="A28" s="7" t="inlineStr">
        <is>
          <t>PRJ006</t>
        </is>
      </c>
      <c r="B28" s="7">
        <f>IFERROR(VLOOKUP(A28,Projects!$A:$AK,2,FALSE()),"")</f>
        <v/>
      </c>
      <c r="C28" s="7">
        <f>IFERROR(VLOOKUP(A28,Projects!$A:$AK,3,FALSE()),"")</f>
        <v/>
      </c>
      <c r="D28" s="7" t="n">
        <v>1</v>
      </c>
      <c r="E28" s="7">
        <f>IFERROR(YEAR(VLOOKUP(A28,Projects!$A:$AK,16,FALSE()))+D28,D28)</f>
        <v/>
      </c>
      <c r="F28" s="7">
        <f>IFERROR(VLOOKUP(A28,Projects!$A:$AK,21,FALSE()),"")</f>
        <v/>
      </c>
      <c r="G28" s="7">
        <f>IFERROR(VLOOKUP(A28,Projects!$A:$AK,22,FALSE()),"")</f>
        <v/>
      </c>
      <c r="H28" s="7">
        <f>F28+G28</f>
        <v/>
      </c>
      <c r="I28" s="7" t="n">
        <v>425057</v>
      </c>
      <c r="J28" s="7" t="n">
        <v>0</v>
      </c>
      <c r="K28" s="7">
        <f>I28+J28</f>
        <v/>
      </c>
      <c r="L28" s="7">
        <f>K28-H28</f>
        <v/>
      </c>
      <c r="M28" s="7" t="inlineStr">
        <is>
          <t>Recurring</t>
        </is>
      </c>
      <c r="N28" s="7" t="inlineStr">
        <is>
          <t>Cost Savings</t>
        </is>
      </c>
      <c r="O28" s="7" t="n">
        <v>70</v>
      </c>
    </row>
    <row r="29" ht="15" customHeight="1" s="5">
      <c r="A29" s="7" t="inlineStr">
        <is>
          <t>PRJ006</t>
        </is>
      </c>
      <c r="B29" s="7">
        <f>IFERROR(VLOOKUP(A29,Projects!$A:$AK,2,FALSE()),"")</f>
        <v/>
      </c>
      <c r="C29" s="7">
        <f>IFERROR(VLOOKUP(A29,Projects!$A:$AK,3,FALSE()),"")</f>
        <v/>
      </c>
      <c r="D29" s="7" t="n">
        <v>2</v>
      </c>
      <c r="E29" s="7">
        <f>IFERROR(YEAR(VLOOKUP(A29,Projects!$A:$AK,16,FALSE()))+D29,D29)</f>
        <v/>
      </c>
      <c r="F29" s="7">
        <f>IFERROR(VLOOKUP(A29,Projects!$A:$AK,21,FALSE()),"")</f>
        <v/>
      </c>
      <c r="G29" s="7">
        <f>IFERROR(VLOOKUP(A29,Projects!$A:$AK,22,FALSE()),"")</f>
        <v/>
      </c>
      <c r="H29" s="7">
        <f>F29+G29</f>
        <v/>
      </c>
      <c r="I29" s="7" t="n">
        <v>347705</v>
      </c>
      <c r="J29" s="7" t="n">
        <v>0</v>
      </c>
      <c r="K29" s="7">
        <f>I29+J29</f>
        <v/>
      </c>
      <c r="L29" s="7">
        <f>K29-H29</f>
        <v/>
      </c>
      <c r="M29" s="7" t="inlineStr">
        <is>
          <t>Recurring</t>
        </is>
      </c>
      <c r="N29" s="7" t="inlineStr">
        <is>
          <t>Cost Savings</t>
        </is>
      </c>
      <c r="O29" s="7" t="n">
        <v>90</v>
      </c>
    </row>
    <row r="30" ht="15" customHeight="1" s="5">
      <c r="A30" s="7" t="inlineStr">
        <is>
          <t>PRJ006</t>
        </is>
      </c>
      <c r="B30" s="7">
        <f>IFERROR(VLOOKUP(A30,Projects!$A:$AK,2,FALSE()),"")</f>
        <v/>
      </c>
      <c r="C30" s="7">
        <f>IFERROR(VLOOKUP(A30,Projects!$A:$AK,3,FALSE()),"")</f>
        <v/>
      </c>
      <c r="D30" s="7" t="n">
        <v>3</v>
      </c>
      <c r="E30" s="7">
        <f>IFERROR(YEAR(VLOOKUP(A30,Projects!$A:$AK,16,FALSE()))+D30,D30)</f>
        <v/>
      </c>
      <c r="F30" s="7">
        <f>IFERROR(VLOOKUP(A30,Projects!$A:$AK,21,FALSE()),"")</f>
        <v/>
      </c>
      <c r="G30" s="7">
        <f>IFERROR(VLOOKUP(A30,Projects!$A:$AK,22,FALSE()),"")</f>
        <v/>
      </c>
      <c r="H30" s="7">
        <f>F30+G30</f>
        <v/>
      </c>
      <c r="I30" s="7" t="n">
        <v>348394</v>
      </c>
      <c r="J30" s="7" t="n">
        <v>0</v>
      </c>
      <c r="K30" s="7">
        <f>I30+J30</f>
        <v/>
      </c>
      <c r="L30" s="7">
        <f>K30-H30</f>
        <v/>
      </c>
      <c r="M30" s="7" t="inlineStr">
        <is>
          <t>Recurring</t>
        </is>
      </c>
      <c r="N30" s="7" t="inlineStr">
        <is>
          <t>Cost Savings</t>
        </is>
      </c>
      <c r="O30" s="7" t="n">
        <v>90</v>
      </c>
    </row>
    <row r="31" ht="15" customHeight="1" s="5">
      <c r="A31" s="7" t="inlineStr">
        <is>
          <t>PRJ006</t>
        </is>
      </c>
      <c r="B31" s="7">
        <f>IFERROR(VLOOKUP(A31,Projects!$A:$AK,2,FALSE()),"")</f>
        <v/>
      </c>
      <c r="C31" s="7">
        <f>IFERROR(VLOOKUP(A31,Projects!$A:$AK,3,FALSE()),"")</f>
        <v/>
      </c>
      <c r="D31" s="7" t="n">
        <v>4</v>
      </c>
      <c r="E31" s="7">
        <f>IFERROR(YEAR(VLOOKUP(A31,Projects!$A:$AK,16,FALSE()))+D31,D31)</f>
        <v/>
      </c>
      <c r="F31" s="7">
        <f>IFERROR(VLOOKUP(A31,Projects!$A:$AK,21,FALSE()),"")</f>
        <v/>
      </c>
      <c r="G31" s="7">
        <f>IFERROR(VLOOKUP(A31,Projects!$A:$AK,22,FALSE()),"")</f>
        <v/>
      </c>
      <c r="H31" s="7">
        <f>F31+G31</f>
        <v/>
      </c>
      <c r="I31" s="7" t="n">
        <v>462890</v>
      </c>
      <c r="J31" s="7" t="n">
        <v>0</v>
      </c>
      <c r="K31" s="7">
        <f>I31+J31</f>
        <v/>
      </c>
      <c r="L31" s="7">
        <f>K31-H31</f>
        <v/>
      </c>
      <c r="M31" s="7" t="inlineStr">
        <is>
          <t>Recurring</t>
        </is>
      </c>
      <c r="N31" s="7" t="inlineStr">
        <is>
          <t>Cost Savings</t>
        </is>
      </c>
      <c r="O31" s="7" t="n">
        <v>70</v>
      </c>
    </row>
    <row r="32" ht="15" customHeight="1" s="5">
      <c r="A32" s="7" t="inlineStr">
        <is>
          <t>PRJ007</t>
        </is>
      </c>
      <c r="B32" s="7">
        <f>IFERROR(VLOOKUP(A32,Projects!$A:$AK,2,FALSE()),"")</f>
        <v/>
      </c>
      <c r="C32" s="7">
        <f>IFERROR(VLOOKUP(A32,Projects!$A:$AK,3,FALSE()),"")</f>
        <v/>
      </c>
      <c r="D32" s="7" t="n">
        <v>0</v>
      </c>
      <c r="E32" s="7">
        <f>IFERROR(YEAR(VLOOKUP(A32,Projects!$A:$AK,16,FALSE()))+D32,D32)</f>
        <v/>
      </c>
      <c r="F32" s="7">
        <f>IFERROR(VLOOKUP(A32,Projects!$A:$AK,21,FALSE()),"")</f>
        <v/>
      </c>
      <c r="G32" s="7">
        <f>IFERROR(VLOOKUP(A32,Projects!$A:$AK,22,FALSE()),"")</f>
        <v/>
      </c>
      <c r="H32" s="7">
        <f>F32+G32</f>
        <v/>
      </c>
      <c r="I32" s="7" t="n">
        <v>0</v>
      </c>
      <c r="J32" s="7" t="n">
        <v>0</v>
      </c>
      <c r="K32" s="7">
        <f>I32+J32</f>
        <v/>
      </c>
      <c r="L32" s="7">
        <f>K32-H32</f>
        <v/>
      </c>
      <c r="M32" s="7" t="inlineStr">
        <is>
          <t>Recurring</t>
        </is>
      </c>
      <c r="N32" s="7" t="inlineStr">
        <is>
          <t>Productivity</t>
        </is>
      </c>
      <c r="O32" s="7" t="n">
        <v>60</v>
      </c>
    </row>
    <row r="33" ht="15" customHeight="1" s="5">
      <c r="A33" s="7" t="inlineStr">
        <is>
          <t>PRJ007</t>
        </is>
      </c>
      <c r="B33" s="7">
        <f>IFERROR(VLOOKUP(A33,Projects!$A:$AK,2,FALSE()),"")</f>
        <v/>
      </c>
      <c r="C33" s="7">
        <f>IFERROR(VLOOKUP(A33,Projects!$A:$AK,3,FALSE()),"")</f>
        <v/>
      </c>
      <c r="D33" s="7" t="n">
        <v>1</v>
      </c>
      <c r="E33" s="7">
        <f>IFERROR(YEAR(VLOOKUP(A33,Projects!$A:$AK,16,FALSE()))+D33,D33)</f>
        <v/>
      </c>
      <c r="F33" s="7">
        <f>IFERROR(VLOOKUP(A33,Projects!$A:$AK,21,FALSE()),"")</f>
        <v/>
      </c>
      <c r="G33" s="7">
        <f>IFERROR(VLOOKUP(A33,Projects!$A:$AK,22,FALSE()),"")</f>
        <v/>
      </c>
      <c r="H33" s="7">
        <f>F33+G33</f>
        <v/>
      </c>
      <c r="I33" s="7" t="n">
        <v>2399019</v>
      </c>
      <c r="J33" s="7" t="n">
        <v>0</v>
      </c>
      <c r="K33" s="7">
        <f>I33+J33</f>
        <v/>
      </c>
      <c r="L33" s="7">
        <f>K33-H33</f>
        <v/>
      </c>
      <c r="M33" s="7" t="inlineStr">
        <is>
          <t>Recurring</t>
        </is>
      </c>
      <c r="N33" s="7" t="inlineStr">
        <is>
          <t>Productivity</t>
        </is>
      </c>
      <c r="O33" s="7" t="n">
        <v>90</v>
      </c>
    </row>
    <row r="34" ht="15" customHeight="1" s="5">
      <c r="A34" s="7" t="inlineStr">
        <is>
          <t>PRJ007</t>
        </is>
      </c>
      <c r="B34" s="7">
        <f>IFERROR(VLOOKUP(A34,Projects!$A:$AK,2,FALSE()),"")</f>
        <v/>
      </c>
      <c r="C34" s="7">
        <f>IFERROR(VLOOKUP(A34,Projects!$A:$AK,3,FALSE()),"")</f>
        <v/>
      </c>
      <c r="D34" s="7" t="n">
        <v>2</v>
      </c>
      <c r="E34" s="7">
        <f>IFERROR(YEAR(VLOOKUP(A34,Projects!$A:$AK,16,FALSE()))+D34,D34)</f>
        <v/>
      </c>
      <c r="F34" s="7">
        <f>IFERROR(VLOOKUP(A34,Projects!$A:$AK,21,FALSE()),"")</f>
        <v/>
      </c>
      <c r="G34" s="7">
        <f>IFERROR(VLOOKUP(A34,Projects!$A:$AK,22,FALSE()),"")</f>
        <v/>
      </c>
      <c r="H34" s="7">
        <f>F34+G34</f>
        <v/>
      </c>
      <c r="I34" s="7" t="n">
        <v>2056671</v>
      </c>
      <c r="J34" s="7" t="n">
        <v>0</v>
      </c>
      <c r="K34" s="7">
        <f>I34+J34</f>
        <v/>
      </c>
      <c r="L34" s="7">
        <f>K34-H34</f>
        <v/>
      </c>
      <c r="M34" s="7" t="inlineStr">
        <is>
          <t>Recurring</t>
        </is>
      </c>
      <c r="N34" s="7" t="inlineStr">
        <is>
          <t>Productivity</t>
        </is>
      </c>
      <c r="O34" s="7" t="n">
        <v>80</v>
      </c>
    </row>
    <row r="35" ht="15" customHeight="1" s="5">
      <c r="A35" s="7" t="inlineStr">
        <is>
          <t>PRJ007</t>
        </is>
      </c>
      <c r="B35" s="7">
        <f>IFERROR(VLOOKUP(A35,Projects!$A:$AK,2,FALSE()),"")</f>
        <v/>
      </c>
      <c r="C35" s="7">
        <f>IFERROR(VLOOKUP(A35,Projects!$A:$AK,3,FALSE()),"")</f>
        <v/>
      </c>
      <c r="D35" s="7" t="n">
        <v>3</v>
      </c>
      <c r="E35" s="7">
        <f>IFERROR(YEAR(VLOOKUP(A35,Projects!$A:$AK,16,FALSE()))+D35,D35)</f>
        <v/>
      </c>
      <c r="F35" s="7">
        <f>IFERROR(VLOOKUP(A35,Projects!$A:$AK,21,FALSE()),"")</f>
        <v/>
      </c>
      <c r="G35" s="7">
        <f>IFERROR(VLOOKUP(A35,Projects!$A:$AK,22,FALSE()),"")</f>
        <v/>
      </c>
      <c r="H35" s="7">
        <f>F35+G35</f>
        <v/>
      </c>
      <c r="I35" s="7" t="n">
        <v>2023700</v>
      </c>
      <c r="J35" s="7" t="n">
        <v>0</v>
      </c>
      <c r="K35" s="7">
        <f>I35+J35</f>
        <v/>
      </c>
      <c r="L35" s="7">
        <f>K35-H35</f>
        <v/>
      </c>
      <c r="M35" s="7" t="inlineStr">
        <is>
          <t>Recurring</t>
        </is>
      </c>
      <c r="N35" s="7" t="inlineStr">
        <is>
          <t>Productivity</t>
        </is>
      </c>
      <c r="O35" s="7" t="n">
        <v>90</v>
      </c>
    </row>
    <row r="36" ht="15" customHeight="1" s="5">
      <c r="A36" s="7" t="inlineStr">
        <is>
          <t>PRJ007</t>
        </is>
      </c>
      <c r="B36" s="7">
        <f>IFERROR(VLOOKUP(A36,Projects!$A:$AK,2,FALSE()),"")</f>
        <v/>
      </c>
      <c r="C36" s="7">
        <f>IFERROR(VLOOKUP(A36,Projects!$A:$AK,3,FALSE()),"")</f>
        <v/>
      </c>
      <c r="D36" s="7" t="n">
        <v>4</v>
      </c>
      <c r="E36" s="7">
        <f>IFERROR(YEAR(VLOOKUP(A36,Projects!$A:$AK,16,FALSE()))+D36,D36)</f>
        <v/>
      </c>
      <c r="F36" s="7">
        <f>IFERROR(VLOOKUP(A36,Projects!$A:$AK,21,FALSE()),"")</f>
        <v/>
      </c>
      <c r="G36" s="7">
        <f>IFERROR(VLOOKUP(A36,Projects!$A:$AK,22,FALSE()),"")</f>
        <v/>
      </c>
      <c r="H36" s="7">
        <f>F36+G36</f>
        <v/>
      </c>
      <c r="I36" s="7" t="n">
        <v>1625671</v>
      </c>
      <c r="J36" s="7" t="n">
        <v>0</v>
      </c>
      <c r="K36" s="7">
        <f>I36+J36</f>
        <v/>
      </c>
      <c r="L36" s="7">
        <f>K36-H36</f>
        <v/>
      </c>
      <c r="M36" s="7" t="inlineStr">
        <is>
          <t>Recurring</t>
        </is>
      </c>
      <c r="N36" s="7" t="inlineStr">
        <is>
          <t>Productivity</t>
        </is>
      </c>
      <c r="O36" s="7" t="n">
        <v>80</v>
      </c>
    </row>
    <row r="37" ht="15" customHeight="1" s="5">
      <c r="A37" s="7" t="inlineStr">
        <is>
          <t>PRJ008</t>
        </is>
      </c>
      <c r="B37" s="7">
        <f>IFERROR(VLOOKUP(A37,Projects!$A:$AK,2,FALSE()),"")</f>
        <v/>
      </c>
      <c r="C37" s="7">
        <f>IFERROR(VLOOKUP(A37,Projects!$A:$AK,3,FALSE()),"")</f>
        <v/>
      </c>
      <c r="D37" s="7" t="n">
        <v>0</v>
      </c>
      <c r="E37" s="7">
        <f>IFERROR(YEAR(VLOOKUP(A37,Projects!$A:$AK,16,FALSE()))+D37,D37)</f>
        <v/>
      </c>
      <c r="F37" s="7">
        <f>IFERROR(VLOOKUP(A37,Projects!$A:$AK,21,FALSE()),"")</f>
        <v/>
      </c>
      <c r="G37" s="7">
        <f>IFERROR(VLOOKUP(A37,Projects!$A:$AK,22,FALSE()),"")</f>
        <v/>
      </c>
      <c r="H37" s="7">
        <f>F37+G37</f>
        <v/>
      </c>
      <c r="I37" s="7" t="n">
        <v>0</v>
      </c>
      <c r="J37" s="7" t="n">
        <v>0</v>
      </c>
      <c r="K37" s="7">
        <f>I37+J37</f>
        <v/>
      </c>
      <c r="L37" s="7">
        <f>K37-H37</f>
        <v/>
      </c>
      <c r="M37" s="7" t="inlineStr">
        <is>
          <t>One-Off</t>
        </is>
      </c>
      <c r="N37" s="7" t="inlineStr">
        <is>
          <t>Cost Savings</t>
        </is>
      </c>
      <c r="O37" s="7" t="n">
        <v>80</v>
      </c>
    </row>
    <row r="38" ht="15" customHeight="1" s="5">
      <c r="A38" s="7" t="inlineStr">
        <is>
          <t>PRJ008</t>
        </is>
      </c>
      <c r="B38" s="7">
        <f>IFERROR(VLOOKUP(A38,Projects!$A:$AK,2,FALSE()),"")</f>
        <v/>
      </c>
      <c r="C38" s="7">
        <f>IFERROR(VLOOKUP(A38,Projects!$A:$AK,3,FALSE()),"")</f>
        <v/>
      </c>
      <c r="D38" s="7" t="n">
        <v>1</v>
      </c>
      <c r="E38" s="7">
        <f>IFERROR(YEAR(VLOOKUP(A38,Projects!$A:$AK,16,FALSE()))+D38,D38)</f>
        <v/>
      </c>
      <c r="F38" s="7">
        <f>IFERROR(VLOOKUP(A38,Projects!$A:$AK,21,FALSE()),"")</f>
        <v/>
      </c>
      <c r="G38" s="7">
        <f>IFERROR(VLOOKUP(A38,Projects!$A:$AK,22,FALSE()),"")</f>
        <v/>
      </c>
      <c r="H38" s="7">
        <f>F38+G38</f>
        <v/>
      </c>
      <c r="I38" s="7" t="n">
        <v>0</v>
      </c>
      <c r="J38" s="7" t="n">
        <v>0</v>
      </c>
      <c r="K38" s="7">
        <f>I38+J38</f>
        <v/>
      </c>
      <c r="L38" s="7">
        <f>K38-H38</f>
        <v/>
      </c>
      <c r="M38" s="7" t="inlineStr">
        <is>
          <t>One-Off</t>
        </is>
      </c>
      <c r="N38" s="7" t="inlineStr">
        <is>
          <t>Cost Savings</t>
        </is>
      </c>
      <c r="O38" s="7" t="n">
        <v>70</v>
      </c>
    </row>
    <row r="39" ht="15" customHeight="1" s="5">
      <c r="A39" s="7" t="inlineStr">
        <is>
          <t>PRJ008</t>
        </is>
      </c>
      <c r="B39" s="7">
        <f>IFERROR(VLOOKUP(A39,Projects!$A:$AK,2,FALSE()),"")</f>
        <v/>
      </c>
      <c r="C39" s="7">
        <f>IFERROR(VLOOKUP(A39,Projects!$A:$AK,3,FALSE()),"")</f>
        <v/>
      </c>
      <c r="D39" s="7" t="n">
        <v>2</v>
      </c>
      <c r="E39" s="7">
        <f>IFERROR(YEAR(VLOOKUP(A39,Projects!$A:$AK,16,FALSE()))+D39,D39)</f>
        <v/>
      </c>
      <c r="F39" s="7">
        <f>IFERROR(VLOOKUP(A39,Projects!$A:$AK,21,FALSE()),"")</f>
        <v/>
      </c>
      <c r="G39" s="7">
        <f>IFERROR(VLOOKUP(A39,Projects!$A:$AK,22,FALSE()),"")</f>
        <v/>
      </c>
      <c r="H39" s="7">
        <f>F39+G39</f>
        <v/>
      </c>
      <c r="I39" s="7" t="n">
        <v>0</v>
      </c>
      <c r="J39" s="7" t="n">
        <v>3219136</v>
      </c>
      <c r="K39" s="7">
        <f>I39+J39</f>
        <v/>
      </c>
      <c r="L39" s="7">
        <f>K39-H39</f>
        <v/>
      </c>
      <c r="M39" s="7" t="inlineStr">
        <is>
          <t>One-Off</t>
        </is>
      </c>
      <c r="N39" s="7" t="inlineStr">
        <is>
          <t>Cost Savings</t>
        </is>
      </c>
      <c r="O39" s="7" t="n">
        <v>70</v>
      </c>
    </row>
    <row r="40" ht="15" customHeight="1" s="5">
      <c r="A40" s="7" t="inlineStr">
        <is>
          <t>PRJ008</t>
        </is>
      </c>
      <c r="B40" s="7">
        <f>IFERROR(VLOOKUP(A40,Projects!$A:$AK,2,FALSE()),"")</f>
        <v/>
      </c>
      <c r="C40" s="7">
        <f>IFERROR(VLOOKUP(A40,Projects!$A:$AK,3,FALSE()),"")</f>
        <v/>
      </c>
      <c r="D40" s="7" t="n">
        <v>3</v>
      </c>
      <c r="E40" s="7">
        <f>IFERROR(YEAR(VLOOKUP(A40,Projects!$A:$AK,16,FALSE()))+D40,D40)</f>
        <v/>
      </c>
      <c r="F40" s="7">
        <f>IFERROR(VLOOKUP(A40,Projects!$A:$AK,21,FALSE()),"")</f>
        <v/>
      </c>
      <c r="G40" s="7">
        <f>IFERROR(VLOOKUP(A40,Projects!$A:$AK,22,FALSE()),"")</f>
        <v/>
      </c>
      <c r="H40" s="7">
        <f>F40+G40</f>
        <v/>
      </c>
      <c r="I40" s="7" t="n">
        <v>0</v>
      </c>
      <c r="J40" s="7" t="n">
        <v>0</v>
      </c>
      <c r="K40" s="7">
        <f>I40+J40</f>
        <v/>
      </c>
      <c r="L40" s="7">
        <f>K40-H40</f>
        <v/>
      </c>
      <c r="M40" s="7" t="inlineStr">
        <is>
          <t>One-Off</t>
        </is>
      </c>
      <c r="N40" s="7" t="inlineStr">
        <is>
          <t>Cost Savings</t>
        </is>
      </c>
      <c r="O40" s="7" t="n">
        <v>80</v>
      </c>
    </row>
    <row r="41" ht="15" customHeight="1" s="5">
      <c r="A41" s="7" t="inlineStr">
        <is>
          <t>PRJ008</t>
        </is>
      </c>
      <c r="B41" s="7">
        <f>IFERROR(VLOOKUP(A41,Projects!$A:$AK,2,FALSE()),"")</f>
        <v/>
      </c>
      <c r="C41" s="7">
        <f>IFERROR(VLOOKUP(A41,Projects!$A:$AK,3,FALSE()),"")</f>
        <v/>
      </c>
      <c r="D41" s="7" t="n">
        <v>4</v>
      </c>
      <c r="E41" s="7">
        <f>IFERROR(YEAR(VLOOKUP(A41,Projects!$A:$AK,16,FALSE()))+D41,D41)</f>
        <v/>
      </c>
      <c r="F41" s="7">
        <f>IFERROR(VLOOKUP(A41,Projects!$A:$AK,21,FALSE()),"")</f>
        <v/>
      </c>
      <c r="G41" s="7">
        <f>IFERROR(VLOOKUP(A41,Projects!$A:$AK,22,FALSE()),"")</f>
        <v/>
      </c>
      <c r="H41" s="7">
        <f>F41+G41</f>
        <v/>
      </c>
      <c r="I41" s="7" t="n">
        <v>0</v>
      </c>
      <c r="J41" s="7" t="n">
        <v>0</v>
      </c>
      <c r="K41" s="7">
        <f>I41+J41</f>
        <v/>
      </c>
      <c r="L41" s="7">
        <f>K41-H41</f>
        <v/>
      </c>
      <c r="M41" s="7" t="inlineStr">
        <is>
          <t>One-Off</t>
        </is>
      </c>
      <c r="N41" s="7" t="inlineStr">
        <is>
          <t>Cost Savings</t>
        </is>
      </c>
      <c r="O41" s="7" t="n">
        <v>90</v>
      </c>
    </row>
    <row r="42" ht="15" customHeight="1" s="5">
      <c r="A42" s="7" t="inlineStr">
        <is>
          <t>PRJ009</t>
        </is>
      </c>
      <c r="B42" s="7">
        <f>IFERROR(VLOOKUP(A42,Projects!$A:$AK,2,FALSE()),"")</f>
        <v/>
      </c>
      <c r="C42" s="7">
        <f>IFERROR(VLOOKUP(A42,Projects!$A:$AK,3,FALSE()),"")</f>
        <v/>
      </c>
      <c r="D42" s="7" t="n">
        <v>0</v>
      </c>
      <c r="E42" s="7">
        <f>IFERROR(YEAR(VLOOKUP(A42,Projects!$A:$AK,16,FALSE()))+D42,D42)</f>
        <v/>
      </c>
      <c r="F42" s="7">
        <f>IFERROR(VLOOKUP(A42,Projects!$A:$AK,21,FALSE()),"")</f>
        <v/>
      </c>
      <c r="G42" s="7">
        <f>IFERROR(VLOOKUP(A42,Projects!$A:$AK,22,FALSE()),"")</f>
        <v/>
      </c>
      <c r="H42" s="7">
        <f>F42+G42</f>
        <v/>
      </c>
      <c r="I42" s="7" t="n">
        <v>0</v>
      </c>
      <c r="J42" s="7" t="n">
        <v>0</v>
      </c>
      <c r="K42" s="7">
        <f>I42+J42</f>
        <v/>
      </c>
      <c r="L42" s="7">
        <f>K42-H42</f>
        <v/>
      </c>
      <c r="M42" s="7" t="inlineStr">
        <is>
          <t>Recurring</t>
        </is>
      </c>
      <c r="N42" s="7" t="inlineStr">
        <is>
          <t>Productivity</t>
        </is>
      </c>
      <c r="O42" s="7" t="n">
        <v>80</v>
      </c>
    </row>
    <row r="43" ht="15" customHeight="1" s="5">
      <c r="A43" s="7" t="inlineStr">
        <is>
          <t>PRJ009</t>
        </is>
      </c>
      <c r="B43" s="7">
        <f>IFERROR(VLOOKUP(A43,Projects!$A:$AK,2,FALSE()),"")</f>
        <v/>
      </c>
      <c r="C43" s="7">
        <f>IFERROR(VLOOKUP(A43,Projects!$A:$AK,3,FALSE()),"")</f>
        <v/>
      </c>
      <c r="D43" s="7" t="n">
        <v>1</v>
      </c>
      <c r="E43" s="7">
        <f>IFERROR(YEAR(VLOOKUP(A43,Projects!$A:$AK,16,FALSE()))+D43,D43)</f>
        <v/>
      </c>
      <c r="F43" s="7">
        <f>IFERROR(VLOOKUP(A43,Projects!$A:$AK,21,FALSE()),"")</f>
        <v/>
      </c>
      <c r="G43" s="7">
        <f>IFERROR(VLOOKUP(A43,Projects!$A:$AK,22,FALSE()),"")</f>
        <v/>
      </c>
      <c r="H43" s="7">
        <f>F43+G43</f>
        <v/>
      </c>
      <c r="I43" s="7" t="n">
        <v>445276</v>
      </c>
      <c r="J43" s="7" t="n">
        <v>0</v>
      </c>
      <c r="K43" s="7">
        <f>I43+J43</f>
        <v/>
      </c>
      <c r="L43" s="7">
        <f>K43-H43</f>
        <v/>
      </c>
      <c r="M43" s="7" t="inlineStr">
        <is>
          <t>Recurring</t>
        </is>
      </c>
      <c r="N43" s="7" t="inlineStr">
        <is>
          <t>Productivity</t>
        </is>
      </c>
      <c r="O43" s="7" t="n">
        <v>70</v>
      </c>
    </row>
    <row r="44" ht="15" customHeight="1" s="5">
      <c r="A44" s="7" t="inlineStr">
        <is>
          <t>PRJ009</t>
        </is>
      </c>
      <c r="B44" s="7">
        <f>IFERROR(VLOOKUP(A44,Projects!$A:$AK,2,FALSE()),"")</f>
        <v/>
      </c>
      <c r="C44" s="7">
        <f>IFERROR(VLOOKUP(A44,Projects!$A:$AK,3,FALSE()),"")</f>
        <v/>
      </c>
      <c r="D44" s="7" t="n">
        <v>2</v>
      </c>
      <c r="E44" s="7">
        <f>IFERROR(YEAR(VLOOKUP(A44,Projects!$A:$AK,16,FALSE()))+D44,D44)</f>
        <v/>
      </c>
      <c r="F44" s="7">
        <f>IFERROR(VLOOKUP(A44,Projects!$A:$AK,21,FALSE()),"")</f>
        <v/>
      </c>
      <c r="G44" s="7">
        <f>IFERROR(VLOOKUP(A44,Projects!$A:$AK,22,FALSE()),"")</f>
        <v/>
      </c>
      <c r="H44" s="7">
        <f>F44+G44</f>
        <v/>
      </c>
      <c r="I44" s="7" t="n">
        <v>417495</v>
      </c>
      <c r="J44" s="7" t="n">
        <v>0</v>
      </c>
      <c r="K44" s="7">
        <f>I44+J44</f>
        <v/>
      </c>
      <c r="L44" s="7">
        <f>K44-H44</f>
        <v/>
      </c>
      <c r="M44" s="7" t="inlineStr">
        <is>
          <t>Recurring</t>
        </is>
      </c>
      <c r="N44" s="7" t="inlineStr">
        <is>
          <t>Productivity</t>
        </is>
      </c>
      <c r="O44" s="7" t="n">
        <v>70</v>
      </c>
    </row>
    <row r="45" ht="15" customHeight="1" s="5">
      <c r="A45" s="7" t="inlineStr">
        <is>
          <t>PRJ009</t>
        </is>
      </c>
      <c r="B45" s="7">
        <f>IFERROR(VLOOKUP(A45,Projects!$A:$AK,2,FALSE()),"")</f>
        <v/>
      </c>
      <c r="C45" s="7">
        <f>IFERROR(VLOOKUP(A45,Projects!$A:$AK,3,FALSE()),"")</f>
        <v/>
      </c>
      <c r="D45" s="7" t="n">
        <v>3</v>
      </c>
      <c r="E45" s="7">
        <f>IFERROR(YEAR(VLOOKUP(A45,Projects!$A:$AK,16,FALSE()))+D45,D45)</f>
        <v/>
      </c>
      <c r="F45" s="7">
        <f>IFERROR(VLOOKUP(A45,Projects!$A:$AK,21,FALSE()),"")</f>
        <v/>
      </c>
      <c r="G45" s="7">
        <f>IFERROR(VLOOKUP(A45,Projects!$A:$AK,22,FALSE()),"")</f>
        <v/>
      </c>
      <c r="H45" s="7">
        <f>F45+G45</f>
        <v/>
      </c>
      <c r="I45" s="7" t="n">
        <v>390121</v>
      </c>
      <c r="J45" s="7" t="n">
        <v>0</v>
      </c>
      <c r="K45" s="7">
        <f>I45+J45</f>
        <v/>
      </c>
      <c r="L45" s="7">
        <f>K45-H45</f>
        <v/>
      </c>
      <c r="M45" s="7" t="inlineStr">
        <is>
          <t>Recurring</t>
        </is>
      </c>
      <c r="N45" s="7" t="inlineStr">
        <is>
          <t>Productivity</t>
        </is>
      </c>
      <c r="O45" s="7" t="n">
        <v>90</v>
      </c>
    </row>
    <row r="46" ht="15" customHeight="1" s="5">
      <c r="A46" s="7" t="inlineStr">
        <is>
          <t>PRJ009</t>
        </is>
      </c>
      <c r="B46" s="7">
        <f>IFERROR(VLOOKUP(A46,Projects!$A:$AK,2,FALSE()),"")</f>
        <v/>
      </c>
      <c r="C46" s="7">
        <f>IFERROR(VLOOKUP(A46,Projects!$A:$AK,3,FALSE()),"")</f>
        <v/>
      </c>
      <c r="D46" s="7" t="n">
        <v>4</v>
      </c>
      <c r="E46" s="7">
        <f>IFERROR(YEAR(VLOOKUP(A46,Projects!$A:$AK,16,FALSE()))+D46,D46)</f>
        <v/>
      </c>
      <c r="F46" s="7">
        <f>IFERROR(VLOOKUP(A46,Projects!$A:$AK,21,FALSE()),"")</f>
        <v/>
      </c>
      <c r="G46" s="7">
        <f>IFERROR(VLOOKUP(A46,Projects!$A:$AK,22,FALSE()),"")</f>
        <v/>
      </c>
      <c r="H46" s="7">
        <f>F46+G46</f>
        <v/>
      </c>
      <c r="I46" s="7" t="n">
        <v>349818</v>
      </c>
      <c r="J46" s="7" t="n">
        <v>0</v>
      </c>
      <c r="K46" s="7">
        <f>I46+J46</f>
        <v/>
      </c>
      <c r="L46" s="7">
        <f>K46-H46</f>
        <v/>
      </c>
      <c r="M46" s="7" t="inlineStr">
        <is>
          <t>Recurring</t>
        </is>
      </c>
      <c r="N46" s="7" t="inlineStr">
        <is>
          <t>Productivity</t>
        </is>
      </c>
      <c r="O46" s="7" t="n">
        <v>60</v>
      </c>
    </row>
    <row r="47" ht="15" customHeight="1" s="5">
      <c r="A47" s="7" t="inlineStr">
        <is>
          <t>PRJ010</t>
        </is>
      </c>
      <c r="B47" s="7">
        <f>IFERROR(VLOOKUP(A47,Projects!$A:$AK,2,FALSE()),"")</f>
        <v/>
      </c>
      <c r="C47" s="7">
        <f>IFERROR(VLOOKUP(A47,Projects!$A:$AK,3,FALSE()),"")</f>
        <v/>
      </c>
      <c r="D47" s="7" t="n">
        <v>0</v>
      </c>
      <c r="E47" s="7">
        <f>IFERROR(YEAR(VLOOKUP(A47,Projects!$A:$AK,16,FALSE()))+D47,D47)</f>
        <v/>
      </c>
      <c r="F47" s="7">
        <f>IFERROR(VLOOKUP(A47,Projects!$A:$AK,21,FALSE()),"")</f>
        <v/>
      </c>
      <c r="G47" s="7">
        <f>IFERROR(VLOOKUP(A47,Projects!$A:$AK,22,FALSE()),"")</f>
        <v/>
      </c>
      <c r="H47" s="7">
        <f>F47+G47</f>
        <v/>
      </c>
      <c r="I47" s="7" t="n">
        <v>0</v>
      </c>
      <c r="J47" s="7" t="n">
        <v>0</v>
      </c>
      <c r="K47" s="7">
        <f>I47+J47</f>
        <v/>
      </c>
      <c r="L47" s="7">
        <f>K47-H47</f>
        <v/>
      </c>
      <c r="M47" s="7" t="inlineStr">
        <is>
          <t>Recurring</t>
        </is>
      </c>
      <c r="N47" s="7" t="inlineStr">
        <is>
          <t>Productivity</t>
        </is>
      </c>
      <c r="O47" s="7" t="n">
        <v>60</v>
      </c>
    </row>
    <row r="48" ht="15" customHeight="1" s="5">
      <c r="A48" s="7" t="inlineStr">
        <is>
          <t>PRJ010</t>
        </is>
      </c>
      <c r="B48" s="7">
        <f>IFERROR(VLOOKUP(A48,Projects!$A:$AK,2,FALSE()),"")</f>
        <v/>
      </c>
      <c r="C48" s="7">
        <f>IFERROR(VLOOKUP(A48,Projects!$A:$AK,3,FALSE()),"")</f>
        <v/>
      </c>
      <c r="D48" s="7" t="n">
        <v>1</v>
      </c>
      <c r="E48" s="7">
        <f>IFERROR(YEAR(VLOOKUP(A48,Projects!$A:$AK,16,FALSE()))+D48,D48)</f>
        <v/>
      </c>
      <c r="F48" s="7">
        <f>IFERROR(VLOOKUP(A48,Projects!$A:$AK,21,FALSE()),"")</f>
        <v/>
      </c>
      <c r="G48" s="7">
        <f>IFERROR(VLOOKUP(A48,Projects!$A:$AK,22,FALSE()),"")</f>
        <v/>
      </c>
      <c r="H48" s="7">
        <f>F48+G48</f>
        <v/>
      </c>
      <c r="I48" s="7" t="n">
        <v>665293</v>
      </c>
      <c r="J48" s="7" t="n">
        <v>0</v>
      </c>
      <c r="K48" s="7">
        <f>I48+J48</f>
        <v/>
      </c>
      <c r="L48" s="7">
        <f>K48-H48</f>
        <v/>
      </c>
      <c r="M48" s="7" t="inlineStr">
        <is>
          <t>Recurring</t>
        </is>
      </c>
      <c r="N48" s="7" t="inlineStr">
        <is>
          <t>Productivity</t>
        </is>
      </c>
      <c r="O48" s="7" t="n">
        <v>70</v>
      </c>
    </row>
    <row r="49" ht="15" customHeight="1" s="5">
      <c r="A49" s="7" t="inlineStr">
        <is>
          <t>PRJ010</t>
        </is>
      </c>
      <c r="B49" s="7">
        <f>IFERROR(VLOOKUP(A49,Projects!$A:$AK,2,FALSE()),"")</f>
        <v/>
      </c>
      <c r="C49" s="7">
        <f>IFERROR(VLOOKUP(A49,Projects!$A:$AK,3,FALSE()),"")</f>
        <v/>
      </c>
      <c r="D49" s="7" t="n">
        <v>2</v>
      </c>
      <c r="E49" s="7">
        <f>IFERROR(YEAR(VLOOKUP(A49,Projects!$A:$AK,16,FALSE()))+D49,D49)</f>
        <v/>
      </c>
      <c r="F49" s="7">
        <f>IFERROR(VLOOKUP(A49,Projects!$A:$AK,21,FALSE()),"")</f>
        <v/>
      </c>
      <c r="G49" s="7">
        <f>IFERROR(VLOOKUP(A49,Projects!$A:$AK,22,FALSE()),"")</f>
        <v/>
      </c>
      <c r="H49" s="7">
        <f>F49+G49</f>
        <v/>
      </c>
      <c r="I49" s="7" t="n">
        <v>710566</v>
      </c>
      <c r="J49" s="7" t="n">
        <v>0</v>
      </c>
      <c r="K49" s="7">
        <f>I49+J49</f>
        <v/>
      </c>
      <c r="L49" s="7">
        <f>K49-H49</f>
        <v/>
      </c>
      <c r="M49" s="7" t="inlineStr">
        <is>
          <t>Recurring</t>
        </is>
      </c>
      <c r="N49" s="7" t="inlineStr">
        <is>
          <t>Productivity</t>
        </is>
      </c>
      <c r="O49" s="7" t="n">
        <v>80</v>
      </c>
    </row>
    <row r="50" ht="15" customHeight="1" s="5">
      <c r="A50" s="7" t="inlineStr">
        <is>
          <t>PRJ010</t>
        </is>
      </c>
      <c r="B50" s="7">
        <f>IFERROR(VLOOKUP(A50,Projects!$A:$AK,2,FALSE()),"")</f>
        <v/>
      </c>
      <c r="C50" s="7">
        <f>IFERROR(VLOOKUP(A50,Projects!$A:$AK,3,FALSE()),"")</f>
        <v/>
      </c>
      <c r="D50" s="7" t="n">
        <v>3</v>
      </c>
      <c r="E50" s="7">
        <f>IFERROR(YEAR(VLOOKUP(A50,Projects!$A:$AK,16,FALSE()))+D50,D50)</f>
        <v/>
      </c>
      <c r="F50" s="7">
        <f>IFERROR(VLOOKUP(A50,Projects!$A:$AK,21,FALSE()),"")</f>
        <v/>
      </c>
      <c r="G50" s="7">
        <f>IFERROR(VLOOKUP(A50,Projects!$A:$AK,22,FALSE()),"")</f>
        <v/>
      </c>
      <c r="H50" s="7">
        <f>F50+G50</f>
        <v/>
      </c>
      <c r="I50" s="7" t="n">
        <v>871784</v>
      </c>
      <c r="J50" s="7" t="n">
        <v>0</v>
      </c>
      <c r="K50" s="7">
        <f>I50+J50</f>
        <v/>
      </c>
      <c r="L50" s="7">
        <f>K50-H50</f>
        <v/>
      </c>
      <c r="M50" s="7" t="inlineStr">
        <is>
          <t>Recurring</t>
        </is>
      </c>
      <c r="N50" s="7" t="inlineStr">
        <is>
          <t>Productivity</t>
        </is>
      </c>
      <c r="O50" s="7" t="n">
        <v>80</v>
      </c>
    </row>
    <row r="51" ht="15" customHeight="1" s="5">
      <c r="A51" s="7" t="inlineStr">
        <is>
          <t>PRJ010</t>
        </is>
      </c>
      <c r="B51" s="7">
        <f>IFERROR(VLOOKUP(A51,Projects!$A:$AK,2,FALSE()),"")</f>
        <v/>
      </c>
      <c r="C51" s="7">
        <f>IFERROR(VLOOKUP(A51,Projects!$A:$AK,3,FALSE()),"")</f>
        <v/>
      </c>
      <c r="D51" s="7" t="n">
        <v>4</v>
      </c>
      <c r="E51" s="7">
        <f>IFERROR(YEAR(VLOOKUP(A51,Projects!$A:$AK,16,FALSE()))+D51,D51)</f>
        <v/>
      </c>
      <c r="F51" s="7">
        <f>IFERROR(VLOOKUP(A51,Projects!$A:$AK,21,FALSE()),"")</f>
        <v/>
      </c>
      <c r="G51" s="7">
        <f>IFERROR(VLOOKUP(A51,Projects!$A:$AK,22,FALSE()),"")</f>
        <v/>
      </c>
      <c r="H51" s="7">
        <f>F51+G51</f>
        <v/>
      </c>
      <c r="I51" s="7" t="n">
        <v>904389</v>
      </c>
      <c r="J51" s="7" t="n">
        <v>0</v>
      </c>
      <c r="K51" s="7">
        <f>I51+J51</f>
        <v/>
      </c>
      <c r="L51" s="7">
        <f>K51-H51</f>
        <v/>
      </c>
      <c r="M51" s="7" t="inlineStr">
        <is>
          <t>Recurring</t>
        </is>
      </c>
      <c r="N51" s="7" t="inlineStr">
        <is>
          <t>Productivity</t>
        </is>
      </c>
      <c r="O51" s="7" t="n">
        <v>60</v>
      </c>
    </row>
    <row r="52" ht="15" customHeight="1" s="5">
      <c r="A52" s="7" t="inlineStr">
        <is>
          <t>PRJ011</t>
        </is>
      </c>
      <c r="B52" s="7">
        <f>IFERROR(VLOOKUP(A52,Projects!$A:$AK,2,FALSE()),"")</f>
        <v/>
      </c>
      <c r="C52" s="7">
        <f>IFERROR(VLOOKUP(A52,Projects!$A:$AK,3,FALSE()),"")</f>
        <v/>
      </c>
      <c r="D52" s="7" t="n">
        <v>0</v>
      </c>
      <c r="E52" s="7">
        <f>IFERROR(YEAR(VLOOKUP(A52,Projects!$A:$AK,16,FALSE()))+D52,D52)</f>
        <v/>
      </c>
      <c r="F52" s="7">
        <f>IFERROR(VLOOKUP(A52,Projects!$A:$AK,21,FALSE()),"")</f>
        <v/>
      </c>
      <c r="G52" s="7">
        <f>IFERROR(VLOOKUP(A52,Projects!$A:$AK,22,FALSE()),"")</f>
        <v/>
      </c>
      <c r="H52" s="7">
        <f>F52+G52</f>
        <v/>
      </c>
      <c r="I52" s="7" t="n">
        <v>0</v>
      </c>
      <c r="J52" s="7" t="n">
        <v>0</v>
      </c>
      <c r="K52" s="7">
        <f>I52+J52</f>
        <v/>
      </c>
      <c r="L52" s="7">
        <f>K52-H52</f>
        <v/>
      </c>
      <c r="M52" s="7" t="inlineStr">
        <is>
          <t>One-Off</t>
        </is>
      </c>
      <c r="N52" s="7" t="inlineStr">
        <is>
          <t>Cost Savings</t>
        </is>
      </c>
      <c r="O52" s="7" t="n">
        <v>60</v>
      </c>
    </row>
    <row r="53" ht="15" customHeight="1" s="5">
      <c r="A53" s="7" t="inlineStr">
        <is>
          <t>PRJ011</t>
        </is>
      </c>
      <c r="B53" s="7">
        <f>IFERROR(VLOOKUP(A53,Projects!$A:$AK,2,FALSE()),"")</f>
        <v/>
      </c>
      <c r="C53" s="7">
        <f>IFERROR(VLOOKUP(A53,Projects!$A:$AK,3,FALSE()),"")</f>
        <v/>
      </c>
      <c r="D53" s="7" t="n">
        <v>1</v>
      </c>
      <c r="E53" s="7">
        <f>IFERROR(YEAR(VLOOKUP(A53,Projects!$A:$AK,16,FALSE()))+D53,D53)</f>
        <v/>
      </c>
      <c r="F53" s="7">
        <f>IFERROR(VLOOKUP(A53,Projects!$A:$AK,21,FALSE()),"")</f>
        <v/>
      </c>
      <c r="G53" s="7">
        <f>IFERROR(VLOOKUP(A53,Projects!$A:$AK,22,FALSE()),"")</f>
        <v/>
      </c>
      <c r="H53" s="7">
        <f>F53+G53</f>
        <v/>
      </c>
      <c r="I53" s="7" t="n">
        <v>0</v>
      </c>
      <c r="J53" s="7" t="n">
        <v>0</v>
      </c>
      <c r="K53" s="7">
        <f>I53+J53</f>
        <v/>
      </c>
      <c r="L53" s="7">
        <f>K53-H53</f>
        <v/>
      </c>
      <c r="M53" s="7" t="inlineStr">
        <is>
          <t>One-Off</t>
        </is>
      </c>
      <c r="N53" s="7" t="inlineStr">
        <is>
          <t>Cost Savings</t>
        </is>
      </c>
      <c r="O53" s="7" t="n">
        <v>60</v>
      </c>
    </row>
    <row r="54" ht="15" customHeight="1" s="5">
      <c r="A54" s="7" t="inlineStr">
        <is>
          <t>PRJ011</t>
        </is>
      </c>
      <c r="B54" s="7">
        <f>IFERROR(VLOOKUP(A54,Projects!$A:$AK,2,FALSE()),"")</f>
        <v/>
      </c>
      <c r="C54" s="7">
        <f>IFERROR(VLOOKUP(A54,Projects!$A:$AK,3,FALSE()),"")</f>
        <v/>
      </c>
      <c r="D54" s="7" t="n">
        <v>2</v>
      </c>
      <c r="E54" s="7">
        <f>IFERROR(YEAR(VLOOKUP(A54,Projects!$A:$AK,16,FALSE()))+D54,D54)</f>
        <v/>
      </c>
      <c r="F54" s="7">
        <f>IFERROR(VLOOKUP(A54,Projects!$A:$AK,21,FALSE()),"")</f>
        <v/>
      </c>
      <c r="G54" s="7">
        <f>IFERROR(VLOOKUP(A54,Projects!$A:$AK,22,FALSE()),"")</f>
        <v/>
      </c>
      <c r="H54" s="7">
        <f>F54+G54</f>
        <v/>
      </c>
      <c r="I54" s="7" t="n">
        <v>0</v>
      </c>
      <c r="J54" s="7" t="n">
        <v>277100</v>
      </c>
      <c r="K54" s="7">
        <f>I54+J54</f>
        <v/>
      </c>
      <c r="L54" s="7">
        <f>K54-H54</f>
        <v/>
      </c>
      <c r="M54" s="7" t="inlineStr">
        <is>
          <t>One-Off</t>
        </is>
      </c>
      <c r="N54" s="7" t="inlineStr">
        <is>
          <t>Cost Savings</t>
        </is>
      </c>
      <c r="O54" s="7" t="n">
        <v>60</v>
      </c>
    </row>
    <row r="55" ht="15" customHeight="1" s="5">
      <c r="A55" s="7" t="inlineStr">
        <is>
          <t>PRJ011</t>
        </is>
      </c>
      <c r="B55" s="7">
        <f>IFERROR(VLOOKUP(A55,Projects!$A:$AK,2,FALSE()),"")</f>
        <v/>
      </c>
      <c r="C55" s="7">
        <f>IFERROR(VLOOKUP(A55,Projects!$A:$AK,3,FALSE()),"")</f>
        <v/>
      </c>
      <c r="D55" s="7" t="n">
        <v>3</v>
      </c>
      <c r="E55" s="7">
        <f>IFERROR(YEAR(VLOOKUP(A55,Projects!$A:$AK,16,FALSE()))+D55,D55)</f>
        <v/>
      </c>
      <c r="F55" s="7">
        <f>IFERROR(VLOOKUP(A55,Projects!$A:$AK,21,FALSE()),"")</f>
        <v/>
      </c>
      <c r="G55" s="7">
        <f>IFERROR(VLOOKUP(A55,Projects!$A:$AK,22,FALSE()),"")</f>
        <v/>
      </c>
      <c r="H55" s="7">
        <f>F55+G55</f>
        <v/>
      </c>
      <c r="I55" s="7" t="n">
        <v>0</v>
      </c>
      <c r="J55" s="7" t="n">
        <v>0</v>
      </c>
      <c r="K55" s="7">
        <f>I55+J55</f>
        <v/>
      </c>
      <c r="L55" s="7">
        <f>K55-H55</f>
        <v/>
      </c>
      <c r="M55" s="7" t="inlineStr">
        <is>
          <t>One-Off</t>
        </is>
      </c>
      <c r="N55" s="7" t="inlineStr">
        <is>
          <t>Cost Savings</t>
        </is>
      </c>
      <c r="O55" s="7" t="n">
        <v>70</v>
      </c>
    </row>
    <row r="56" ht="15" customHeight="1" s="5">
      <c r="A56" s="7" t="inlineStr">
        <is>
          <t>PRJ011</t>
        </is>
      </c>
      <c r="B56" s="7">
        <f>IFERROR(VLOOKUP(A56,Projects!$A:$AK,2,FALSE()),"")</f>
        <v/>
      </c>
      <c r="C56" s="7">
        <f>IFERROR(VLOOKUP(A56,Projects!$A:$AK,3,FALSE()),"")</f>
        <v/>
      </c>
      <c r="D56" s="7" t="n">
        <v>4</v>
      </c>
      <c r="E56" s="7">
        <f>IFERROR(YEAR(VLOOKUP(A56,Projects!$A:$AK,16,FALSE()))+D56,D56)</f>
        <v/>
      </c>
      <c r="F56" s="7">
        <f>IFERROR(VLOOKUP(A56,Projects!$A:$AK,21,FALSE()),"")</f>
        <v/>
      </c>
      <c r="G56" s="7">
        <f>IFERROR(VLOOKUP(A56,Projects!$A:$AK,22,FALSE()),"")</f>
        <v/>
      </c>
      <c r="H56" s="7">
        <f>F56+G56</f>
        <v/>
      </c>
      <c r="I56" s="7" t="n">
        <v>0</v>
      </c>
      <c r="J56" s="7" t="n">
        <v>0</v>
      </c>
      <c r="K56" s="7">
        <f>I56+J56</f>
        <v/>
      </c>
      <c r="L56" s="7">
        <f>K56-H56</f>
        <v/>
      </c>
      <c r="M56" s="7" t="inlineStr">
        <is>
          <t>One-Off</t>
        </is>
      </c>
      <c r="N56" s="7" t="inlineStr">
        <is>
          <t>Cost Savings</t>
        </is>
      </c>
      <c r="O56" s="7" t="n">
        <v>90</v>
      </c>
    </row>
    <row r="57" ht="15" customHeight="1" s="5">
      <c r="A57" s="7" t="inlineStr">
        <is>
          <t>PRJ012</t>
        </is>
      </c>
      <c r="B57" s="7">
        <f>IFERROR(VLOOKUP(A57,Projects!$A:$AK,2,FALSE()),"")</f>
        <v/>
      </c>
      <c r="C57" s="7">
        <f>IFERROR(VLOOKUP(A57,Projects!$A:$AK,3,FALSE()),"")</f>
        <v/>
      </c>
      <c r="D57" s="7" t="n">
        <v>0</v>
      </c>
      <c r="E57" s="7">
        <f>IFERROR(YEAR(VLOOKUP(A57,Projects!$A:$AK,16,FALSE()))+D57,D57)</f>
        <v/>
      </c>
      <c r="F57" s="7">
        <f>IFERROR(VLOOKUP(A57,Projects!$A:$AK,21,FALSE()),"")</f>
        <v/>
      </c>
      <c r="G57" s="7">
        <f>IFERROR(VLOOKUP(A57,Projects!$A:$AK,22,FALSE()),"")</f>
        <v/>
      </c>
      <c r="H57" s="7">
        <f>F57+G57</f>
        <v/>
      </c>
      <c r="I57" s="7" t="n">
        <v>0</v>
      </c>
      <c r="J57" s="7" t="n">
        <v>0</v>
      </c>
      <c r="K57" s="7">
        <f>I57+J57</f>
        <v/>
      </c>
      <c r="L57" s="7">
        <f>K57-H57</f>
        <v/>
      </c>
      <c r="M57" s="7" t="inlineStr">
        <is>
          <t>One-Off</t>
        </is>
      </c>
      <c r="N57" s="7" t="inlineStr">
        <is>
          <t>Cost Savings</t>
        </is>
      </c>
      <c r="O57" s="7" t="n">
        <v>70</v>
      </c>
    </row>
    <row r="58" ht="15" customHeight="1" s="5">
      <c r="A58" s="7" t="inlineStr">
        <is>
          <t>PRJ012</t>
        </is>
      </c>
      <c r="B58" s="7">
        <f>IFERROR(VLOOKUP(A58,Projects!$A:$AK,2,FALSE()),"")</f>
        <v/>
      </c>
      <c r="C58" s="7">
        <f>IFERROR(VLOOKUP(A58,Projects!$A:$AK,3,FALSE()),"")</f>
        <v/>
      </c>
      <c r="D58" s="7" t="n">
        <v>1</v>
      </c>
      <c r="E58" s="7">
        <f>IFERROR(YEAR(VLOOKUP(A58,Projects!$A:$AK,16,FALSE()))+D58,D58)</f>
        <v/>
      </c>
      <c r="F58" s="7">
        <f>IFERROR(VLOOKUP(A58,Projects!$A:$AK,21,FALSE()),"")</f>
        <v/>
      </c>
      <c r="G58" s="7">
        <f>IFERROR(VLOOKUP(A58,Projects!$A:$AK,22,FALSE()),"")</f>
        <v/>
      </c>
      <c r="H58" s="7">
        <f>F58+G58</f>
        <v/>
      </c>
      <c r="I58" s="7" t="n">
        <v>0</v>
      </c>
      <c r="J58" s="7" t="n">
        <v>1433938</v>
      </c>
      <c r="K58" s="7">
        <f>I58+J58</f>
        <v/>
      </c>
      <c r="L58" s="7">
        <f>K58-H58</f>
        <v/>
      </c>
      <c r="M58" s="7" t="inlineStr">
        <is>
          <t>One-Off</t>
        </is>
      </c>
      <c r="N58" s="7" t="inlineStr">
        <is>
          <t>Cost Savings</t>
        </is>
      </c>
      <c r="O58" s="7" t="n">
        <v>70</v>
      </c>
    </row>
    <row r="59" ht="15" customHeight="1" s="5">
      <c r="A59" s="7" t="inlineStr">
        <is>
          <t>PRJ012</t>
        </is>
      </c>
      <c r="B59" s="7">
        <f>IFERROR(VLOOKUP(A59,Projects!$A:$AK,2,FALSE()),"")</f>
        <v/>
      </c>
      <c r="C59" s="7">
        <f>IFERROR(VLOOKUP(A59,Projects!$A:$AK,3,FALSE()),"")</f>
        <v/>
      </c>
      <c r="D59" s="7" t="n">
        <v>2</v>
      </c>
      <c r="E59" s="7">
        <f>IFERROR(YEAR(VLOOKUP(A59,Projects!$A:$AK,16,FALSE()))+D59,D59)</f>
        <v/>
      </c>
      <c r="F59" s="7">
        <f>IFERROR(VLOOKUP(A59,Projects!$A:$AK,21,FALSE()),"")</f>
        <v/>
      </c>
      <c r="G59" s="7">
        <f>IFERROR(VLOOKUP(A59,Projects!$A:$AK,22,FALSE()),"")</f>
        <v/>
      </c>
      <c r="H59" s="7">
        <f>F59+G59</f>
        <v/>
      </c>
      <c r="I59" s="7" t="n">
        <v>0</v>
      </c>
      <c r="J59" s="7" t="n">
        <v>0</v>
      </c>
      <c r="K59" s="7">
        <f>I59+J59</f>
        <v/>
      </c>
      <c r="L59" s="7">
        <f>K59-H59</f>
        <v/>
      </c>
      <c r="M59" s="7" t="inlineStr">
        <is>
          <t>One-Off</t>
        </is>
      </c>
      <c r="N59" s="7" t="inlineStr">
        <is>
          <t>Cost Savings</t>
        </is>
      </c>
      <c r="O59" s="7" t="n">
        <v>80</v>
      </c>
    </row>
    <row r="60" ht="15" customHeight="1" s="5">
      <c r="A60" s="7" t="inlineStr">
        <is>
          <t>PRJ012</t>
        </is>
      </c>
      <c r="B60" s="7">
        <f>IFERROR(VLOOKUP(A60,Projects!$A:$AK,2,FALSE()),"")</f>
        <v/>
      </c>
      <c r="C60" s="7">
        <f>IFERROR(VLOOKUP(A60,Projects!$A:$AK,3,FALSE()),"")</f>
        <v/>
      </c>
      <c r="D60" s="7" t="n">
        <v>3</v>
      </c>
      <c r="E60" s="7">
        <f>IFERROR(YEAR(VLOOKUP(A60,Projects!$A:$AK,16,FALSE()))+D60,D60)</f>
        <v/>
      </c>
      <c r="F60" s="7">
        <f>IFERROR(VLOOKUP(A60,Projects!$A:$AK,21,FALSE()),"")</f>
        <v/>
      </c>
      <c r="G60" s="7">
        <f>IFERROR(VLOOKUP(A60,Projects!$A:$AK,22,FALSE()),"")</f>
        <v/>
      </c>
      <c r="H60" s="7">
        <f>F60+G60</f>
        <v/>
      </c>
      <c r="I60" s="7" t="n">
        <v>0</v>
      </c>
      <c r="J60" s="7" t="n">
        <v>0</v>
      </c>
      <c r="K60" s="7">
        <f>I60+J60</f>
        <v/>
      </c>
      <c r="L60" s="7">
        <f>K60-H60</f>
        <v/>
      </c>
      <c r="M60" s="7" t="inlineStr">
        <is>
          <t>One-Off</t>
        </is>
      </c>
      <c r="N60" s="7" t="inlineStr">
        <is>
          <t>Cost Savings</t>
        </is>
      </c>
      <c r="O60" s="7" t="n">
        <v>80</v>
      </c>
    </row>
    <row r="61" ht="15" customHeight="1" s="5">
      <c r="A61" s="7" t="inlineStr">
        <is>
          <t>PRJ012</t>
        </is>
      </c>
      <c r="B61" s="7">
        <f>IFERROR(VLOOKUP(A61,Projects!$A:$AK,2,FALSE()),"")</f>
        <v/>
      </c>
      <c r="C61" s="7">
        <f>IFERROR(VLOOKUP(A61,Projects!$A:$AK,3,FALSE()),"")</f>
        <v/>
      </c>
      <c r="D61" s="7" t="n">
        <v>4</v>
      </c>
      <c r="E61" s="7">
        <f>IFERROR(YEAR(VLOOKUP(A61,Projects!$A:$AK,16,FALSE()))+D61,D61)</f>
        <v/>
      </c>
      <c r="F61" s="7">
        <f>IFERROR(VLOOKUP(A61,Projects!$A:$AK,21,FALSE()),"")</f>
        <v/>
      </c>
      <c r="G61" s="7">
        <f>IFERROR(VLOOKUP(A61,Projects!$A:$AK,22,FALSE()),"")</f>
        <v/>
      </c>
      <c r="H61" s="7">
        <f>F61+G61</f>
        <v/>
      </c>
      <c r="I61" s="7" t="n">
        <v>0</v>
      </c>
      <c r="J61" s="7" t="n">
        <v>0</v>
      </c>
      <c r="K61" s="7">
        <f>I61+J61</f>
        <v/>
      </c>
      <c r="L61" s="7">
        <f>K61-H61</f>
        <v/>
      </c>
      <c r="M61" s="7" t="inlineStr">
        <is>
          <t>One-Off</t>
        </is>
      </c>
      <c r="N61" s="7" t="inlineStr">
        <is>
          <t>Cost Savings</t>
        </is>
      </c>
      <c r="O61" s="7" t="n">
        <v>70</v>
      </c>
    </row>
    <row r="62" ht="15" customHeight="1" s="5">
      <c r="A62" s="7" t="inlineStr">
        <is>
          <t>PRJ013</t>
        </is>
      </c>
      <c r="B62" s="7">
        <f>IFERROR(VLOOKUP(A62,Projects!$A:$AK,2,FALSE()),"")</f>
        <v/>
      </c>
      <c r="C62" s="7">
        <f>IFERROR(VLOOKUP(A62,Projects!$A:$AK,3,FALSE()),"")</f>
        <v/>
      </c>
      <c r="D62" s="7" t="n">
        <v>0</v>
      </c>
      <c r="E62" s="7">
        <f>IFERROR(YEAR(VLOOKUP(A62,Projects!$A:$AK,16,FALSE()))+D62,D62)</f>
        <v/>
      </c>
      <c r="F62" s="7">
        <f>IFERROR(VLOOKUP(A62,Projects!$A:$AK,21,FALSE()),"")</f>
        <v/>
      </c>
      <c r="G62" s="7">
        <f>IFERROR(VLOOKUP(A62,Projects!$A:$AK,22,FALSE()),"")</f>
        <v/>
      </c>
      <c r="H62" s="7">
        <f>F62+G62</f>
        <v/>
      </c>
      <c r="I62" s="7" t="n">
        <v>0</v>
      </c>
      <c r="J62" s="7" t="n">
        <v>0</v>
      </c>
      <c r="K62" s="7">
        <f>I62+J62</f>
        <v/>
      </c>
      <c r="L62" s="7">
        <f>K62-H62</f>
        <v/>
      </c>
      <c r="M62" s="7" t="inlineStr">
        <is>
          <t>Recurring</t>
        </is>
      </c>
      <c r="N62" s="7" t="inlineStr">
        <is>
          <t>Compliance</t>
        </is>
      </c>
      <c r="O62" s="7" t="n">
        <v>90</v>
      </c>
    </row>
    <row r="63" ht="15" customHeight="1" s="5">
      <c r="A63" s="7" t="inlineStr">
        <is>
          <t>PRJ013</t>
        </is>
      </c>
      <c r="B63" s="7">
        <f>IFERROR(VLOOKUP(A63,Projects!$A:$AK,2,FALSE()),"")</f>
        <v/>
      </c>
      <c r="C63" s="7">
        <f>IFERROR(VLOOKUP(A63,Projects!$A:$AK,3,FALSE()),"")</f>
        <v/>
      </c>
      <c r="D63" s="7" t="n">
        <v>1</v>
      </c>
      <c r="E63" s="7">
        <f>IFERROR(YEAR(VLOOKUP(A63,Projects!$A:$AK,16,FALSE()))+D63,D63)</f>
        <v/>
      </c>
      <c r="F63" s="7">
        <f>IFERROR(VLOOKUP(A63,Projects!$A:$AK,21,FALSE()),"")</f>
        <v/>
      </c>
      <c r="G63" s="7">
        <f>IFERROR(VLOOKUP(A63,Projects!$A:$AK,22,FALSE()),"")</f>
        <v/>
      </c>
      <c r="H63" s="7">
        <f>F63+G63</f>
        <v/>
      </c>
      <c r="I63" s="7" t="n">
        <v>1047962</v>
      </c>
      <c r="J63" s="7" t="n">
        <v>0</v>
      </c>
      <c r="K63" s="7">
        <f>I63+J63</f>
        <v/>
      </c>
      <c r="L63" s="7">
        <f>K63-H63</f>
        <v/>
      </c>
      <c r="M63" s="7" t="inlineStr">
        <is>
          <t>Recurring</t>
        </is>
      </c>
      <c r="N63" s="7" t="inlineStr">
        <is>
          <t>Compliance</t>
        </is>
      </c>
      <c r="O63" s="7" t="n">
        <v>80</v>
      </c>
    </row>
    <row r="64" ht="15" customHeight="1" s="5">
      <c r="A64" s="7" t="inlineStr">
        <is>
          <t>PRJ013</t>
        </is>
      </c>
      <c r="B64" s="7">
        <f>IFERROR(VLOOKUP(A64,Projects!$A:$AK,2,FALSE()),"")</f>
        <v/>
      </c>
      <c r="C64" s="7">
        <f>IFERROR(VLOOKUP(A64,Projects!$A:$AK,3,FALSE()),"")</f>
        <v/>
      </c>
      <c r="D64" s="7" t="n">
        <v>2</v>
      </c>
      <c r="E64" s="7">
        <f>IFERROR(YEAR(VLOOKUP(A64,Projects!$A:$AK,16,FALSE()))+D64,D64)</f>
        <v/>
      </c>
      <c r="F64" s="7">
        <f>IFERROR(VLOOKUP(A64,Projects!$A:$AK,21,FALSE()),"")</f>
        <v/>
      </c>
      <c r="G64" s="7">
        <f>IFERROR(VLOOKUP(A64,Projects!$A:$AK,22,FALSE()),"")</f>
        <v/>
      </c>
      <c r="H64" s="7">
        <f>F64+G64</f>
        <v/>
      </c>
      <c r="I64" s="7" t="n">
        <v>1153749</v>
      </c>
      <c r="J64" s="7" t="n">
        <v>0</v>
      </c>
      <c r="K64" s="7">
        <f>I64+J64</f>
        <v/>
      </c>
      <c r="L64" s="7">
        <f>K64-H64</f>
        <v/>
      </c>
      <c r="M64" s="7" t="inlineStr">
        <is>
          <t>Recurring</t>
        </is>
      </c>
      <c r="N64" s="7" t="inlineStr">
        <is>
          <t>Compliance</t>
        </is>
      </c>
      <c r="O64" s="7" t="n">
        <v>60</v>
      </c>
    </row>
    <row r="65" ht="15" customHeight="1" s="5">
      <c r="A65" s="7" t="inlineStr">
        <is>
          <t>PRJ013</t>
        </is>
      </c>
      <c r="B65" s="7">
        <f>IFERROR(VLOOKUP(A65,Projects!$A:$AK,2,FALSE()),"")</f>
        <v/>
      </c>
      <c r="C65" s="7">
        <f>IFERROR(VLOOKUP(A65,Projects!$A:$AK,3,FALSE()),"")</f>
        <v/>
      </c>
      <c r="D65" s="7" t="n">
        <v>3</v>
      </c>
      <c r="E65" s="7">
        <f>IFERROR(YEAR(VLOOKUP(A65,Projects!$A:$AK,16,FALSE()))+D65,D65)</f>
        <v/>
      </c>
      <c r="F65" s="7">
        <f>IFERROR(VLOOKUP(A65,Projects!$A:$AK,21,FALSE()),"")</f>
        <v/>
      </c>
      <c r="G65" s="7">
        <f>IFERROR(VLOOKUP(A65,Projects!$A:$AK,22,FALSE()),"")</f>
        <v/>
      </c>
      <c r="H65" s="7">
        <f>F65+G65</f>
        <v/>
      </c>
      <c r="I65" s="7" t="n">
        <v>1241960</v>
      </c>
      <c r="J65" s="7" t="n">
        <v>0</v>
      </c>
      <c r="K65" s="7">
        <f>I65+J65</f>
        <v/>
      </c>
      <c r="L65" s="7">
        <f>K65-H65</f>
        <v/>
      </c>
      <c r="M65" s="7" t="inlineStr">
        <is>
          <t>Recurring</t>
        </is>
      </c>
      <c r="N65" s="7" t="inlineStr">
        <is>
          <t>Compliance</t>
        </is>
      </c>
      <c r="O65" s="7" t="n">
        <v>70</v>
      </c>
    </row>
    <row r="66" ht="15" customHeight="1" s="5">
      <c r="A66" s="7" t="inlineStr">
        <is>
          <t>PRJ013</t>
        </is>
      </c>
      <c r="B66" s="7">
        <f>IFERROR(VLOOKUP(A66,Projects!$A:$AK,2,FALSE()),"")</f>
        <v/>
      </c>
      <c r="C66" s="7">
        <f>IFERROR(VLOOKUP(A66,Projects!$A:$AK,3,FALSE()),"")</f>
        <v/>
      </c>
      <c r="D66" s="7" t="n">
        <v>4</v>
      </c>
      <c r="E66" s="7">
        <f>IFERROR(YEAR(VLOOKUP(A66,Projects!$A:$AK,16,FALSE()))+D66,D66)</f>
        <v/>
      </c>
      <c r="F66" s="7">
        <f>IFERROR(VLOOKUP(A66,Projects!$A:$AK,21,FALSE()),"")</f>
        <v/>
      </c>
      <c r="G66" s="7">
        <f>IFERROR(VLOOKUP(A66,Projects!$A:$AK,22,FALSE()),"")</f>
        <v/>
      </c>
      <c r="H66" s="7">
        <f>F66+G66</f>
        <v/>
      </c>
      <c r="I66" s="7" t="n">
        <v>848436</v>
      </c>
      <c r="J66" s="7" t="n">
        <v>0</v>
      </c>
      <c r="K66" s="7">
        <f>I66+J66</f>
        <v/>
      </c>
      <c r="L66" s="7">
        <f>K66-H66</f>
        <v/>
      </c>
      <c r="M66" s="7" t="inlineStr">
        <is>
          <t>Recurring</t>
        </is>
      </c>
      <c r="N66" s="7" t="inlineStr">
        <is>
          <t>Compliance</t>
        </is>
      </c>
      <c r="O66" s="7" t="n">
        <v>70</v>
      </c>
    </row>
    <row r="67" ht="15" customHeight="1" s="5">
      <c r="A67" s="7" t="inlineStr">
        <is>
          <t>PRJ014</t>
        </is>
      </c>
      <c r="B67" s="7">
        <f>IFERROR(VLOOKUP(A67,Projects!$A:$AK,2,FALSE()),"")</f>
        <v/>
      </c>
      <c r="C67" s="7">
        <f>IFERROR(VLOOKUP(A67,Projects!$A:$AK,3,FALSE()),"")</f>
        <v/>
      </c>
      <c r="D67" s="7" t="n">
        <v>0</v>
      </c>
      <c r="E67" s="7">
        <f>IFERROR(YEAR(VLOOKUP(A67,Projects!$A:$AK,16,FALSE()))+D67,D67)</f>
        <v/>
      </c>
      <c r="F67" s="7">
        <f>IFERROR(VLOOKUP(A67,Projects!$A:$AK,21,FALSE()),"")</f>
        <v/>
      </c>
      <c r="G67" s="7">
        <f>IFERROR(VLOOKUP(A67,Projects!$A:$AK,22,FALSE()),"")</f>
        <v/>
      </c>
      <c r="H67" s="7">
        <f>F67+G67</f>
        <v/>
      </c>
      <c r="I67" s="7" t="n">
        <v>0</v>
      </c>
      <c r="J67" s="7" t="n">
        <v>0</v>
      </c>
      <c r="K67" s="7">
        <f>I67+J67</f>
        <v/>
      </c>
      <c r="L67" s="7">
        <f>K67-H67</f>
        <v/>
      </c>
      <c r="M67" s="7" t="inlineStr">
        <is>
          <t>One-Off</t>
        </is>
      </c>
      <c r="N67" s="7" t="inlineStr">
        <is>
          <t>Cost Savings</t>
        </is>
      </c>
      <c r="O67" s="7" t="n">
        <v>80</v>
      </c>
    </row>
    <row r="68" ht="15" customHeight="1" s="5">
      <c r="A68" s="7" t="inlineStr">
        <is>
          <t>PRJ014</t>
        </is>
      </c>
      <c r="B68" s="7">
        <f>IFERROR(VLOOKUP(A68,Projects!$A:$AK,2,FALSE()),"")</f>
        <v/>
      </c>
      <c r="C68" s="7">
        <f>IFERROR(VLOOKUP(A68,Projects!$A:$AK,3,FALSE()),"")</f>
        <v/>
      </c>
      <c r="D68" s="7" t="n">
        <v>1</v>
      </c>
      <c r="E68" s="7">
        <f>IFERROR(YEAR(VLOOKUP(A68,Projects!$A:$AK,16,FALSE()))+D68,D68)</f>
        <v/>
      </c>
      <c r="F68" s="7">
        <f>IFERROR(VLOOKUP(A68,Projects!$A:$AK,21,FALSE()),"")</f>
        <v/>
      </c>
      <c r="G68" s="7">
        <f>IFERROR(VLOOKUP(A68,Projects!$A:$AK,22,FALSE()),"")</f>
        <v/>
      </c>
      <c r="H68" s="7">
        <f>F68+G68</f>
        <v/>
      </c>
      <c r="I68" s="7" t="n">
        <v>0</v>
      </c>
      <c r="J68" s="7" t="n">
        <v>0</v>
      </c>
      <c r="K68" s="7">
        <f>I68+J68</f>
        <v/>
      </c>
      <c r="L68" s="7">
        <f>K68-H68</f>
        <v/>
      </c>
      <c r="M68" s="7" t="inlineStr">
        <is>
          <t>One-Off</t>
        </is>
      </c>
      <c r="N68" s="7" t="inlineStr">
        <is>
          <t>Cost Savings</t>
        </is>
      </c>
      <c r="O68" s="7" t="n">
        <v>80</v>
      </c>
    </row>
    <row r="69" ht="15" customHeight="1" s="5">
      <c r="A69" s="7" t="inlineStr">
        <is>
          <t>PRJ014</t>
        </is>
      </c>
      <c r="B69" s="7">
        <f>IFERROR(VLOOKUP(A69,Projects!$A:$AK,2,FALSE()),"")</f>
        <v/>
      </c>
      <c r="C69" s="7">
        <f>IFERROR(VLOOKUP(A69,Projects!$A:$AK,3,FALSE()),"")</f>
        <v/>
      </c>
      <c r="D69" s="7" t="n">
        <v>2</v>
      </c>
      <c r="E69" s="7">
        <f>IFERROR(YEAR(VLOOKUP(A69,Projects!$A:$AK,16,FALSE()))+D69,D69)</f>
        <v/>
      </c>
      <c r="F69" s="7">
        <f>IFERROR(VLOOKUP(A69,Projects!$A:$AK,21,FALSE()),"")</f>
        <v/>
      </c>
      <c r="G69" s="7">
        <f>IFERROR(VLOOKUP(A69,Projects!$A:$AK,22,FALSE()),"")</f>
        <v/>
      </c>
      <c r="H69" s="7">
        <f>F69+G69</f>
        <v/>
      </c>
      <c r="I69" s="7" t="n">
        <v>0</v>
      </c>
      <c r="J69" s="7" t="n">
        <v>3086630</v>
      </c>
      <c r="K69" s="7">
        <f>I69+J69</f>
        <v/>
      </c>
      <c r="L69" s="7">
        <f>K69-H69</f>
        <v/>
      </c>
      <c r="M69" s="7" t="inlineStr">
        <is>
          <t>One-Off</t>
        </is>
      </c>
      <c r="N69" s="7" t="inlineStr">
        <is>
          <t>Cost Savings</t>
        </is>
      </c>
      <c r="O69" s="7" t="n">
        <v>70</v>
      </c>
    </row>
    <row r="70" ht="15" customHeight="1" s="5">
      <c r="A70" s="7" t="inlineStr">
        <is>
          <t>PRJ014</t>
        </is>
      </c>
      <c r="B70" s="7">
        <f>IFERROR(VLOOKUP(A70,Projects!$A:$AK,2,FALSE()),"")</f>
        <v/>
      </c>
      <c r="C70" s="7">
        <f>IFERROR(VLOOKUP(A70,Projects!$A:$AK,3,FALSE()),"")</f>
        <v/>
      </c>
      <c r="D70" s="7" t="n">
        <v>3</v>
      </c>
      <c r="E70" s="7">
        <f>IFERROR(YEAR(VLOOKUP(A70,Projects!$A:$AK,16,FALSE()))+D70,D70)</f>
        <v/>
      </c>
      <c r="F70" s="7">
        <f>IFERROR(VLOOKUP(A70,Projects!$A:$AK,21,FALSE()),"")</f>
        <v/>
      </c>
      <c r="G70" s="7">
        <f>IFERROR(VLOOKUP(A70,Projects!$A:$AK,22,FALSE()),"")</f>
        <v/>
      </c>
      <c r="H70" s="7">
        <f>F70+G70</f>
        <v/>
      </c>
      <c r="I70" s="7" t="n">
        <v>0</v>
      </c>
      <c r="J70" s="7" t="n">
        <v>0</v>
      </c>
      <c r="K70" s="7">
        <f>I70+J70</f>
        <v/>
      </c>
      <c r="L70" s="7">
        <f>K70-H70</f>
        <v/>
      </c>
      <c r="M70" s="7" t="inlineStr">
        <is>
          <t>One-Off</t>
        </is>
      </c>
      <c r="N70" s="7" t="inlineStr">
        <is>
          <t>Cost Savings</t>
        </is>
      </c>
      <c r="O70" s="7" t="n">
        <v>70</v>
      </c>
    </row>
    <row r="71" ht="15" customHeight="1" s="5">
      <c r="A71" s="7" t="inlineStr">
        <is>
          <t>PRJ014</t>
        </is>
      </c>
      <c r="B71" s="7">
        <f>IFERROR(VLOOKUP(A71,Projects!$A:$AK,2,FALSE()),"")</f>
        <v/>
      </c>
      <c r="C71" s="7">
        <f>IFERROR(VLOOKUP(A71,Projects!$A:$AK,3,FALSE()),"")</f>
        <v/>
      </c>
      <c r="D71" s="7" t="n">
        <v>4</v>
      </c>
      <c r="E71" s="7">
        <f>IFERROR(YEAR(VLOOKUP(A71,Projects!$A:$AK,16,FALSE()))+D71,D71)</f>
        <v/>
      </c>
      <c r="F71" s="7">
        <f>IFERROR(VLOOKUP(A71,Projects!$A:$AK,21,FALSE()),"")</f>
        <v/>
      </c>
      <c r="G71" s="7">
        <f>IFERROR(VLOOKUP(A71,Projects!$A:$AK,22,FALSE()),"")</f>
        <v/>
      </c>
      <c r="H71" s="7">
        <f>F71+G71</f>
        <v/>
      </c>
      <c r="I71" s="7" t="n">
        <v>0</v>
      </c>
      <c r="J71" s="7" t="n">
        <v>0</v>
      </c>
      <c r="K71" s="7">
        <f>I71+J71</f>
        <v/>
      </c>
      <c r="L71" s="7">
        <f>K71-H71</f>
        <v/>
      </c>
      <c r="M71" s="7" t="inlineStr">
        <is>
          <t>One-Off</t>
        </is>
      </c>
      <c r="N71" s="7" t="inlineStr">
        <is>
          <t>Cost Savings</t>
        </is>
      </c>
      <c r="O71" s="7" t="n">
        <v>90</v>
      </c>
    </row>
    <row r="72" ht="15" customHeight="1" s="5">
      <c r="A72" s="7" t="inlineStr">
        <is>
          <t>PRJ015</t>
        </is>
      </c>
      <c r="B72" s="7">
        <f>IFERROR(VLOOKUP(A72,Projects!$A:$AK,2,FALSE()),"")</f>
        <v/>
      </c>
      <c r="C72" s="7">
        <f>IFERROR(VLOOKUP(A72,Projects!$A:$AK,3,FALSE()),"")</f>
        <v/>
      </c>
      <c r="D72" s="7" t="n">
        <v>0</v>
      </c>
      <c r="E72" s="7">
        <f>IFERROR(YEAR(VLOOKUP(A72,Projects!$A:$AK,16,FALSE()))+D72,D72)</f>
        <v/>
      </c>
      <c r="F72" s="7">
        <f>IFERROR(VLOOKUP(A72,Projects!$A:$AK,21,FALSE()),"")</f>
        <v/>
      </c>
      <c r="G72" s="7">
        <f>IFERROR(VLOOKUP(A72,Projects!$A:$AK,22,FALSE()),"")</f>
        <v/>
      </c>
      <c r="H72" s="7">
        <f>F72+G72</f>
        <v/>
      </c>
      <c r="I72" s="7" t="n">
        <v>0</v>
      </c>
      <c r="J72" s="7" t="n">
        <v>0</v>
      </c>
      <c r="K72" s="7">
        <f>I72+J72</f>
        <v/>
      </c>
      <c r="L72" s="7">
        <f>K72-H72</f>
        <v/>
      </c>
      <c r="M72" s="7" t="inlineStr">
        <is>
          <t>One-Off</t>
        </is>
      </c>
      <c r="N72" s="7" t="inlineStr">
        <is>
          <t>Productivity</t>
        </is>
      </c>
      <c r="O72" s="7" t="n">
        <v>80</v>
      </c>
    </row>
    <row r="73" ht="15" customHeight="1" s="5">
      <c r="A73" s="7" t="inlineStr">
        <is>
          <t>PRJ015</t>
        </is>
      </c>
      <c r="B73" s="7">
        <f>IFERROR(VLOOKUP(A73,Projects!$A:$AK,2,FALSE()),"")</f>
        <v/>
      </c>
      <c r="C73" s="7">
        <f>IFERROR(VLOOKUP(A73,Projects!$A:$AK,3,FALSE()),"")</f>
        <v/>
      </c>
      <c r="D73" s="7" t="n">
        <v>1</v>
      </c>
      <c r="E73" s="7">
        <f>IFERROR(YEAR(VLOOKUP(A73,Projects!$A:$AK,16,FALSE()))+D73,D73)</f>
        <v/>
      </c>
      <c r="F73" s="7">
        <f>IFERROR(VLOOKUP(A73,Projects!$A:$AK,21,FALSE()),"")</f>
        <v/>
      </c>
      <c r="G73" s="7">
        <f>IFERROR(VLOOKUP(A73,Projects!$A:$AK,22,FALSE()),"")</f>
        <v/>
      </c>
      <c r="H73" s="7">
        <f>F73+G73</f>
        <v/>
      </c>
      <c r="I73" s="7" t="n">
        <v>0</v>
      </c>
      <c r="J73" s="7" t="n">
        <v>0</v>
      </c>
      <c r="K73" s="7">
        <f>I73+J73</f>
        <v/>
      </c>
      <c r="L73" s="7">
        <f>K73-H73</f>
        <v/>
      </c>
      <c r="M73" s="7" t="inlineStr">
        <is>
          <t>One-Off</t>
        </is>
      </c>
      <c r="N73" s="7" t="inlineStr">
        <is>
          <t>Productivity</t>
        </is>
      </c>
      <c r="O73" s="7" t="n">
        <v>90</v>
      </c>
    </row>
    <row r="74" ht="15" customHeight="1" s="5">
      <c r="A74" s="7" t="inlineStr">
        <is>
          <t>PRJ015</t>
        </is>
      </c>
      <c r="B74" s="7">
        <f>IFERROR(VLOOKUP(A74,Projects!$A:$AK,2,FALSE()),"")</f>
        <v/>
      </c>
      <c r="C74" s="7">
        <f>IFERROR(VLOOKUP(A74,Projects!$A:$AK,3,FALSE()),"")</f>
        <v/>
      </c>
      <c r="D74" s="7" t="n">
        <v>2</v>
      </c>
      <c r="E74" s="7">
        <f>IFERROR(YEAR(VLOOKUP(A74,Projects!$A:$AK,16,FALSE()))+D74,D74)</f>
        <v/>
      </c>
      <c r="F74" s="7">
        <f>IFERROR(VLOOKUP(A74,Projects!$A:$AK,21,FALSE()),"")</f>
        <v/>
      </c>
      <c r="G74" s="7">
        <f>IFERROR(VLOOKUP(A74,Projects!$A:$AK,22,FALSE()),"")</f>
        <v/>
      </c>
      <c r="H74" s="7">
        <f>F74+G74</f>
        <v/>
      </c>
      <c r="I74" s="7" t="n">
        <v>0</v>
      </c>
      <c r="J74" s="7" t="n">
        <v>1172866</v>
      </c>
      <c r="K74" s="7">
        <f>I74+J74</f>
        <v/>
      </c>
      <c r="L74" s="7">
        <f>K74-H74</f>
        <v/>
      </c>
      <c r="M74" s="7" t="inlineStr">
        <is>
          <t>One-Off</t>
        </is>
      </c>
      <c r="N74" s="7" t="inlineStr">
        <is>
          <t>Productivity</t>
        </is>
      </c>
      <c r="O74" s="7" t="n">
        <v>80</v>
      </c>
    </row>
    <row r="75" ht="15" customHeight="1" s="5">
      <c r="A75" s="7" t="inlineStr">
        <is>
          <t>PRJ015</t>
        </is>
      </c>
      <c r="B75" s="7">
        <f>IFERROR(VLOOKUP(A75,Projects!$A:$AK,2,FALSE()),"")</f>
        <v/>
      </c>
      <c r="C75" s="7">
        <f>IFERROR(VLOOKUP(A75,Projects!$A:$AK,3,FALSE()),"")</f>
        <v/>
      </c>
      <c r="D75" s="7" t="n">
        <v>3</v>
      </c>
      <c r="E75" s="7">
        <f>IFERROR(YEAR(VLOOKUP(A75,Projects!$A:$AK,16,FALSE()))+D75,D75)</f>
        <v/>
      </c>
      <c r="F75" s="7">
        <f>IFERROR(VLOOKUP(A75,Projects!$A:$AK,21,FALSE()),"")</f>
        <v/>
      </c>
      <c r="G75" s="7">
        <f>IFERROR(VLOOKUP(A75,Projects!$A:$AK,22,FALSE()),"")</f>
        <v/>
      </c>
      <c r="H75" s="7">
        <f>F75+G75</f>
        <v/>
      </c>
      <c r="I75" s="7" t="n">
        <v>0</v>
      </c>
      <c r="J75" s="7" t="n">
        <v>0</v>
      </c>
      <c r="K75" s="7">
        <f>I75+J75</f>
        <v/>
      </c>
      <c r="L75" s="7">
        <f>K75-H75</f>
        <v/>
      </c>
      <c r="M75" s="7" t="inlineStr">
        <is>
          <t>One-Off</t>
        </is>
      </c>
      <c r="N75" s="7" t="inlineStr">
        <is>
          <t>Productivity</t>
        </is>
      </c>
      <c r="O75" s="7" t="n">
        <v>80</v>
      </c>
    </row>
    <row r="76" ht="15" customHeight="1" s="5">
      <c r="A76" s="7" t="inlineStr">
        <is>
          <t>PRJ015</t>
        </is>
      </c>
      <c r="B76" s="7">
        <f>IFERROR(VLOOKUP(A76,Projects!$A:$AK,2,FALSE()),"")</f>
        <v/>
      </c>
      <c r="C76" s="7">
        <f>IFERROR(VLOOKUP(A76,Projects!$A:$AK,3,FALSE()),"")</f>
        <v/>
      </c>
      <c r="D76" s="7" t="n">
        <v>4</v>
      </c>
      <c r="E76" s="7">
        <f>IFERROR(YEAR(VLOOKUP(A76,Projects!$A:$AK,16,FALSE()))+D76,D76)</f>
        <v/>
      </c>
      <c r="F76" s="7">
        <f>IFERROR(VLOOKUP(A76,Projects!$A:$AK,21,FALSE()),"")</f>
        <v/>
      </c>
      <c r="G76" s="7">
        <f>IFERROR(VLOOKUP(A76,Projects!$A:$AK,22,FALSE()),"")</f>
        <v/>
      </c>
      <c r="H76" s="7">
        <f>F76+G76</f>
        <v/>
      </c>
      <c r="I76" s="7" t="n">
        <v>0</v>
      </c>
      <c r="J76" s="7" t="n">
        <v>0</v>
      </c>
      <c r="K76" s="7">
        <f>I76+J76</f>
        <v/>
      </c>
      <c r="L76" s="7">
        <f>K76-H76</f>
        <v/>
      </c>
      <c r="M76" s="7" t="inlineStr">
        <is>
          <t>One-Off</t>
        </is>
      </c>
      <c r="N76" s="7" t="inlineStr">
        <is>
          <t>Productivity</t>
        </is>
      </c>
      <c r="O76" s="7" t="n">
        <v>70</v>
      </c>
    </row>
    <row r="77" ht="15" customHeight="1" s="5">
      <c r="A77" s="7" t="inlineStr">
        <is>
          <t>PRJ016</t>
        </is>
      </c>
      <c r="B77" s="7">
        <f>IFERROR(VLOOKUP(A77,Projects!$A:$AK,2,FALSE()),"")</f>
        <v/>
      </c>
      <c r="C77" s="7">
        <f>IFERROR(VLOOKUP(A77,Projects!$A:$AK,3,FALSE()),"")</f>
        <v/>
      </c>
      <c r="D77" s="7" t="n">
        <v>0</v>
      </c>
      <c r="E77" s="7">
        <f>IFERROR(YEAR(VLOOKUP(A77,Projects!$A:$AK,16,FALSE()))+D77,D77)</f>
        <v/>
      </c>
      <c r="F77" s="7">
        <f>IFERROR(VLOOKUP(A77,Projects!$A:$AK,21,FALSE()),"")</f>
        <v/>
      </c>
      <c r="G77" s="7">
        <f>IFERROR(VLOOKUP(A77,Projects!$A:$AK,22,FALSE()),"")</f>
        <v/>
      </c>
      <c r="H77" s="7">
        <f>F77+G77</f>
        <v/>
      </c>
      <c r="I77" s="7" t="n">
        <v>0</v>
      </c>
      <c r="J77" s="7" t="n">
        <v>0</v>
      </c>
      <c r="K77" s="7">
        <f>I77+J77</f>
        <v/>
      </c>
      <c r="L77" s="7">
        <f>K77-H77</f>
        <v/>
      </c>
      <c r="M77" s="7" t="inlineStr">
        <is>
          <t>Recurring</t>
        </is>
      </c>
      <c r="N77" s="7" t="inlineStr">
        <is>
          <t>Cost Savings</t>
        </is>
      </c>
      <c r="O77" s="7" t="n">
        <v>80</v>
      </c>
    </row>
    <row r="78" ht="15" customHeight="1" s="5">
      <c r="A78" s="7" t="inlineStr">
        <is>
          <t>PRJ016</t>
        </is>
      </c>
      <c r="B78" s="7">
        <f>IFERROR(VLOOKUP(A78,Projects!$A:$AK,2,FALSE()),"")</f>
        <v/>
      </c>
      <c r="C78" s="7">
        <f>IFERROR(VLOOKUP(A78,Projects!$A:$AK,3,FALSE()),"")</f>
        <v/>
      </c>
      <c r="D78" s="7" t="n">
        <v>1</v>
      </c>
      <c r="E78" s="7">
        <f>IFERROR(YEAR(VLOOKUP(A78,Projects!$A:$AK,16,FALSE()))+D78,D78)</f>
        <v/>
      </c>
      <c r="F78" s="7">
        <f>IFERROR(VLOOKUP(A78,Projects!$A:$AK,21,FALSE()),"")</f>
        <v/>
      </c>
      <c r="G78" s="7">
        <f>IFERROR(VLOOKUP(A78,Projects!$A:$AK,22,FALSE()),"")</f>
        <v/>
      </c>
      <c r="H78" s="7">
        <f>F78+G78</f>
        <v/>
      </c>
      <c r="I78" s="7" t="n">
        <v>1253380</v>
      </c>
      <c r="J78" s="7" t="n">
        <v>0</v>
      </c>
      <c r="K78" s="7">
        <f>I78+J78</f>
        <v/>
      </c>
      <c r="L78" s="7">
        <f>K78-H78</f>
        <v/>
      </c>
      <c r="M78" s="7" t="inlineStr">
        <is>
          <t>Recurring</t>
        </is>
      </c>
      <c r="N78" s="7" t="inlineStr">
        <is>
          <t>Cost Savings</t>
        </is>
      </c>
      <c r="O78" s="7" t="n">
        <v>60</v>
      </c>
    </row>
    <row r="79" ht="15" customHeight="1" s="5">
      <c r="A79" s="7" t="inlineStr">
        <is>
          <t>PRJ016</t>
        </is>
      </c>
      <c r="B79" s="7">
        <f>IFERROR(VLOOKUP(A79,Projects!$A:$AK,2,FALSE()),"")</f>
        <v/>
      </c>
      <c r="C79" s="7">
        <f>IFERROR(VLOOKUP(A79,Projects!$A:$AK,3,FALSE()),"")</f>
        <v/>
      </c>
      <c r="D79" s="7" t="n">
        <v>2</v>
      </c>
      <c r="E79" s="7">
        <f>IFERROR(YEAR(VLOOKUP(A79,Projects!$A:$AK,16,FALSE()))+D79,D79)</f>
        <v/>
      </c>
      <c r="F79" s="7">
        <f>IFERROR(VLOOKUP(A79,Projects!$A:$AK,21,FALSE()),"")</f>
        <v/>
      </c>
      <c r="G79" s="7">
        <f>IFERROR(VLOOKUP(A79,Projects!$A:$AK,22,FALSE()),"")</f>
        <v/>
      </c>
      <c r="H79" s="7">
        <f>F79+G79</f>
        <v/>
      </c>
      <c r="I79" s="7" t="n">
        <v>1489190</v>
      </c>
      <c r="J79" s="7" t="n">
        <v>0</v>
      </c>
      <c r="K79" s="7">
        <f>I79+J79</f>
        <v/>
      </c>
      <c r="L79" s="7">
        <f>K79-H79</f>
        <v/>
      </c>
      <c r="M79" s="7" t="inlineStr">
        <is>
          <t>Recurring</t>
        </is>
      </c>
      <c r="N79" s="7" t="inlineStr">
        <is>
          <t>Cost Savings</t>
        </is>
      </c>
      <c r="O79" s="7" t="n">
        <v>60</v>
      </c>
    </row>
    <row r="80" ht="15" customHeight="1" s="5">
      <c r="A80" s="7" t="inlineStr">
        <is>
          <t>PRJ016</t>
        </is>
      </c>
      <c r="B80" s="7">
        <f>IFERROR(VLOOKUP(A80,Projects!$A:$AK,2,FALSE()),"")</f>
        <v/>
      </c>
      <c r="C80" s="7">
        <f>IFERROR(VLOOKUP(A80,Projects!$A:$AK,3,FALSE()),"")</f>
        <v/>
      </c>
      <c r="D80" s="7" t="n">
        <v>3</v>
      </c>
      <c r="E80" s="7">
        <f>IFERROR(YEAR(VLOOKUP(A80,Projects!$A:$AK,16,FALSE()))+D80,D80)</f>
        <v/>
      </c>
      <c r="F80" s="7">
        <f>IFERROR(VLOOKUP(A80,Projects!$A:$AK,21,FALSE()),"")</f>
        <v/>
      </c>
      <c r="G80" s="7">
        <f>IFERROR(VLOOKUP(A80,Projects!$A:$AK,22,FALSE()),"")</f>
        <v/>
      </c>
      <c r="H80" s="7">
        <f>F80+G80</f>
        <v/>
      </c>
      <c r="I80" s="7" t="n">
        <v>1261877</v>
      </c>
      <c r="J80" s="7" t="n">
        <v>0</v>
      </c>
      <c r="K80" s="7">
        <f>I80+J80</f>
        <v/>
      </c>
      <c r="L80" s="7">
        <f>K80-H80</f>
        <v/>
      </c>
      <c r="M80" s="7" t="inlineStr">
        <is>
          <t>Recurring</t>
        </is>
      </c>
      <c r="N80" s="7" t="inlineStr">
        <is>
          <t>Cost Savings</t>
        </is>
      </c>
      <c r="O80" s="7" t="n">
        <v>80</v>
      </c>
    </row>
    <row r="81" ht="15" customHeight="1" s="5">
      <c r="A81" s="7" t="inlineStr">
        <is>
          <t>PRJ016</t>
        </is>
      </c>
      <c r="B81" s="7">
        <f>IFERROR(VLOOKUP(A81,Projects!$A:$AK,2,FALSE()),"")</f>
        <v/>
      </c>
      <c r="C81" s="7">
        <f>IFERROR(VLOOKUP(A81,Projects!$A:$AK,3,FALSE()),"")</f>
        <v/>
      </c>
      <c r="D81" s="7" t="n">
        <v>4</v>
      </c>
      <c r="E81" s="7">
        <f>IFERROR(YEAR(VLOOKUP(A81,Projects!$A:$AK,16,FALSE()))+D81,D81)</f>
        <v/>
      </c>
      <c r="F81" s="7">
        <f>IFERROR(VLOOKUP(A81,Projects!$A:$AK,21,FALSE()),"")</f>
        <v/>
      </c>
      <c r="G81" s="7">
        <f>IFERROR(VLOOKUP(A81,Projects!$A:$AK,22,FALSE()),"")</f>
        <v/>
      </c>
      <c r="H81" s="7">
        <f>F81+G81</f>
        <v/>
      </c>
      <c r="I81" s="7" t="n">
        <v>1389107</v>
      </c>
      <c r="J81" s="7" t="n">
        <v>0</v>
      </c>
      <c r="K81" s="7">
        <f>I81+J81</f>
        <v/>
      </c>
      <c r="L81" s="7">
        <f>K81-H81</f>
        <v/>
      </c>
      <c r="M81" s="7" t="inlineStr">
        <is>
          <t>Recurring</t>
        </is>
      </c>
      <c r="N81" s="7" t="inlineStr">
        <is>
          <t>Cost Savings</t>
        </is>
      </c>
      <c r="O81" s="7" t="n">
        <v>70</v>
      </c>
    </row>
    <row r="82" ht="15" customHeight="1" s="5">
      <c r="A82" s="7" t="inlineStr">
        <is>
          <t>PRJ017</t>
        </is>
      </c>
      <c r="B82" s="7">
        <f>IFERROR(VLOOKUP(A82,Projects!$A:$AK,2,FALSE()),"")</f>
        <v/>
      </c>
      <c r="C82" s="7">
        <f>IFERROR(VLOOKUP(A82,Projects!$A:$AK,3,FALSE()),"")</f>
        <v/>
      </c>
      <c r="D82" s="7" t="n">
        <v>0</v>
      </c>
      <c r="E82" s="7">
        <f>IFERROR(YEAR(VLOOKUP(A82,Projects!$A:$AK,16,FALSE()))+D82,D82)</f>
        <v/>
      </c>
      <c r="F82" s="7">
        <f>IFERROR(VLOOKUP(A82,Projects!$A:$AK,21,FALSE()),"")</f>
        <v/>
      </c>
      <c r="G82" s="7">
        <f>IFERROR(VLOOKUP(A82,Projects!$A:$AK,22,FALSE()),"")</f>
        <v/>
      </c>
      <c r="H82" s="7">
        <f>F82+G82</f>
        <v/>
      </c>
      <c r="I82" s="7" t="n">
        <v>0</v>
      </c>
      <c r="J82" s="7" t="n">
        <v>0</v>
      </c>
      <c r="K82" s="7">
        <f>I82+J82</f>
        <v/>
      </c>
      <c r="L82" s="7">
        <f>K82-H82</f>
        <v/>
      </c>
      <c r="M82" s="7" t="inlineStr">
        <is>
          <t>One-Off</t>
        </is>
      </c>
      <c r="N82" s="7" t="inlineStr">
        <is>
          <t>Compliance</t>
        </is>
      </c>
      <c r="O82" s="7" t="n">
        <v>80</v>
      </c>
    </row>
    <row r="83" ht="15" customHeight="1" s="5">
      <c r="A83" s="7" t="inlineStr">
        <is>
          <t>PRJ017</t>
        </is>
      </c>
      <c r="B83" s="7">
        <f>IFERROR(VLOOKUP(A83,Projects!$A:$AK,2,FALSE()),"")</f>
        <v/>
      </c>
      <c r="C83" s="7">
        <f>IFERROR(VLOOKUP(A83,Projects!$A:$AK,3,FALSE()),"")</f>
        <v/>
      </c>
      <c r="D83" s="7" t="n">
        <v>1</v>
      </c>
      <c r="E83" s="7">
        <f>IFERROR(YEAR(VLOOKUP(A83,Projects!$A:$AK,16,FALSE()))+D83,D83)</f>
        <v/>
      </c>
      <c r="F83" s="7">
        <f>IFERROR(VLOOKUP(A83,Projects!$A:$AK,21,FALSE()),"")</f>
        <v/>
      </c>
      <c r="G83" s="7">
        <f>IFERROR(VLOOKUP(A83,Projects!$A:$AK,22,FALSE()),"")</f>
        <v/>
      </c>
      <c r="H83" s="7">
        <f>F83+G83</f>
        <v/>
      </c>
      <c r="I83" s="7" t="n">
        <v>0</v>
      </c>
      <c r="J83" s="7" t="n">
        <v>3587974</v>
      </c>
      <c r="K83" s="7">
        <f>I83+J83</f>
        <v/>
      </c>
      <c r="L83" s="7">
        <f>K83-H83</f>
        <v/>
      </c>
      <c r="M83" s="7" t="inlineStr">
        <is>
          <t>One-Off</t>
        </is>
      </c>
      <c r="N83" s="7" t="inlineStr">
        <is>
          <t>Compliance</t>
        </is>
      </c>
      <c r="O83" s="7" t="n">
        <v>70</v>
      </c>
    </row>
    <row r="84" ht="15" customHeight="1" s="5">
      <c r="A84" s="7" t="inlineStr">
        <is>
          <t>PRJ017</t>
        </is>
      </c>
      <c r="B84" s="7">
        <f>IFERROR(VLOOKUP(A84,Projects!$A:$AK,2,FALSE()),"")</f>
        <v/>
      </c>
      <c r="C84" s="7">
        <f>IFERROR(VLOOKUP(A84,Projects!$A:$AK,3,FALSE()),"")</f>
        <v/>
      </c>
      <c r="D84" s="7" t="n">
        <v>2</v>
      </c>
      <c r="E84" s="7">
        <f>IFERROR(YEAR(VLOOKUP(A84,Projects!$A:$AK,16,FALSE()))+D84,D84)</f>
        <v/>
      </c>
      <c r="F84" s="7">
        <f>IFERROR(VLOOKUP(A84,Projects!$A:$AK,21,FALSE()),"")</f>
        <v/>
      </c>
      <c r="G84" s="7">
        <f>IFERROR(VLOOKUP(A84,Projects!$A:$AK,22,FALSE()),"")</f>
        <v/>
      </c>
      <c r="H84" s="7">
        <f>F84+G84</f>
        <v/>
      </c>
      <c r="I84" s="7" t="n">
        <v>0</v>
      </c>
      <c r="J84" s="7" t="n">
        <v>0</v>
      </c>
      <c r="K84" s="7">
        <f>I84+J84</f>
        <v/>
      </c>
      <c r="L84" s="7">
        <f>K84-H84</f>
        <v/>
      </c>
      <c r="M84" s="7" t="inlineStr">
        <is>
          <t>One-Off</t>
        </is>
      </c>
      <c r="N84" s="7" t="inlineStr">
        <is>
          <t>Compliance</t>
        </is>
      </c>
      <c r="O84" s="7" t="n">
        <v>70</v>
      </c>
    </row>
    <row r="85" ht="15" customHeight="1" s="5">
      <c r="A85" s="7" t="inlineStr">
        <is>
          <t>PRJ017</t>
        </is>
      </c>
      <c r="B85" s="7">
        <f>IFERROR(VLOOKUP(A85,Projects!$A:$AK,2,FALSE()),"")</f>
        <v/>
      </c>
      <c r="C85" s="7">
        <f>IFERROR(VLOOKUP(A85,Projects!$A:$AK,3,FALSE()),"")</f>
        <v/>
      </c>
      <c r="D85" s="7" t="n">
        <v>3</v>
      </c>
      <c r="E85" s="7">
        <f>IFERROR(YEAR(VLOOKUP(A85,Projects!$A:$AK,16,FALSE()))+D85,D85)</f>
        <v/>
      </c>
      <c r="F85" s="7">
        <f>IFERROR(VLOOKUP(A85,Projects!$A:$AK,21,FALSE()),"")</f>
        <v/>
      </c>
      <c r="G85" s="7">
        <f>IFERROR(VLOOKUP(A85,Projects!$A:$AK,22,FALSE()),"")</f>
        <v/>
      </c>
      <c r="H85" s="7">
        <f>F85+G85</f>
        <v/>
      </c>
      <c r="I85" s="7" t="n">
        <v>0</v>
      </c>
      <c r="J85" s="7" t="n">
        <v>0</v>
      </c>
      <c r="K85" s="7">
        <f>I85+J85</f>
        <v/>
      </c>
      <c r="L85" s="7">
        <f>K85-H85</f>
        <v/>
      </c>
      <c r="M85" s="7" t="inlineStr">
        <is>
          <t>One-Off</t>
        </is>
      </c>
      <c r="N85" s="7" t="inlineStr">
        <is>
          <t>Compliance</t>
        </is>
      </c>
      <c r="O85" s="7" t="n">
        <v>70</v>
      </c>
    </row>
    <row r="86" ht="15" customHeight="1" s="5">
      <c r="A86" s="7" t="inlineStr">
        <is>
          <t>PRJ017</t>
        </is>
      </c>
      <c r="B86" s="7">
        <f>IFERROR(VLOOKUP(A86,Projects!$A:$AK,2,FALSE()),"")</f>
        <v/>
      </c>
      <c r="C86" s="7">
        <f>IFERROR(VLOOKUP(A86,Projects!$A:$AK,3,FALSE()),"")</f>
        <v/>
      </c>
      <c r="D86" s="7" t="n">
        <v>4</v>
      </c>
      <c r="E86" s="7">
        <f>IFERROR(YEAR(VLOOKUP(A86,Projects!$A:$AK,16,FALSE()))+D86,D86)</f>
        <v/>
      </c>
      <c r="F86" s="7">
        <f>IFERROR(VLOOKUP(A86,Projects!$A:$AK,21,FALSE()),"")</f>
        <v/>
      </c>
      <c r="G86" s="7">
        <f>IFERROR(VLOOKUP(A86,Projects!$A:$AK,22,FALSE()),"")</f>
        <v/>
      </c>
      <c r="H86" s="7">
        <f>F86+G86</f>
        <v/>
      </c>
      <c r="I86" s="7" t="n">
        <v>0</v>
      </c>
      <c r="J86" s="7" t="n">
        <v>0</v>
      </c>
      <c r="K86" s="7">
        <f>I86+J86</f>
        <v/>
      </c>
      <c r="L86" s="7">
        <f>K86-H86</f>
        <v/>
      </c>
      <c r="M86" s="7" t="inlineStr">
        <is>
          <t>One-Off</t>
        </is>
      </c>
      <c r="N86" s="7" t="inlineStr">
        <is>
          <t>Compliance</t>
        </is>
      </c>
      <c r="O86" s="7" t="n">
        <v>60</v>
      </c>
    </row>
    <row r="87" ht="15" customHeight="1" s="5">
      <c r="A87" s="7" t="inlineStr">
        <is>
          <t>PRJ018</t>
        </is>
      </c>
      <c r="B87" s="7">
        <f>IFERROR(VLOOKUP(A87,Projects!$A:$AK,2,FALSE()),"")</f>
        <v/>
      </c>
      <c r="C87" s="7">
        <f>IFERROR(VLOOKUP(A87,Projects!$A:$AK,3,FALSE()),"")</f>
        <v/>
      </c>
      <c r="D87" s="7" t="n">
        <v>0</v>
      </c>
      <c r="E87" s="7">
        <f>IFERROR(YEAR(VLOOKUP(A87,Projects!$A:$AK,16,FALSE()))+D87,D87)</f>
        <v/>
      </c>
      <c r="F87" s="7">
        <f>IFERROR(VLOOKUP(A87,Projects!$A:$AK,21,FALSE()),"")</f>
        <v/>
      </c>
      <c r="G87" s="7">
        <f>IFERROR(VLOOKUP(A87,Projects!$A:$AK,22,FALSE()),"")</f>
        <v/>
      </c>
      <c r="H87" s="7">
        <f>F87+G87</f>
        <v/>
      </c>
      <c r="I87" s="7" t="n">
        <v>0</v>
      </c>
      <c r="J87" s="7" t="n">
        <v>0</v>
      </c>
      <c r="K87" s="7">
        <f>I87+J87</f>
        <v/>
      </c>
      <c r="L87" s="7">
        <f>K87-H87</f>
        <v/>
      </c>
      <c r="M87" s="7" t="inlineStr">
        <is>
          <t>Recurring</t>
        </is>
      </c>
      <c r="N87" s="7" t="inlineStr">
        <is>
          <t>Risk Avoidance</t>
        </is>
      </c>
      <c r="O87" s="7" t="n">
        <v>70</v>
      </c>
    </row>
    <row r="88" ht="15" customHeight="1" s="5">
      <c r="A88" s="7" t="inlineStr">
        <is>
          <t>PRJ018</t>
        </is>
      </c>
      <c r="B88" s="7">
        <f>IFERROR(VLOOKUP(A88,Projects!$A:$AK,2,FALSE()),"")</f>
        <v/>
      </c>
      <c r="C88" s="7">
        <f>IFERROR(VLOOKUP(A88,Projects!$A:$AK,3,FALSE()),"")</f>
        <v/>
      </c>
      <c r="D88" s="7" t="n">
        <v>1</v>
      </c>
      <c r="E88" s="7">
        <f>IFERROR(YEAR(VLOOKUP(A88,Projects!$A:$AK,16,FALSE()))+D88,D88)</f>
        <v/>
      </c>
      <c r="F88" s="7">
        <f>IFERROR(VLOOKUP(A88,Projects!$A:$AK,21,FALSE()),"")</f>
        <v/>
      </c>
      <c r="G88" s="7">
        <f>IFERROR(VLOOKUP(A88,Projects!$A:$AK,22,FALSE()),"")</f>
        <v/>
      </c>
      <c r="H88" s="7">
        <f>F88+G88</f>
        <v/>
      </c>
      <c r="I88" s="7" t="n">
        <v>319985</v>
      </c>
      <c r="J88" s="7" t="n">
        <v>0</v>
      </c>
      <c r="K88" s="7">
        <f>I88+J88</f>
        <v/>
      </c>
      <c r="L88" s="7">
        <f>K88-H88</f>
        <v/>
      </c>
      <c r="M88" s="7" t="inlineStr">
        <is>
          <t>Recurring</t>
        </is>
      </c>
      <c r="N88" s="7" t="inlineStr">
        <is>
          <t>Risk Avoidance</t>
        </is>
      </c>
      <c r="O88" s="7" t="n">
        <v>90</v>
      </c>
    </row>
    <row r="89" ht="15" customHeight="1" s="5">
      <c r="A89" s="7" t="inlineStr">
        <is>
          <t>PRJ018</t>
        </is>
      </c>
      <c r="B89" s="7">
        <f>IFERROR(VLOOKUP(A89,Projects!$A:$AK,2,FALSE()),"")</f>
        <v/>
      </c>
      <c r="C89" s="7">
        <f>IFERROR(VLOOKUP(A89,Projects!$A:$AK,3,FALSE()),"")</f>
        <v/>
      </c>
      <c r="D89" s="7" t="n">
        <v>2</v>
      </c>
      <c r="E89" s="7">
        <f>IFERROR(YEAR(VLOOKUP(A89,Projects!$A:$AK,16,FALSE()))+D89,D89)</f>
        <v/>
      </c>
      <c r="F89" s="7">
        <f>IFERROR(VLOOKUP(A89,Projects!$A:$AK,21,FALSE()),"")</f>
        <v/>
      </c>
      <c r="G89" s="7">
        <f>IFERROR(VLOOKUP(A89,Projects!$A:$AK,22,FALSE()),"")</f>
        <v/>
      </c>
      <c r="H89" s="7">
        <f>F89+G89</f>
        <v/>
      </c>
      <c r="I89" s="7" t="n">
        <v>323427</v>
      </c>
      <c r="J89" s="7" t="n">
        <v>0</v>
      </c>
      <c r="K89" s="7">
        <f>I89+J89</f>
        <v/>
      </c>
      <c r="L89" s="7">
        <f>K89-H89</f>
        <v/>
      </c>
      <c r="M89" s="7" t="inlineStr">
        <is>
          <t>Recurring</t>
        </is>
      </c>
      <c r="N89" s="7" t="inlineStr">
        <is>
          <t>Risk Avoidance</t>
        </is>
      </c>
      <c r="O89" s="7" t="n">
        <v>80</v>
      </c>
    </row>
    <row r="90" ht="15" customHeight="1" s="5">
      <c r="A90" s="7" t="inlineStr">
        <is>
          <t>PRJ018</t>
        </is>
      </c>
      <c r="B90" s="7">
        <f>IFERROR(VLOOKUP(A90,Projects!$A:$AK,2,FALSE()),"")</f>
        <v/>
      </c>
      <c r="C90" s="7">
        <f>IFERROR(VLOOKUP(A90,Projects!$A:$AK,3,FALSE()),"")</f>
        <v/>
      </c>
      <c r="D90" s="7" t="n">
        <v>3</v>
      </c>
      <c r="E90" s="7">
        <f>IFERROR(YEAR(VLOOKUP(A90,Projects!$A:$AK,16,FALSE()))+D90,D90)</f>
        <v/>
      </c>
      <c r="F90" s="7">
        <f>IFERROR(VLOOKUP(A90,Projects!$A:$AK,21,FALSE()),"")</f>
        <v/>
      </c>
      <c r="G90" s="7">
        <f>IFERROR(VLOOKUP(A90,Projects!$A:$AK,22,FALSE()),"")</f>
        <v/>
      </c>
      <c r="H90" s="7">
        <f>F90+G90</f>
        <v/>
      </c>
      <c r="I90" s="7" t="n">
        <v>404693</v>
      </c>
      <c r="J90" s="7" t="n">
        <v>0</v>
      </c>
      <c r="K90" s="7">
        <f>I90+J90</f>
        <v/>
      </c>
      <c r="L90" s="7">
        <f>K90-H90</f>
        <v/>
      </c>
      <c r="M90" s="7" t="inlineStr">
        <is>
          <t>Recurring</t>
        </is>
      </c>
      <c r="N90" s="7" t="inlineStr">
        <is>
          <t>Risk Avoidance</t>
        </is>
      </c>
      <c r="O90" s="7" t="n">
        <v>90</v>
      </c>
    </row>
    <row r="91" ht="15" customHeight="1" s="5">
      <c r="A91" s="7" t="inlineStr">
        <is>
          <t>PRJ018</t>
        </is>
      </c>
      <c r="B91" s="7">
        <f>IFERROR(VLOOKUP(A91,Projects!$A:$AK,2,FALSE()),"")</f>
        <v/>
      </c>
      <c r="C91" s="7">
        <f>IFERROR(VLOOKUP(A91,Projects!$A:$AK,3,FALSE()),"")</f>
        <v/>
      </c>
      <c r="D91" s="7" t="n">
        <v>4</v>
      </c>
      <c r="E91" s="7">
        <f>IFERROR(YEAR(VLOOKUP(A91,Projects!$A:$AK,16,FALSE()))+D91,D91)</f>
        <v/>
      </c>
      <c r="F91" s="7">
        <f>IFERROR(VLOOKUP(A91,Projects!$A:$AK,21,FALSE()),"")</f>
        <v/>
      </c>
      <c r="G91" s="7">
        <f>IFERROR(VLOOKUP(A91,Projects!$A:$AK,22,FALSE()),"")</f>
        <v/>
      </c>
      <c r="H91" s="7">
        <f>F91+G91</f>
        <v/>
      </c>
      <c r="I91" s="7" t="n">
        <v>292102</v>
      </c>
      <c r="J91" s="7" t="n">
        <v>0</v>
      </c>
      <c r="K91" s="7">
        <f>I91+J91</f>
        <v/>
      </c>
      <c r="L91" s="7">
        <f>K91-H91</f>
        <v/>
      </c>
      <c r="M91" s="7" t="inlineStr">
        <is>
          <t>Recurring</t>
        </is>
      </c>
      <c r="N91" s="7" t="inlineStr">
        <is>
          <t>Risk Avoidance</t>
        </is>
      </c>
      <c r="O91" s="7" t="n">
        <v>70</v>
      </c>
    </row>
    <row r="92" ht="15" customHeight="1" s="5">
      <c r="A92" s="7" t="inlineStr">
        <is>
          <t>PRJ019</t>
        </is>
      </c>
      <c r="B92" s="7">
        <f>IFERROR(VLOOKUP(A92,Projects!$A:$AK,2,FALSE()),"")</f>
        <v/>
      </c>
      <c r="C92" s="7">
        <f>IFERROR(VLOOKUP(A92,Projects!$A:$AK,3,FALSE()),"")</f>
        <v/>
      </c>
      <c r="D92" s="7" t="n">
        <v>0</v>
      </c>
      <c r="E92" s="7">
        <f>IFERROR(YEAR(VLOOKUP(A92,Projects!$A:$AK,16,FALSE()))+D92,D92)</f>
        <v/>
      </c>
      <c r="F92" s="7">
        <f>IFERROR(VLOOKUP(A92,Projects!$A:$AK,21,FALSE()),"")</f>
        <v/>
      </c>
      <c r="G92" s="7">
        <f>IFERROR(VLOOKUP(A92,Projects!$A:$AK,22,FALSE()),"")</f>
        <v/>
      </c>
      <c r="H92" s="7">
        <f>F92+G92</f>
        <v/>
      </c>
      <c r="I92" s="7" t="n">
        <v>0</v>
      </c>
      <c r="J92" s="7" t="n">
        <v>0</v>
      </c>
      <c r="K92" s="7">
        <f>I92+J92</f>
        <v/>
      </c>
      <c r="L92" s="7">
        <f>K92-H92</f>
        <v/>
      </c>
      <c r="M92" s="7" t="inlineStr">
        <is>
          <t>Recurring</t>
        </is>
      </c>
      <c r="N92" s="7" t="inlineStr">
        <is>
          <t>Risk Avoidance</t>
        </is>
      </c>
      <c r="O92" s="7" t="n">
        <v>90</v>
      </c>
    </row>
    <row r="93" ht="15" customHeight="1" s="5">
      <c r="A93" s="7" t="inlineStr">
        <is>
          <t>PRJ019</t>
        </is>
      </c>
      <c r="B93" s="7">
        <f>IFERROR(VLOOKUP(A93,Projects!$A:$AK,2,FALSE()),"")</f>
        <v/>
      </c>
      <c r="C93" s="7">
        <f>IFERROR(VLOOKUP(A93,Projects!$A:$AK,3,FALSE()),"")</f>
        <v/>
      </c>
      <c r="D93" s="7" t="n">
        <v>1</v>
      </c>
      <c r="E93" s="7">
        <f>IFERROR(YEAR(VLOOKUP(A93,Projects!$A:$AK,16,FALSE()))+D93,D93)</f>
        <v/>
      </c>
      <c r="F93" s="7">
        <f>IFERROR(VLOOKUP(A93,Projects!$A:$AK,21,FALSE()),"")</f>
        <v/>
      </c>
      <c r="G93" s="7">
        <f>IFERROR(VLOOKUP(A93,Projects!$A:$AK,22,FALSE()),"")</f>
        <v/>
      </c>
      <c r="H93" s="7">
        <f>F93+G93</f>
        <v/>
      </c>
      <c r="I93" s="7" t="n">
        <v>296269</v>
      </c>
      <c r="J93" s="7" t="n">
        <v>0</v>
      </c>
      <c r="K93" s="7">
        <f>I93+J93</f>
        <v/>
      </c>
      <c r="L93" s="7">
        <f>K93-H93</f>
        <v/>
      </c>
      <c r="M93" s="7" t="inlineStr">
        <is>
          <t>Recurring</t>
        </is>
      </c>
      <c r="N93" s="7" t="inlineStr">
        <is>
          <t>Risk Avoidance</t>
        </is>
      </c>
      <c r="O93" s="7" t="n">
        <v>80</v>
      </c>
    </row>
    <row r="94" ht="15" customHeight="1" s="5">
      <c r="A94" s="7" t="inlineStr">
        <is>
          <t>PRJ019</t>
        </is>
      </c>
      <c r="B94" s="7">
        <f>IFERROR(VLOOKUP(A94,Projects!$A:$AK,2,FALSE()),"")</f>
        <v/>
      </c>
      <c r="C94" s="7">
        <f>IFERROR(VLOOKUP(A94,Projects!$A:$AK,3,FALSE()),"")</f>
        <v/>
      </c>
      <c r="D94" s="7" t="n">
        <v>2</v>
      </c>
      <c r="E94" s="7">
        <f>IFERROR(YEAR(VLOOKUP(A94,Projects!$A:$AK,16,FALSE()))+D94,D94)</f>
        <v/>
      </c>
      <c r="F94" s="7">
        <f>IFERROR(VLOOKUP(A94,Projects!$A:$AK,21,FALSE()),"")</f>
        <v/>
      </c>
      <c r="G94" s="7">
        <f>IFERROR(VLOOKUP(A94,Projects!$A:$AK,22,FALSE()),"")</f>
        <v/>
      </c>
      <c r="H94" s="7">
        <f>F94+G94</f>
        <v/>
      </c>
      <c r="I94" s="7" t="n">
        <v>287036</v>
      </c>
      <c r="J94" s="7" t="n">
        <v>0</v>
      </c>
      <c r="K94" s="7">
        <f>I94+J94</f>
        <v/>
      </c>
      <c r="L94" s="7">
        <f>K94-H94</f>
        <v/>
      </c>
      <c r="M94" s="7" t="inlineStr">
        <is>
          <t>Recurring</t>
        </is>
      </c>
      <c r="N94" s="7" t="inlineStr">
        <is>
          <t>Risk Avoidance</t>
        </is>
      </c>
      <c r="O94" s="7" t="n">
        <v>60</v>
      </c>
    </row>
    <row r="95" ht="15" customHeight="1" s="5">
      <c r="A95" s="7" t="inlineStr">
        <is>
          <t>PRJ019</t>
        </is>
      </c>
      <c r="B95" s="7">
        <f>IFERROR(VLOOKUP(A95,Projects!$A:$AK,2,FALSE()),"")</f>
        <v/>
      </c>
      <c r="C95" s="7">
        <f>IFERROR(VLOOKUP(A95,Projects!$A:$AK,3,FALSE()),"")</f>
        <v/>
      </c>
      <c r="D95" s="7" t="n">
        <v>3</v>
      </c>
      <c r="E95" s="7">
        <f>IFERROR(YEAR(VLOOKUP(A95,Projects!$A:$AK,16,FALSE()))+D95,D95)</f>
        <v/>
      </c>
      <c r="F95" s="7">
        <f>IFERROR(VLOOKUP(A95,Projects!$A:$AK,21,FALSE()),"")</f>
        <v/>
      </c>
      <c r="G95" s="7">
        <f>IFERROR(VLOOKUP(A95,Projects!$A:$AK,22,FALSE()),"")</f>
        <v/>
      </c>
      <c r="H95" s="7">
        <f>F95+G95</f>
        <v/>
      </c>
      <c r="I95" s="7" t="n">
        <v>205318</v>
      </c>
      <c r="J95" s="7" t="n">
        <v>0</v>
      </c>
      <c r="K95" s="7">
        <f>I95+J95</f>
        <v/>
      </c>
      <c r="L95" s="7">
        <f>K95-H95</f>
        <v/>
      </c>
      <c r="M95" s="7" t="inlineStr">
        <is>
          <t>Recurring</t>
        </is>
      </c>
      <c r="N95" s="7" t="inlineStr">
        <is>
          <t>Risk Avoidance</t>
        </is>
      </c>
      <c r="O95" s="7" t="n">
        <v>70</v>
      </c>
    </row>
    <row r="96" ht="15" customHeight="1" s="5">
      <c r="A96" s="7" t="inlineStr">
        <is>
          <t>PRJ019</t>
        </is>
      </c>
      <c r="B96" s="7">
        <f>IFERROR(VLOOKUP(A96,Projects!$A:$AK,2,FALSE()),"")</f>
        <v/>
      </c>
      <c r="C96" s="7">
        <f>IFERROR(VLOOKUP(A96,Projects!$A:$AK,3,FALSE()),"")</f>
        <v/>
      </c>
      <c r="D96" s="7" t="n">
        <v>4</v>
      </c>
      <c r="E96" s="7">
        <f>IFERROR(YEAR(VLOOKUP(A96,Projects!$A:$AK,16,FALSE()))+D96,D96)</f>
        <v/>
      </c>
      <c r="F96" s="7">
        <f>IFERROR(VLOOKUP(A96,Projects!$A:$AK,21,FALSE()),"")</f>
        <v/>
      </c>
      <c r="G96" s="7">
        <f>IFERROR(VLOOKUP(A96,Projects!$A:$AK,22,FALSE()),"")</f>
        <v/>
      </c>
      <c r="H96" s="7">
        <f>F96+G96</f>
        <v/>
      </c>
      <c r="I96" s="7" t="n">
        <v>238948</v>
      </c>
      <c r="J96" s="7" t="n">
        <v>0</v>
      </c>
      <c r="K96" s="7">
        <f>I96+J96</f>
        <v/>
      </c>
      <c r="L96" s="7">
        <f>K96-H96</f>
        <v/>
      </c>
      <c r="M96" s="7" t="inlineStr">
        <is>
          <t>Recurring</t>
        </is>
      </c>
      <c r="N96" s="7" t="inlineStr">
        <is>
          <t>Risk Avoidance</t>
        </is>
      </c>
      <c r="O96" s="7" t="n">
        <v>80</v>
      </c>
    </row>
    <row r="97" ht="15" customHeight="1" s="5">
      <c r="A97" s="7" t="inlineStr">
        <is>
          <t>PRJ020</t>
        </is>
      </c>
      <c r="B97" s="7">
        <f>IFERROR(VLOOKUP(A97,Projects!$A:$AK,2,FALSE()),"")</f>
        <v/>
      </c>
      <c r="C97" s="7">
        <f>IFERROR(VLOOKUP(A97,Projects!$A:$AK,3,FALSE()),"")</f>
        <v/>
      </c>
      <c r="D97" s="7" t="n">
        <v>0</v>
      </c>
      <c r="E97" s="7">
        <f>IFERROR(YEAR(VLOOKUP(A97,Projects!$A:$AK,16,FALSE()))+D97,D97)</f>
        <v/>
      </c>
      <c r="F97" s="7">
        <f>IFERROR(VLOOKUP(A97,Projects!$A:$AK,21,FALSE()),"")</f>
        <v/>
      </c>
      <c r="G97" s="7">
        <f>IFERROR(VLOOKUP(A97,Projects!$A:$AK,22,FALSE()),"")</f>
        <v/>
      </c>
      <c r="H97" s="7">
        <f>F97+G97</f>
        <v/>
      </c>
      <c r="I97" s="7" t="n">
        <v>0</v>
      </c>
      <c r="J97" s="7" t="n">
        <v>0</v>
      </c>
      <c r="K97" s="7">
        <f>I97+J97</f>
        <v/>
      </c>
      <c r="L97" s="7">
        <f>K97-H97</f>
        <v/>
      </c>
      <c r="M97" s="7" t="inlineStr">
        <is>
          <t>Recurring</t>
        </is>
      </c>
      <c r="N97" s="7" t="inlineStr">
        <is>
          <t>Cost Savings</t>
        </is>
      </c>
      <c r="O97" s="7" t="n">
        <v>80</v>
      </c>
    </row>
    <row r="98" ht="15" customHeight="1" s="5">
      <c r="A98" s="7" t="inlineStr">
        <is>
          <t>PRJ020</t>
        </is>
      </c>
      <c r="B98" s="7">
        <f>IFERROR(VLOOKUP(A98,Projects!$A:$AK,2,FALSE()),"")</f>
        <v/>
      </c>
      <c r="C98" s="7">
        <f>IFERROR(VLOOKUP(A98,Projects!$A:$AK,3,FALSE()),"")</f>
        <v/>
      </c>
      <c r="D98" s="7" t="n">
        <v>1</v>
      </c>
      <c r="E98" s="7">
        <f>IFERROR(YEAR(VLOOKUP(A98,Projects!$A:$AK,16,FALSE()))+D98,D98)</f>
        <v/>
      </c>
      <c r="F98" s="7">
        <f>IFERROR(VLOOKUP(A98,Projects!$A:$AK,21,FALSE()),"")</f>
        <v/>
      </c>
      <c r="G98" s="7">
        <f>IFERROR(VLOOKUP(A98,Projects!$A:$AK,22,FALSE()),"")</f>
        <v/>
      </c>
      <c r="H98" s="7">
        <f>F98+G98</f>
        <v/>
      </c>
      <c r="I98" s="7" t="n">
        <v>872874</v>
      </c>
      <c r="J98" s="7" t="n">
        <v>0</v>
      </c>
      <c r="K98" s="7">
        <f>I98+J98</f>
        <v/>
      </c>
      <c r="L98" s="7">
        <f>K98-H98</f>
        <v/>
      </c>
      <c r="M98" s="7" t="inlineStr">
        <is>
          <t>Recurring</t>
        </is>
      </c>
      <c r="N98" s="7" t="inlineStr">
        <is>
          <t>Cost Savings</t>
        </is>
      </c>
      <c r="O98" s="7" t="n">
        <v>90</v>
      </c>
    </row>
    <row r="99" ht="15" customHeight="1" s="5">
      <c r="A99" s="7" t="inlineStr">
        <is>
          <t>PRJ020</t>
        </is>
      </c>
      <c r="B99" s="7">
        <f>IFERROR(VLOOKUP(A99,Projects!$A:$AK,2,FALSE()),"")</f>
        <v/>
      </c>
      <c r="C99" s="7">
        <f>IFERROR(VLOOKUP(A99,Projects!$A:$AK,3,FALSE()),"")</f>
        <v/>
      </c>
      <c r="D99" s="7" t="n">
        <v>2</v>
      </c>
      <c r="E99" s="7">
        <f>IFERROR(YEAR(VLOOKUP(A99,Projects!$A:$AK,16,FALSE()))+D99,D99)</f>
        <v/>
      </c>
      <c r="F99" s="7">
        <f>IFERROR(VLOOKUP(A99,Projects!$A:$AK,21,FALSE()),"")</f>
        <v/>
      </c>
      <c r="G99" s="7">
        <f>IFERROR(VLOOKUP(A99,Projects!$A:$AK,22,FALSE()),"")</f>
        <v/>
      </c>
      <c r="H99" s="7">
        <f>F99+G99</f>
        <v/>
      </c>
      <c r="I99" s="7" t="n">
        <v>640172</v>
      </c>
      <c r="J99" s="7" t="n">
        <v>0</v>
      </c>
      <c r="K99" s="7">
        <f>I99+J99</f>
        <v/>
      </c>
      <c r="L99" s="7">
        <f>K99-H99</f>
        <v/>
      </c>
      <c r="M99" s="7" t="inlineStr">
        <is>
          <t>Recurring</t>
        </is>
      </c>
      <c r="N99" s="7" t="inlineStr">
        <is>
          <t>Cost Savings</t>
        </is>
      </c>
      <c r="O99" s="7" t="n">
        <v>60</v>
      </c>
    </row>
    <row r="100" ht="15" customHeight="1" s="5">
      <c r="A100" s="7" t="inlineStr">
        <is>
          <t>PRJ020</t>
        </is>
      </c>
      <c r="B100" s="7">
        <f>IFERROR(VLOOKUP(A100,Projects!$A:$AK,2,FALSE()),"")</f>
        <v/>
      </c>
      <c r="C100" s="7">
        <f>IFERROR(VLOOKUP(A100,Projects!$A:$AK,3,FALSE()),"")</f>
        <v/>
      </c>
      <c r="D100" s="7" t="n">
        <v>3</v>
      </c>
      <c r="E100" s="7">
        <f>IFERROR(YEAR(VLOOKUP(A100,Projects!$A:$AK,16,FALSE()))+D100,D100)</f>
        <v/>
      </c>
      <c r="F100" s="7">
        <f>IFERROR(VLOOKUP(A100,Projects!$A:$AK,21,FALSE()),"")</f>
        <v/>
      </c>
      <c r="G100" s="7">
        <f>IFERROR(VLOOKUP(A100,Projects!$A:$AK,22,FALSE()),"")</f>
        <v/>
      </c>
      <c r="H100" s="7">
        <f>F100+G100</f>
        <v/>
      </c>
      <c r="I100" s="7" t="n">
        <v>794427</v>
      </c>
      <c r="J100" s="7" t="n">
        <v>0</v>
      </c>
      <c r="K100" s="7">
        <f>I100+J100</f>
        <v/>
      </c>
      <c r="L100" s="7">
        <f>K100-H100</f>
        <v/>
      </c>
      <c r="M100" s="7" t="inlineStr">
        <is>
          <t>Recurring</t>
        </is>
      </c>
      <c r="N100" s="7" t="inlineStr">
        <is>
          <t>Cost Savings</t>
        </is>
      </c>
      <c r="O100" s="7" t="n">
        <v>80</v>
      </c>
    </row>
    <row r="101" ht="15" customHeight="1" s="5">
      <c r="A101" s="7" t="inlineStr">
        <is>
          <t>PRJ020</t>
        </is>
      </c>
      <c r="B101" s="7">
        <f>IFERROR(VLOOKUP(A101,Projects!$A:$AK,2,FALSE()),"")</f>
        <v/>
      </c>
      <c r="C101" s="7">
        <f>IFERROR(VLOOKUP(A101,Projects!$A:$AK,3,FALSE()),"")</f>
        <v/>
      </c>
      <c r="D101" s="7" t="n">
        <v>4</v>
      </c>
      <c r="E101" s="7">
        <f>IFERROR(YEAR(VLOOKUP(A101,Projects!$A:$AK,16,FALSE()))+D101,D101)</f>
        <v/>
      </c>
      <c r="F101" s="7">
        <f>IFERROR(VLOOKUP(A101,Projects!$A:$AK,21,FALSE()),"")</f>
        <v/>
      </c>
      <c r="G101" s="7">
        <f>IFERROR(VLOOKUP(A101,Projects!$A:$AK,22,FALSE()),"")</f>
        <v/>
      </c>
      <c r="H101" s="7">
        <f>F101+G101</f>
        <v/>
      </c>
      <c r="I101" s="7" t="n">
        <v>842193</v>
      </c>
      <c r="J101" s="7" t="n">
        <v>0</v>
      </c>
      <c r="K101" s="7">
        <f>I101+J101</f>
        <v/>
      </c>
      <c r="L101" s="7">
        <f>K101-H101</f>
        <v/>
      </c>
      <c r="M101" s="7" t="inlineStr">
        <is>
          <t>Recurring</t>
        </is>
      </c>
      <c r="N101" s="7" t="inlineStr">
        <is>
          <t>Cost Savings</t>
        </is>
      </c>
      <c r="O101" s="7" t="n">
        <v>70</v>
      </c>
    </row>
    <row r="102" ht="15" customHeight="1" s="5">
      <c r="A102" s="7" t="inlineStr">
        <is>
          <t>PRJ021</t>
        </is>
      </c>
      <c r="B102" s="7">
        <f>IFERROR(VLOOKUP(A102,Projects!$A:$AK,2,FALSE()),"")</f>
        <v/>
      </c>
      <c r="C102" s="7">
        <f>IFERROR(VLOOKUP(A102,Projects!$A:$AK,3,FALSE()),"")</f>
        <v/>
      </c>
      <c r="D102" s="7" t="n">
        <v>0</v>
      </c>
      <c r="E102" s="7">
        <f>IFERROR(YEAR(VLOOKUP(A102,Projects!$A:$AK,16,FALSE()))+D102,D102)</f>
        <v/>
      </c>
      <c r="F102" s="7">
        <f>IFERROR(VLOOKUP(A102,Projects!$A:$AK,21,FALSE()),"")</f>
        <v/>
      </c>
      <c r="G102" s="7">
        <f>IFERROR(VLOOKUP(A102,Projects!$A:$AK,22,FALSE()),"")</f>
        <v/>
      </c>
      <c r="H102" s="7">
        <f>F102+G102</f>
        <v/>
      </c>
      <c r="I102" s="7" t="n">
        <v>0</v>
      </c>
      <c r="J102" s="7" t="n">
        <v>0</v>
      </c>
      <c r="K102" s="7">
        <f>I102+J102</f>
        <v/>
      </c>
      <c r="L102" s="7">
        <f>K102-H102</f>
        <v/>
      </c>
      <c r="M102" s="7" t="inlineStr">
        <is>
          <t>Recurring</t>
        </is>
      </c>
      <c r="N102" s="7" t="inlineStr">
        <is>
          <t>Compliance</t>
        </is>
      </c>
      <c r="O102" s="7" t="n">
        <v>80</v>
      </c>
    </row>
    <row r="103" ht="15" customHeight="1" s="5">
      <c r="A103" s="7" t="inlineStr">
        <is>
          <t>PRJ021</t>
        </is>
      </c>
      <c r="B103" s="7">
        <f>IFERROR(VLOOKUP(A103,Projects!$A:$AK,2,FALSE()),"")</f>
        <v/>
      </c>
      <c r="C103" s="7">
        <f>IFERROR(VLOOKUP(A103,Projects!$A:$AK,3,FALSE()),"")</f>
        <v/>
      </c>
      <c r="D103" s="7" t="n">
        <v>1</v>
      </c>
      <c r="E103" s="7">
        <f>IFERROR(YEAR(VLOOKUP(A103,Projects!$A:$AK,16,FALSE()))+D103,D103)</f>
        <v/>
      </c>
      <c r="F103" s="7">
        <f>IFERROR(VLOOKUP(A103,Projects!$A:$AK,21,FALSE()),"")</f>
        <v/>
      </c>
      <c r="G103" s="7">
        <f>IFERROR(VLOOKUP(A103,Projects!$A:$AK,22,FALSE()),"")</f>
        <v/>
      </c>
      <c r="H103" s="7">
        <f>F103+G103</f>
        <v/>
      </c>
      <c r="I103" s="7" t="n">
        <v>2187373</v>
      </c>
      <c r="J103" s="7" t="n">
        <v>0</v>
      </c>
      <c r="K103" s="7">
        <f>I103+J103</f>
        <v/>
      </c>
      <c r="L103" s="7">
        <f>K103-H103</f>
        <v/>
      </c>
      <c r="M103" s="7" t="inlineStr">
        <is>
          <t>Recurring</t>
        </is>
      </c>
      <c r="N103" s="7" t="inlineStr">
        <is>
          <t>Compliance</t>
        </is>
      </c>
      <c r="O103" s="7" t="n">
        <v>90</v>
      </c>
    </row>
    <row r="104" ht="15" customHeight="1" s="5">
      <c r="A104" s="7" t="inlineStr">
        <is>
          <t>PRJ021</t>
        </is>
      </c>
      <c r="B104" s="7">
        <f>IFERROR(VLOOKUP(A104,Projects!$A:$AK,2,FALSE()),"")</f>
        <v/>
      </c>
      <c r="C104" s="7">
        <f>IFERROR(VLOOKUP(A104,Projects!$A:$AK,3,FALSE()),"")</f>
        <v/>
      </c>
      <c r="D104" s="7" t="n">
        <v>2</v>
      </c>
      <c r="E104" s="7">
        <f>IFERROR(YEAR(VLOOKUP(A104,Projects!$A:$AK,16,FALSE()))+D104,D104)</f>
        <v/>
      </c>
      <c r="F104" s="7">
        <f>IFERROR(VLOOKUP(A104,Projects!$A:$AK,21,FALSE()),"")</f>
        <v/>
      </c>
      <c r="G104" s="7">
        <f>IFERROR(VLOOKUP(A104,Projects!$A:$AK,22,FALSE()),"")</f>
        <v/>
      </c>
      <c r="H104" s="7">
        <f>F104+G104</f>
        <v/>
      </c>
      <c r="I104" s="7" t="n">
        <v>2118510</v>
      </c>
      <c r="J104" s="7" t="n">
        <v>0</v>
      </c>
      <c r="K104" s="7">
        <f>I104+J104</f>
        <v/>
      </c>
      <c r="L104" s="7">
        <f>K104-H104</f>
        <v/>
      </c>
      <c r="M104" s="7" t="inlineStr">
        <is>
          <t>Recurring</t>
        </is>
      </c>
      <c r="N104" s="7" t="inlineStr">
        <is>
          <t>Compliance</t>
        </is>
      </c>
      <c r="O104" s="7" t="n">
        <v>90</v>
      </c>
    </row>
    <row r="105" ht="15" customHeight="1" s="5">
      <c r="A105" s="7" t="inlineStr">
        <is>
          <t>PRJ021</t>
        </is>
      </c>
      <c r="B105" s="7">
        <f>IFERROR(VLOOKUP(A105,Projects!$A:$AK,2,FALSE()),"")</f>
        <v/>
      </c>
      <c r="C105" s="7">
        <f>IFERROR(VLOOKUP(A105,Projects!$A:$AK,3,FALSE()),"")</f>
        <v/>
      </c>
      <c r="D105" s="7" t="n">
        <v>3</v>
      </c>
      <c r="E105" s="7">
        <f>IFERROR(YEAR(VLOOKUP(A105,Projects!$A:$AK,16,FALSE()))+D105,D105)</f>
        <v/>
      </c>
      <c r="F105" s="7">
        <f>IFERROR(VLOOKUP(A105,Projects!$A:$AK,21,FALSE()),"")</f>
        <v/>
      </c>
      <c r="G105" s="7">
        <f>IFERROR(VLOOKUP(A105,Projects!$A:$AK,22,FALSE()),"")</f>
        <v/>
      </c>
      <c r="H105" s="7">
        <f>F105+G105</f>
        <v/>
      </c>
      <c r="I105" s="7" t="n">
        <v>2389439</v>
      </c>
      <c r="J105" s="7" t="n">
        <v>0</v>
      </c>
      <c r="K105" s="7">
        <f>I105+J105</f>
        <v/>
      </c>
      <c r="L105" s="7">
        <f>K105-H105</f>
        <v/>
      </c>
      <c r="M105" s="7" t="inlineStr">
        <is>
          <t>Recurring</t>
        </is>
      </c>
      <c r="N105" s="7" t="inlineStr">
        <is>
          <t>Compliance</t>
        </is>
      </c>
      <c r="O105" s="7" t="n">
        <v>60</v>
      </c>
    </row>
    <row r="106" ht="15" customHeight="1" s="5">
      <c r="A106" s="7" t="inlineStr">
        <is>
          <t>PRJ021</t>
        </is>
      </c>
      <c r="B106" s="7">
        <f>IFERROR(VLOOKUP(A106,Projects!$A:$AK,2,FALSE()),"")</f>
        <v/>
      </c>
      <c r="C106" s="7">
        <f>IFERROR(VLOOKUP(A106,Projects!$A:$AK,3,FALSE()),"")</f>
        <v/>
      </c>
      <c r="D106" s="7" t="n">
        <v>4</v>
      </c>
      <c r="E106" s="7">
        <f>IFERROR(YEAR(VLOOKUP(A106,Projects!$A:$AK,16,FALSE()))+D106,D106)</f>
        <v/>
      </c>
      <c r="F106" s="7">
        <f>IFERROR(VLOOKUP(A106,Projects!$A:$AK,21,FALSE()),"")</f>
        <v/>
      </c>
      <c r="G106" s="7">
        <f>IFERROR(VLOOKUP(A106,Projects!$A:$AK,22,FALSE()),"")</f>
        <v/>
      </c>
      <c r="H106" s="7">
        <f>F106+G106</f>
        <v/>
      </c>
      <c r="I106" s="7" t="n">
        <v>2257247</v>
      </c>
      <c r="J106" s="7" t="n">
        <v>0</v>
      </c>
      <c r="K106" s="7">
        <f>I106+J106</f>
        <v/>
      </c>
      <c r="L106" s="7">
        <f>K106-H106</f>
        <v/>
      </c>
      <c r="M106" s="7" t="inlineStr">
        <is>
          <t>Recurring</t>
        </is>
      </c>
      <c r="N106" s="7" t="inlineStr">
        <is>
          <t>Compliance</t>
        </is>
      </c>
      <c r="O106" s="7" t="n">
        <v>60</v>
      </c>
    </row>
    <row r="107" ht="15" customHeight="1" s="5">
      <c r="A107" s="7" t="inlineStr">
        <is>
          <t>PRJ022</t>
        </is>
      </c>
      <c r="B107" s="7">
        <f>IFERROR(VLOOKUP(A107,Projects!$A:$AK,2,FALSE()),"")</f>
        <v/>
      </c>
      <c r="C107" s="7">
        <f>IFERROR(VLOOKUP(A107,Projects!$A:$AK,3,FALSE()),"")</f>
        <v/>
      </c>
      <c r="D107" s="7" t="n">
        <v>0</v>
      </c>
      <c r="E107" s="7">
        <f>IFERROR(YEAR(VLOOKUP(A107,Projects!$A:$AK,16,FALSE()))+D107,D107)</f>
        <v/>
      </c>
      <c r="F107" s="7">
        <f>IFERROR(VLOOKUP(A107,Projects!$A:$AK,21,FALSE()),"")</f>
        <v/>
      </c>
      <c r="G107" s="7">
        <f>IFERROR(VLOOKUP(A107,Projects!$A:$AK,22,FALSE()),"")</f>
        <v/>
      </c>
      <c r="H107" s="7">
        <f>F107+G107</f>
        <v/>
      </c>
      <c r="I107" s="7" t="n">
        <v>0</v>
      </c>
      <c r="J107" s="7" t="n">
        <v>0</v>
      </c>
      <c r="K107" s="7">
        <f>I107+J107</f>
        <v/>
      </c>
      <c r="L107" s="7">
        <f>K107-H107</f>
        <v/>
      </c>
      <c r="M107" s="7" t="inlineStr">
        <is>
          <t>One-Off</t>
        </is>
      </c>
      <c r="N107" s="7" t="inlineStr">
        <is>
          <t>Compliance</t>
        </is>
      </c>
      <c r="O107" s="7" t="n">
        <v>70</v>
      </c>
    </row>
    <row r="108" ht="15" customHeight="1" s="5">
      <c r="A108" s="7" t="inlineStr">
        <is>
          <t>PRJ022</t>
        </is>
      </c>
      <c r="B108" s="7">
        <f>IFERROR(VLOOKUP(A108,Projects!$A:$AK,2,FALSE()),"")</f>
        <v/>
      </c>
      <c r="C108" s="7">
        <f>IFERROR(VLOOKUP(A108,Projects!$A:$AK,3,FALSE()),"")</f>
        <v/>
      </c>
      <c r="D108" s="7" t="n">
        <v>1</v>
      </c>
      <c r="E108" s="7">
        <f>IFERROR(YEAR(VLOOKUP(A108,Projects!$A:$AK,16,FALSE()))+D108,D108)</f>
        <v/>
      </c>
      <c r="F108" s="7">
        <f>IFERROR(VLOOKUP(A108,Projects!$A:$AK,21,FALSE()),"")</f>
        <v/>
      </c>
      <c r="G108" s="7">
        <f>IFERROR(VLOOKUP(A108,Projects!$A:$AK,22,FALSE()),"")</f>
        <v/>
      </c>
      <c r="H108" s="7">
        <f>F108+G108</f>
        <v/>
      </c>
      <c r="I108" s="7" t="n">
        <v>0</v>
      </c>
      <c r="J108" s="7" t="n">
        <v>2729899</v>
      </c>
      <c r="K108" s="7">
        <f>I108+J108</f>
        <v/>
      </c>
      <c r="L108" s="7">
        <f>K108-H108</f>
        <v/>
      </c>
      <c r="M108" s="7" t="inlineStr">
        <is>
          <t>One-Off</t>
        </is>
      </c>
      <c r="N108" s="7" t="inlineStr">
        <is>
          <t>Compliance</t>
        </is>
      </c>
      <c r="O108" s="7" t="n">
        <v>70</v>
      </c>
    </row>
    <row r="109" ht="15" customHeight="1" s="5">
      <c r="A109" s="7" t="inlineStr">
        <is>
          <t>PRJ022</t>
        </is>
      </c>
      <c r="B109" s="7">
        <f>IFERROR(VLOOKUP(A109,Projects!$A:$AK,2,FALSE()),"")</f>
        <v/>
      </c>
      <c r="C109" s="7">
        <f>IFERROR(VLOOKUP(A109,Projects!$A:$AK,3,FALSE()),"")</f>
        <v/>
      </c>
      <c r="D109" s="7" t="n">
        <v>2</v>
      </c>
      <c r="E109" s="7">
        <f>IFERROR(YEAR(VLOOKUP(A109,Projects!$A:$AK,16,FALSE()))+D109,D109)</f>
        <v/>
      </c>
      <c r="F109" s="7">
        <f>IFERROR(VLOOKUP(A109,Projects!$A:$AK,21,FALSE()),"")</f>
        <v/>
      </c>
      <c r="G109" s="7">
        <f>IFERROR(VLOOKUP(A109,Projects!$A:$AK,22,FALSE()),"")</f>
        <v/>
      </c>
      <c r="H109" s="7">
        <f>F109+G109</f>
        <v/>
      </c>
      <c r="I109" s="7" t="n">
        <v>0</v>
      </c>
      <c r="J109" s="7" t="n">
        <v>0</v>
      </c>
      <c r="K109" s="7">
        <f>I109+J109</f>
        <v/>
      </c>
      <c r="L109" s="7">
        <f>K109-H109</f>
        <v/>
      </c>
      <c r="M109" s="7" t="inlineStr">
        <is>
          <t>One-Off</t>
        </is>
      </c>
      <c r="N109" s="7" t="inlineStr">
        <is>
          <t>Compliance</t>
        </is>
      </c>
      <c r="O109" s="7" t="n">
        <v>70</v>
      </c>
    </row>
    <row r="110" ht="15" customHeight="1" s="5">
      <c r="A110" s="7" t="inlineStr">
        <is>
          <t>PRJ022</t>
        </is>
      </c>
      <c r="B110" s="7">
        <f>IFERROR(VLOOKUP(A110,Projects!$A:$AK,2,FALSE()),"")</f>
        <v/>
      </c>
      <c r="C110" s="7">
        <f>IFERROR(VLOOKUP(A110,Projects!$A:$AK,3,FALSE()),"")</f>
        <v/>
      </c>
      <c r="D110" s="7" t="n">
        <v>3</v>
      </c>
      <c r="E110" s="7">
        <f>IFERROR(YEAR(VLOOKUP(A110,Projects!$A:$AK,16,FALSE()))+D110,D110)</f>
        <v/>
      </c>
      <c r="F110" s="7">
        <f>IFERROR(VLOOKUP(A110,Projects!$A:$AK,21,FALSE()),"")</f>
        <v/>
      </c>
      <c r="G110" s="7">
        <f>IFERROR(VLOOKUP(A110,Projects!$A:$AK,22,FALSE()),"")</f>
        <v/>
      </c>
      <c r="H110" s="7">
        <f>F110+G110</f>
        <v/>
      </c>
      <c r="I110" s="7" t="n">
        <v>0</v>
      </c>
      <c r="J110" s="7" t="n">
        <v>0</v>
      </c>
      <c r="K110" s="7">
        <f>I110+J110</f>
        <v/>
      </c>
      <c r="L110" s="7">
        <f>K110-H110</f>
        <v/>
      </c>
      <c r="M110" s="7" t="inlineStr">
        <is>
          <t>One-Off</t>
        </is>
      </c>
      <c r="N110" s="7" t="inlineStr">
        <is>
          <t>Compliance</t>
        </is>
      </c>
      <c r="O110" s="7" t="n">
        <v>90</v>
      </c>
    </row>
    <row r="111" ht="15" customHeight="1" s="5">
      <c r="A111" s="7" t="inlineStr">
        <is>
          <t>PRJ022</t>
        </is>
      </c>
      <c r="B111" s="7">
        <f>IFERROR(VLOOKUP(A111,Projects!$A:$AK,2,FALSE()),"")</f>
        <v/>
      </c>
      <c r="C111" s="7">
        <f>IFERROR(VLOOKUP(A111,Projects!$A:$AK,3,FALSE()),"")</f>
        <v/>
      </c>
      <c r="D111" s="7" t="n">
        <v>4</v>
      </c>
      <c r="E111" s="7">
        <f>IFERROR(YEAR(VLOOKUP(A111,Projects!$A:$AK,16,FALSE()))+D111,D111)</f>
        <v/>
      </c>
      <c r="F111" s="7">
        <f>IFERROR(VLOOKUP(A111,Projects!$A:$AK,21,FALSE()),"")</f>
        <v/>
      </c>
      <c r="G111" s="7">
        <f>IFERROR(VLOOKUP(A111,Projects!$A:$AK,22,FALSE()),"")</f>
        <v/>
      </c>
      <c r="H111" s="7">
        <f>F111+G111</f>
        <v/>
      </c>
      <c r="I111" s="7" t="n">
        <v>0</v>
      </c>
      <c r="J111" s="7" t="n">
        <v>0</v>
      </c>
      <c r="K111" s="7">
        <f>I111+J111</f>
        <v/>
      </c>
      <c r="L111" s="7">
        <f>K111-H111</f>
        <v/>
      </c>
      <c r="M111" s="7" t="inlineStr">
        <is>
          <t>One-Off</t>
        </is>
      </c>
      <c r="N111" s="7" t="inlineStr">
        <is>
          <t>Compliance</t>
        </is>
      </c>
      <c r="O111" s="7" t="n">
        <v>80</v>
      </c>
    </row>
    <row r="112" ht="15" customHeight="1" s="5">
      <c r="A112" s="7" t="inlineStr">
        <is>
          <t>PRJ023</t>
        </is>
      </c>
      <c r="B112" s="7">
        <f>IFERROR(VLOOKUP(A112,Projects!$A:$AK,2,FALSE()),"")</f>
        <v/>
      </c>
      <c r="C112" s="7">
        <f>IFERROR(VLOOKUP(A112,Projects!$A:$AK,3,FALSE()),"")</f>
        <v/>
      </c>
      <c r="D112" s="7" t="n">
        <v>0</v>
      </c>
      <c r="E112" s="7">
        <f>IFERROR(YEAR(VLOOKUP(A112,Projects!$A:$AK,16,FALSE()))+D112,D112)</f>
        <v/>
      </c>
      <c r="F112" s="7">
        <f>IFERROR(VLOOKUP(A112,Projects!$A:$AK,21,FALSE()),"")</f>
        <v/>
      </c>
      <c r="G112" s="7">
        <f>IFERROR(VLOOKUP(A112,Projects!$A:$AK,22,FALSE()),"")</f>
        <v/>
      </c>
      <c r="H112" s="7">
        <f>F112+G112</f>
        <v/>
      </c>
      <c r="I112" s="7" t="n">
        <v>0</v>
      </c>
      <c r="J112" s="7" t="n">
        <v>0</v>
      </c>
      <c r="K112" s="7">
        <f>I112+J112</f>
        <v/>
      </c>
      <c r="L112" s="7">
        <f>K112-H112</f>
        <v/>
      </c>
      <c r="M112" s="7" t="inlineStr">
        <is>
          <t>Recurring</t>
        </is>
      </c>
      <c r="N112" s="7" t="inlineStr">
        <is>
          <t>Compliance</t>
        </is>
      </c>
      <c r="O112" s="7" t="n">
        <v>70</v>
      </c>
    </row>
    <row r="113" ht="15" customHeight="1" s="5">
      <c r="A113" s="7" t="inlineStr">
        <is>
          <t>PRJ023</t>
        </is>
      </c>
      <c r="B113" s="7">
        <f>IFERROR(VLOOKUP(A113,Projects!$A:$AK,2,FALSE()),"")</f>
        <v/>
      </c>
      <c r="C113" s="7">
        <f>IFERROR(VLOOKUP(A113,Projects!$A:$AK,3,FALSE()),"")</f>
        <v/>
      </c>
      <c r="D113" s="7" t="n">
        <v>1</v>
      </c>
      <c r="E113" s="7">
        <f>IFERROR(YEAR(VLOOKUP(A113,Projects!$A:$AK,16,FALSE()))+D113,D113)</f>
        <v/>
      </c>
      <c r="F113" s="7">
        <f>IFERROR(VLOOKUP(A113,Projects!$A:$AK,21,FALSE()),"")</f>
        <v/>
      </c>
      <c r="G113" s="7">
        <f>IFERROR(VLOOKUP(A113,Projects!$A:$AK,22,FALSE()),"")</f>
        <v/>
      </c>
      <c r="H113" s="7">
        <f>F113+G113</f>
        <v/>
      </c>
      <c r="I113" s="7" t="n">
        <v>1518227</v>
      </c>
      <c r="J113" s="7" t="n">
        <v>0</v>
      </c>
      <c r="K113" s="7">
        <f>I113+J113</f>
        <v/>
      </c>
      <c r="L113" s="7">
        <f>K113-H113</f>
        <v/>
      </c>
      <c r="M113" s="7" t="inlineStr">
        <is>
          <t>Recurring</t>
        </is>
      </c>
      <c r="N113" s="7" t="inlineStr">
        <is>
          <t>Compliance</t>
        </is>
      </c>
      <c r="O113" s="7" t="n">
        <v>80</v>
      </c>
    </row>
    <row r="114" ht="15" customHeight="1" s="5">
      <c r="A114" s="7" t="inlineStr">
        <is>
          <t>PRJ023</t>
        </is>
      </c>
      <c r="B114" s="7">
        <f>IFERROR(VLOOKUP(A114,Projects!$A:$AK,2,FALSE()),"")</f>
        <v/>
      </c>
      <c r="C114" s="7">
        <f>IFERROR(VLOOKUP(A114,Projects!$A:$AK,3,FALSE()),"")</f>
        <v/>
      </c>
      <c r="D114" s="7" t="n">
        <v>2</v>
      </c>
      <c r="E114" s="7">
        <f>IFERROR(YEAR(VLOOKUP(A114,Projects!$A:$AK,16,FALSE()))+D114,D114)</f>
        <v/>
      </c>
      <c r="F114" s="7">
        <f>IFERROR(VLOOKUP(A114,Projects!$A:$AK,21,FALSE()),"")</f>
        <v/>
      </c>
      <c r="G114" s="7">
        <f>IFERROR(VLOOKUP(A114,Projects!$A:$AK,22,FALSE()),"")</f>
        <v/>
      </c>
      <c r="H114" s="7">
        <f>F114+G114</f>
        <v/>
      </c>
      <c r="I114" s="7" t="n">
        <v>1665240</v>
      </c>
      <c r="J114" s="7" t="n">
        <v>0</v>
      </c>
      <c r="K114" s="7">
        <f>I114+J114</f>
        <v/>
      </c>
      <c r="L114" s="7">
        <f>K114-H114</f>
        <v/>
      </c>
      <c r="M114" s="7" t="inlineStr">
        <is>
          <t>Recurring</t>
        </is>
      </c>
      <c r="N114" s="7" t="inlineStr">
        <is>
          <t>Compliance</t>
        </is>
      </c>
      <c r="O114" s="7" t="n">
        <v>80</v>
      </c>
    </row>
    <row r="115" ht="15" customHeight="1" s="5">
      <c r="A115" s="7" t="inlineStr">
        <is>
          <t>PRJ023</t>
        </is>
      </c>
      <c r="B115" s="7">
        <f>IFERROR(VLOOKUP(A115,Projects!$A:$AK,2,FALSE()),"")</f>
        <v/>
      </c>
      <c r="C115" s="7">
        <f>IFERROR(VLOOKUP(A115,Projects!$A:$AK,3,FALSE()),"")</f>
        <v/>
      </c>
      <c r="D115" s="7" t="n">
        <v>3</v>
      </c>
      <c r="E115" s="7">
        <f>IFERROR(YEAR(VLOOKUP(A115,Projects!$A:$AK,16,FALSE()))+D115,D115)</f>
        <v/>
      </c>
      <c r="F115" s="7">
        <f>IFERROR(VLOOKUP(A115,Projects!$A:$AK,21,FALSE()),"")</f>
        <v/>
      </c>
      <c r="G115" s="7">
        <f>IFERROR(VLOOKUP(A115,Projects!$A:$AK,22,FALSE()),"")</f>
        <v/>
      </c>
      <c r="H115" s="7">
        <f>F115+G115</f>
        <v/>
      </c>
      <c r="I115" s="7" t="n">
        <v>1369014</v>
      </c>
      <c r="J115" s="7" t="n">
        <v>0</v>
      </c>
      <c r="K115" s="7">
        <f>I115+J115</f>
        <v/>
      </c>
      <c r="L115" s="7">
        <f>K115-H115</f>
        <v/>
      </c>
      <c r="M115" s="7" t="inlineStr">
        <is>
          <t>Recurring</t>
        </is>
      </c>
      <c r="N115" s="7" t="inlineStr">
        <is>
          <t>Compliance</t>
        </is>
      </c>
      <c r="O115" s="7" t="n">
        <v>80</v>
      </c>
    </row>
    <row r="116" ht="15" customHeight="1" s="5">
      <c r="A116" s="7" t="inlineStr">
        <is>
          <t>PRJ023</t>
        </is>
      </c>
      <c r="B116" s="7">
        <f>IFERROR(VLOOKUP(A116,Projects!$A:$AK,2,FALSE()),"")</f>
        <v/>
      </c>
      <c r="C116" s="7">
        <f>IFERROR(VLOOKUP(A116,Projects!$A:$AK,3,FALSE()),"")</f>
        <v/>
      </c>
      <c r="D116" s="7" t="n">
        <v>4</v>
      </c>
      <c r="E116" s="7">
        <f>IFERROR(YEAR(VLOOKUP(A116,Projects!$A:$AK,16,FALSE()))+D116,D116)</f>
        <v/>
      </c>
      <c r="F116" s="7">
        <f>IFERROR(VLOOKUP(A116,Projects!$A:$AK,21,FALSE()),"")</f>
        <v/>
      </c>
      <c r="G116" s="7">
        <f>IFERROR(VLOOKUP(A116,Projects!$A:$AK,22,FALSE()),"")</f>
        <v/>
      </c>
      <c r="H116" s="7">
        <f>F116+G116</f>
        <v/>
      </c>
      <c r="I116" s="7" t="n">
        <v>1348892</v>
      </c>
      <c r="J116" s="7" t="n">
        <v>0</v>
      </c>
      <c r="K116" s="7">
        <f>I116+J116</f>
        <v/>
      </c>
      <c r="L116" s="7">
        <f>K116-H116</f>
        <v/>
      </c>
      <c r="M116" s="7" t="inlineStr">
        <is>
          <t>Recurring</t>
        </is>
      </c>
      <c r="N116" s="7" t="inlineStr">
        <is>
          <t>Compliance</t>
        </is>
      </c>
      <c r="O116" s="7" t="n">
        <v>80</v>
      </c>
    </row>
    <row r="117" ht="15" customHeight="1" s="5">
      <c r="A117" s="7" t="inlineStr">
        <is>
          <t>PRJ024</t>
        </is>
      </c>
      <c r="B117" s="7">
        <f>IFERROR(VLOOKUP(A117,Projects!$A:$AK,2,FALSE()),"")</f>
        <v/>
      </c>
      <c r="C117" s="7">
        <f>IFERROR(VLOOKUP(A117,Projects!$A:$AK,3,FALSE()),"")</f>
        <v/>
      </c>
      <c r="D117" s="7" t="n">
        <v>0</v>
      </c>
      <c r="E117" s="7">
        <f>IFERROR(YEAR(VLOOKUP(A117,Projects!$A:$AK,16,FALSE()))+D117,D117)</f>
        <v/>
      </c>
      <c r="F117" s="7">
        <f>IFERROR(VLOOKUP(A117,Projects!$A:$AK,21,FALSE()),"")</f>
        <v/>
      </c>
      <c r="G117" s="7">
        <f>IFERROR(VLOOKUP(A117,Projects!$A:$AK,22,FALSE()),"")</f>
        <v/>
      </c>
      <c r="H117" s="7">
        <f>F117+G117</f>
        <v/>
      </c>
      <c r="I117" s="7" t="n">
        <v>0</v>
      </c>
      <c r="J117" s="7" t="n">
        <v>0</v>
      </c>
      <c r="K117" s="7">
        <f>I117+J117</f>
        <v/>
      </c>
      <c r="L117" s="7">
        <f>K117-H117</f>
        <v/>
      </c>
      <c r="M117" s="7" t="inlineStr">
        <is>
          <t>Recurring</t>
        </is>
      </c>
      <c r="N117" s="7" t="inlineStr">
        <is>
          <t>Cost Savings</t>
        </is>
      </c>
      <c r="O117" s="7" t="n">
        <v>90</v>
      </c>
    </row>
    <row r="118" ht="15" customHeight="1" s="5">
      <c r="A118" s="7" t="inlineStr">
        <is>
          <t>PRJ024</t>
        </is>
      </c>
      <c r="B118" s="7">
        <f>IFERROR(VLOOKUP(A118,Projects!$A:$AK,2,FALSE()),"")</f>
        <v/>
      </c>
      <c r="C118" s="7">
        <f>IFERROR(VLOOKUP(A118,Projects!$A:$AK,3,FALSE()),"")</f>
        <v/>
      </c>
      <c r="D118" s="7" t="n">
        <v>1</v>
      </c>
      <c r="E118" s="7">
        <f>IFERROR(YEAR(VLOOKUP(A118,Projects!$A:$AK,16,FALSE()))+D118,D118)</f>
        <v/>
      </c>
      <c r="F118" s="7">
        <f>IFERROR(VLOOKUP(A118,Projects!$A:$AK,21,FALSE()),"")</f>
        <v/>
      </c>
      <c r="G118" s="7">
        <f>IFERROR(VLOOKUP(A118,Projects!$A:$AK,22,FALSE()),"")</f>
        <v/>
      </c>
      <c r="H118" s="7">
        <f>F118+G118</f>
        <v/>
      </c>
      <c r="I118" s="7" t="n">
        <v>328407</v>
      </c>
      <c r="J118" s="7" t="n">
        <v>0</v>
      </c>
      <c r="K118" s="7">
        <f>I118+J118</f>
        <v/>
      </c>
      <c r="L118" s="7">
        <f>K118-H118</f>
        <v/>
      </c>
      <c r="M118" s="7" t="inlineStr">
        <is>
          <t>Recurring</t>
        </is>
      </c>
      <c r="N118" s="7" t="inlineStr">
        <is>
          <t>Cost Savings</t>
        </is>
      </c>
      <c r="O118" s="7" t="n">
        <v>60</v>
      </c>
    </row>
    <row r="119" ht="15" customHeight="1" s="5">
      <c r="A119" s="7" t="inlineStr">
        <is>
          <t>PRJ024</t>
        </is>
      </c>
      <c r="B119" s="7">
        <f>IFERROR(VLOOKUP(A119,Projects!$A:$AK,2,FALSE()),"")</f>
        <v/>
      </c>
      <c r="C119" s="7">
        <f>IFERROR(VLOOKUP(A119,Projects!$A:$AK,3,FALSE()),"")</f>
        <v/>
      </c>
      <c r="D119" s="7" t="n">
        <v>2</v>
      </c>
      <c r="E119" s="7">
        <f>IFERROR(YEAR(VLOOKUP(A119,Projects!$A:$AK,16,FALSE()))+D119,D119)</f>
        <v/>
      </c>
      <c r="F119" s="7">
        <f>IFERROR(VLOOKUP(A119,Projects!$A:$AK,21,FALSE()),"")</f>
        <v/>
      </c>
      <c r="G119" s="7">
        <f>IFERROR(VLOOKUP(A119,Projects!$A:$AK,22,FALSE()),"")</f>
        <v/>
      </c>
      <c r="H119" s="7">
        <f>F119+G119</f>
        <v/>
      </c>
      <c r="I119" s="7" t="n">
        <v>289938</v>
      </c>
      <c r="J119" s="7" t="n">
        <v>0</v>
      </c>
      <c r="K119" s="7">
        <f>I119+J119</f>
        <v/>
      </c>
      <c r="L119" s="7">
        <f>K119-H119</f>
        <v/>
      </c>
      <c r="M119" s="7" t="inlineStr">
        <is>
          <t>Recurring</t>
        </is>
      </c>
      <c r="N119" s="7" t="inlineStr">
        <is>
          <t>Cost Savings</t>
        </is>
      </c>
      <c r="O119" s="7" t="n">
        <v>70</v>
      </c>
    </row>
    <row r="120" ht="15" customHeight="1" s="5">
      <c r="A120" s="7" t="inlineStr">
        <is>
          <t>PRJ024</t>
        </is>
      </c>
      <c r="B120" s="7">
        <f>IFERROR(VLOOKUP(A120,Projects!$A:$AK,2,FALSE()),"")</f>
        <v/>
      </c>
      <c r="C120" s="7">
        <f>IFERROR(VLOOKUP(A120,Projects!$A:$AK,3,FALSE()),"")</f>
        <v/>
      </c>
      <c r="D120" s="7" t="n">
        <v>3</v>
      </c>
      <c r="E120" s="7">
        <f>IFERROR(YEAR(VLOOKUP(A120,Projects!$A:$AK,16,FALSE()))+D120,D120)</f>
        <v/>
      </c>
      <c r="F120" s="7">
        <f>IFERROR(VLOOKUP(A120,Projects!$A:$AK,21,FALSE()),"")</f>
        <v/>
      </c>
      <c r="G120" s="7">
        <f>IFERROR(VLOOKUP(A120,Projects!$A:$AK,22,FALSE()),"")</f>
        <v/>
      </c>
      <c r="H120" s="7">
        <f>F120+G120</f>
        <v/>
      </c>
      <c r="I120" s="7" t="n">
        <v>266274</v>
      </c>
      <c r="J120" s="7" t="n">
        <v>0</v>
      </c>
      <c r="K120" s="7">
        <f>I120+J120</f>
        <v/>
      </c>
      <c r="L120" s="7">
        <f>K120-H120</f>
        <v/>
      </c>
      <c r="M120" s="7" t="inlineStr">
        <is>
          <t>Recurring</t>
        </is>
      </c>
      <c r="N120" s="7" t="inlineStr">
        <is>
          <t>Cost Savings</t>
        </is>
      </c>
      <c r="O120" s="7" t="n">
        <v>60</v>
      </c>
    </row>
    <row r="121" ht="15" customHeight="1" s="5">
      <c r="A121" s="7" t="inlineStr">
        <is>
          <t>PRJ024</t>
        </is>
      </c>
      <c r="B121" s="7">
        <f>IFERROR(VLOOKUP(A121,Projects!$A:$AK,2,FALSE()),"")</f>
        <v/>
      </c>
      <c r="C121" s="7">
        <f>IFERROR(VLOOKUP(A121,Projects!$A:$AK,3,FALSE()),"")</f>
        <v/>
      </c>
      <c r="D121" s="7" t="n">
        <v>4</v>
      </c>
      <c r="E121" s="7">
        <f>IFERROR(YEAR(VLOOKUP(A121,Projects!$A:$AK,16,FALSE()))+D121,D121)</f>
        <v/>
      </c>
      <c r="F121" s="7">
        <f>IFERROR(VLOOKUP(A121,Projects!$A:$AK,21,FALSE()),"")</f>
        <v/>
      </c>
      <c r="G121" s="7">
        <f>IFERROR(VLOOKUP(A121,Projects!$A:$AK,22,FALSE()),"")</f>
        <v/>
      </c>
      <c r="H121" s="7">
        <f>F121+G121</f>
        <v/>
      </c>
      <c r="I121" s="7" t="n">
        <v>285039</v>
      </c>
      <c r="J121" s="7" t="n">
        <v>0</v>
      </c>
      <c r="K121" s="7">
        <f>I121+J121</f>
        <v/>
      </c>
      <c r="L121" s="7">
        <f>K121-H121</f>
        <v/>
      </c>
      <c r="M121" s="7" t="inlineStr">
        <is>
          <t>Recurring</t>
        </is>
      </c>
      <c r="N121" s="7" t="inlineStr">
        <is>
          <t>Cost Savings</t>
        </is>
      </c>
      <c r="O121" s="7" t="n">
        <v>60</v>
      </c>
    </row>
    <row r="122" ht="15" customHeight="1" s="5">
      <c r="A122" s="7" t="inlineStr">
        <is>
          <t>PRJ025</t>
        </is>
      </c>
      <c r="B122" s="7">
        <f>IFERROR(VLOOKUP(A122,Projects!$A:$AK,2,FALSE()),"")</f>
        <v/>
      </c>
      <c r="C122" s="7">
        <f>IFERROR(VLOOKUP(A122,Projects!$A:$AK,3,FALSE()),"")</f>
        <v/>
      </c>
      <c r="D122" s="7" t="n">
        <v>0</v>
      </c>
      <c r="E122" s="7">
        <f>IFERROR(YEAR(VLOOKUP(A122,Projects!$A:$AK,16,FALSE()))+D122,D122)</f>
        <v/>
      </c>
      <c r="F122" s="7">
        <f>IFERROR(VLOOKUP(A122,Projects!$A:$AK,21,FALSE()),"")</f>
        <v/>
      </c>
      <c r="G122" s="7">
        <f>IFERROR(VLOOKUP(A122,Projects!$A:$AK,22,FALSE()),"")</f>
        <v/>
      </c>
      <c r="H122" s="7">
        <f>F122+G122</f>
        <v/>
      </c>
      <c r="I122" s="7" t="n">
        <v>0</v>
      </c>
      <c r="J122" s="7" t="n">
        <v>0</v>
      </c>
      <c r="K122" s="7">
        <f>I122+J122</f>
        <v/>
      </c>
      <c r="L122" s="7">
        <f>K122-H122</f>
        <v/>
      </c>
      <c r="M122" s="7" t="inlineStr">
        <is>
          <t>Recurring</t>
        </is>
      </c>
      <c r="N122" s="7" t="inlineStr">
        <is>
          <t>Cost Savings</t>
        </is>
      </c>
      <c r="O122" s="7" t="n">
        <v>60</v>
      </c>
    </row>
    <row r="123" ht="15" customHeight="1" s="5">
      <c r="A123" s="7" t="inlineStr">
        <is>
          <t>PRJ025</t>
        </is>
      </c>
      <c r="B123" s="7">
        <f>IFERROR(VLOOKUP(A123,Projects!$A:$AK,2,FALSE()),"")</f>
        <v/>
      </c>
      <c r="C123" s="7">
        <f>IFERROR(VLOOKUP(A123,Projects!$A:$AK,3,FALSE()),"")</f>
        <v/>
      </c>
      <c r="D123" s="7" t="n">
        <v>1</v>
      </c>
      <c r="E123" s="7">
        <f>IFERROR(YEAR(VLOOKUP(A123,Projects!$A:$AK,16,FALSE()))+D123,D123)</f>
        <v/>
      </c>
      <c r="F123" s="7">
        <f>IFERROR(VLOOKUP(A123,Projects!$A:$AK,21,FALSE()),"")</f>
        <v/>
      </c>
      <c r="G123" s="7">
        <f>IFERROR(VLOOKUP(A123,Projects!$A:$AK,22,FALSE()),"")</f>
        <v/>
      </c>
      <c r="H123" s="7">
        <f>F123+G123</f>
        <v/>
      </c>
      <c r="I123" s="7" t="n">
        <v>557802</v>
      </c>
      <c r="J123" s="7" t="n">
        <v>0</v>
      </c>
      <c r="K123" s="7">
        <f>I123+J123</f>
        <v/>
      </c>
      <c r="L123" s="7">
        <f>K123-H123</f>
        <v/>
      </c>
      <c r="M123" s="7" t="inlineStr">
        <is>
          <t>Recurring</t>
        </is>
      </c>
      <c r="N123" s="7" t="inlineStr">
        <is>
          <t>Cost Savings</t>
        </is>
      </c>
      <c r="O123" s="7" t="n">
        <v>80</v>
      </c>
    </row>
    <row r="124" ht="15" customHeight="1" s="5">
      <c r="A124" s="7" t="inlineStr">
        <is>
          <t>PRJ025</t>
        </is>
      </c>
      <c r="B124" s="7">
        <f>IFERROR(VLOOKUP(A124,Projects!$A:$AK,2,FALSE()),"")</f>
        <v/>
      </c>
      <c r="C124" s="7">
        <f>IFERROR(VLOOKUP(A124,Projects!$A:$AK,3,FALSE()),"")</f>
        <v/>
      </c>
      <c r="D124" s="7" t="n">
        <v>2</v>
      </c>
      <c r="E124" s="7">
        <f>IFERROR(YEAR(VLOOKUP(A124,Projects!$A:$AK,16,FALSE()))+D124,D124)</f>
        <v/>
      </c>
      <c r="F124" s="7">
        <f>IFERROR(VLOOKUP(A124,Projects!$A:$AK,21,FALSE()),"")</f>
        <v/>
      </c>
      <c r="G124" s="7">
        <f>IFERROR(VLOOKUP(A124,Projects!$A:$AK,22,FALSE()),"")</f>
        <v/>
      </c>
      <c r="H124" s="7">
        <f>F124+G124</f>
        <v/>
      </c>
      <c r="I124" s="7" t="n">
        <v>570031</v>
      </c>
      <c r="J124" s="7" t="n">
        <v>0</v>
      </c>
      <c r="K124" s="7">
        <f>I124+J124</f>
        <v/>
      </c>
      <c r="L124" s="7">
        <f>K124-H124</f>
        <v/>
      </c>
      <c r="M124" s="7" t="inlineStr">
        <is>
          <t>Recurring</t>
        </is>
      </c>
      <c r="N124" s="7" t="inlineStr">
        <is>
          <t>Cost Savings</t>
        </is>
      </c>
      <c r="O124" s="7" t="n">
        <v>70</v>
      </c>
    </row>
    <row r="125" ht="15" customHeight="1" s="5">
      <c r="A125" s="7" t="inlineStr">
        <is>
          <t>PRJ025</t>
        </is>
      </c>
      <c r="B125" s="7">
        <f>IFERROR(VLOOKUP(A125,Projects!$A:$AK,2,FALSE()),"")</f>
        <v/>
      </c>
      <c r="C125" s="7">
        <f>IFERROR(VLOOKUP(A125,Projects!$A:$AK,3,FALSE()),"")</f>
        <v/>
      </c>
      <c r="D125" s="7" t="n">
        <v>3</v>
      </c>
      <c r="E125" s="7">
        <f>IFERROR(YEAR(VLOOKUP(A125,Projects!$A:$AK,16,FALSE()))+D125,D125)</f>
        <v/>
      </c>
      <c r="F125" s="7">
        <f>IFERROR(VLOOKUP(A125,Projects!$A:$AK,21,FALSE()),"")</f>
        <v/>
      </c>
      <c r="G125" s="7">
        <f>IFERROR(VLOOKUP(A125,Projects!$A:$AK,22,FALSE()),"")</f>
        <v/>
      </c>
      <c r="H125" s="7">
        <f>F125+G125</f>
        <v/>
      </c>
      <c r="I125" s="7" t="n">
        <v>508780</v>
      </c>
      <c r="J125" s="7" t="n">
        <v>0</v>
      </c>
      <c r="K125" s="7">
        <f>I125+J125</f>
        <v/>
      </c>
      <c r="L125" s="7">
        <f>K125-H125</f>
        <v/>
      </c>
      <c r="M125" s="7" t="inlineStr">
        <is>
          <t>Recurring</t>
        </is>
      </c>
      <c r="N125" s="7" t="inlineStr">
        <is>
          <t>Cost Savings</t>
        </is>
      </c>
      <c r="O125" s="7" t="n">
        <v>70</v>
      </c>
    </row>
    <row r="126" ht="15" customHeight="1" s="5">
      <c r="A126" s="7" t="inlineStr">
        <is>
          <t>PRJ025</t>
        </is>
      </c>
      <c r="B126" s="7">
        <f>IFERROR(VLOOKUP(A126,Projects!$A:$AK,2,FALSE()),"")</f>
        <v/>
      </c>
      <c r="C126" s="7">
        <f>IFERROR(VLOOKUP(A126,Projects!$A:$AK,3,FALSE()),"")</f>
        <v/>
      </c>
      <c r="D126" s="7" t="n">
        <v>4</v>
      </c>
      <c r="E126" s="7">
        <f>IFERROR(YEAR(VLOOKUP(A126,Projects!$A:$AK,16,FALSE()))+D126,D126)</f>
        <v/>
      </c>
      <c r="F126" s="7">
        <f>IFERROR(VLOOKUP(A126,Projects!$A:$AK,21,FALSE()),"")</f>
        <v/>
      </c>
      <c r="G126" s="7">
        <f>IFERROR(VLOOKUP(A126,Projects!$A:$AK,22,FALSE()),"")</f>
        <v/>
      </c>
      <c r="H126" s="7">
        <f>F126+G126</f>
        <v/>
      </c>
      <c r="I126" s="7" t="n">
        <v>485411</v>
      </c>
      <c r="J126" s="7" t="n">
        <v>0</v>
      </c>
      <c r="K126" s="7">
        <f>I126+J126</f>
        <v/>
      </c>
      <c r="L126" s="7">
        <f>K126-H126</f>
        <v/>
      </c>
      <c r="M126" s="7" t="inlineStr">
        <is>
          <t>Recurring</t>
        </is>
      </c>
      <c r="N126" s="7" t="inlineStr">
        <is>
          <t>Cost Savings</t>
        </is>
      </c>
      <c r="O126" s="7" t="n">
        <v>90</v>
      </c>
    </row>
    <row r="127" ht="15" customHeight="1" s="5">
      <c r="A127" s="7" t="inlineStr">
        <is>
          <t>PRJ026</t>
        </is>
      </c>
      <c r="B127" s="7">
        <f>IFERROR(VLOOKUP(A127,Projects!$A:$AK,2,FALSE()),"")</f>
        <v/>
      </c>
      <c r="C127" s="7">
        <f>IFERROR(VLOOKUP(A127,Projects!$A:$AK,3,FALSE()),"")</f>
        <v/>
      </c>
      <c r="D127" s="7" t="n">
        <v>0</v>
      </c>
      <c r="E127" s="7">
        <f>IFERROR(YEAR(VLOOKUP(A127,Projects!$A:$AK,16,FALSE()))+D127,D127)</f>
        <v/>
      </c>
      <c r="F127" s="7">
        <f>IFERROR(VLOOKUP(A127,Projects!$A:$AK,21,FALSE()),"")</f>
        <v/>
      </c>
      <c r="G127" s="7">
        <f>IFERROR(VLOOKUP(A127,Projects!$A:$AK,22,FALSE()),"")</f>
        <v/>
      </c>
      <c r="H127" s="7">
        <f>F127+G127</f>
        <v/>
      </c>
      <c r="I127" s="7" t="n">
        <v>0</v>
      </c>
      <c r="J127" s="7" t="n">
        <v>0</v>
      </c>
      <c r="K127" s="7">
        <f>I127+J127</f>
        <v/>
      </c>
      <c r="L127" s="7">
        <f>K127-H127</f>
        <v/>
      </c>
      <c r="M127" s="7" t="inlineStr">
        <is>
          <t>Recurring</t>
        </is>
      </c>
      <c r="N127" s="7" t="inlineStr">
        <is>
          <t>Cost Savings</t>
        </is>
      </c>
      <c r="O127" s="7" t="n">
        <v>70</v>
      </c>
    </row>
    <row r="128" ht="15" customHeight="1" s="5">
      <c r="A128" s="7" t="inlineStr">
        <is>
          <t>PRJ026</t>
        </is>
      </c>
      <c r="B128" s="7">
        <f>IFERROR(VLOOKUP(A128,Projects!$A:$AK,2,FALSE()),"")</f>
        <v/>
      </c>
      <c r="C128" s="7">
        <f>IFERROR(VLOOKUP(A128,Projects!$A:$AK,3,FALSE()),"")</f>
        <v/>
      </c>
      <c r="D128" s="7" t="n">
        <v>1</v>
      </c>
      <c r="E128" s="7">
        <f>IFERROR(YEAR(VLOOKUP(A128,Projects!$A:$AK,16,FALSE()))+D128,D128)</f>
        <v/>
      </c>
      <c r="F128" s="7">
        <f>IFERROR(VLOOKUP(A128,Projects!$A:$AK,21,FALSE()),"")</f>
        <v/>
      </c>
      <c r="G128" s="7">
        <f>IFERROR(VLOOKUP(A128,Projects!$A:$AK,22,FALSE()),"")</f>
        <v/>
      </c>
      <c r="H128" s="7">
        <f>F128+G128</f>
        <v/>
      </c>
      <c r="I128" s="7" t="n">
        <v>1692598</v>
      </c>
      <c r="J128" s="7" t="n">
        <v>0</v>
      </c>
      <c r="K128" s="7">
        <f>I128+J128</f>
        <v/>
      </c>
      <c r="L128" s="7">
        <f>K128-H128</f>
        <v/>
      </c>
      <c r="M128" s="7" t="inlineStr">
        <is>
          <t>Recurring</t>
        </is>
      </c>
      <c r="N128" s="7" t="inlineStr">
        <is>
          <t>Cost Savings</t>
        </is>
      </c>
      <c r="O128" s="7" t="n">
        <v>80</v>
      </c>
    </row>
    <row r="129" ht="15" customHeight="1" s="5">
      <c r="A129" s="7" t="inlineStr">
        <is>
          <t>PRJ026</t>
        </is>
      </c>
      <c r="B129" s="7">
        <f>IFERROR(VLOOKUP(A129,Projects!$A:$AK,2,FALSE()),"")</f>
        <v/>
      </c>
      <c r="C129" s="7">
        <f>IFERROR(VLOOKUP(A129,Projects!$A:$AK,3,FALSE()),"")</f>
        <v/>
      </c>
      <c r="D129" s="7" t="n">
        <v>2</v>
      </c>
      <c r="E129" s="7">
        <f>IFERROR(YEAR(VLOOKUP(A129,Projects!$A:$AK,16,FALSE()))+D129,D129)</f>
        <v/>
      </c>
      <c r="F129" s="7">
        <f>IFERROR(VLOOKUP(A129,Projects!$A:$AK,21,FALSE()),"")</f>
        <v/>
      </c>
      <c r="G129" s="7">
        <f>IFERROR(VLOOKUP(A129,Projects!$A:$AK,22,FALSE()),"")</f>
        <v/>
      </c>
      <c r="H129" s="7">
        <f>F129+G129</f>
        <v/>
      </c>
      <c r="I129" s="7" t="n">
        <v>1603427</v>
      </c>
      <c r="J129" s="7" t="n">
        <v>0</v>
      </c>
      <c r="K129" s="7">
        <f>I129+J129</f>
        <v/>
      </c>
      <c r="L129" s="7">
        <f>K129-H129</f>
        <v/>
      </c>
      <c r="M129" s="7" t="inlineStr">
        <is>
          <t>Recurring</t>
        </is>
      </c>
      <c r="N129" s="7" t="inlineStr">
        <is>
          <t>Cost Savings</t>
        </is>
      </c>
      <c r="O129" s="7" t="n">
        <v>70</v>
      </c>
    </row>
    <row r="130" ht="15" customHeight="1" s="5">
      <c r="A130" s="7" t="inlineStr">
        <is>
          <t>PRJ026</t>
        </is>
      </c>
      <c r="B130" s="7">
        <f>IFERROR(VLOOKUP(A130,Projects!$A:$AK,2,FALSE()),"")</f>
        <v/>
      </c>
      <c r="C130" s="7">
        <f>IFERROR(VLOOKUP(A130,Projects!$A:$AK,3,FALSE()),"")</f>
        <v/>
      </c>
      <c r="D130" s="7" t="n">
        <v>3</v>
      </c>
      <c r="E130" s="7">
        <f>IFERROR(YEAR(VLOOKUP(A130,Projects!$A:$AK,16,FALSE()))+D130,D130)</f>
        <v/>
      </c>
      <c r="F130" s="7">
        <f>IFERROR(VLOOKUP(A130,Projects!$A:$AK,21,FALSE()),"")</f>
        <v/>
      </c>
      <c r="G130" s="7">
        <f>IFERROR(VLOOKUP(A130,Projects!$A:$AK,22,FALSE()),"")</f>
        <v/>
      </c>
      <c r="H130" s="7">
        <f>F130+G130</f>
        <v/>
      </c>
      <c r="I130" s="7" t="n">
        <v>1394812</v>
      </c>
      <c r="J130" s="7" t="n">
        <v>0</v>
      </c>
      <c r="K130" s="7">
        <f>I130+J130</f>
        <v/>
      </c>
      <c r="L130" s="7">
        <f>K130-H130</f>
        <v/>
      </c>
      <c r="M130" s="7" t="inlineStr">
        <is>
          <t>Recurring</t>
        </is>
      </c>
      <c r="N130" s="7" t="inlineStr">
        <is>
          <t>Cost Savings</t>
        </is>
      </c>
      <c r="O130" s="7" t="n">
        <v>60</v>
      </c>
    </row>
    <row r="131" ht="15" customHeight="1" s="5">
      <c r="A131" s="7" t="inlineStr">
        <is>
          <t>PRJ026</t>
        </is>
      </c>
      <c r="B131" s="7">
        <f>IFERROR(VLOOKUP(A131,Projects!$A:$AK,2,FALSE()),"")</f>
        <v/>
      </c>
      <c r="C131" s="7">
        <f>IFERROR(VLOOKUP(A131,Projects!$A:$AK,3,FALSE()),"")</f>
        <v/>
      </c>
      <c r="D131" s="7" t="n">
        <v>4</v>
      </c>
      <c r="E131" s="7">
        <f>IFERROR(YEAR(VLOOKUP(A131,Projects!$A:$AK,16,FALSE()))+D131,D131)</f>
        <v/>
      </c>
      <c r="F131" s="7">
        <f>IFERROR(VLOOKUP(A131,Projects!$A:$AK,21,FALSE()),"")</f>
        <v/>
      </c>
      <c r="G131" s="7">
        <f>IFERROR(VLOOKUP(A131,Projects!$A:$AK,22,FALSE()),"")</f>
        <v/>
      </c>
      <c r="H131" s="7">
        <f>F131+G131</f>
        <v/>
      </c>
      <c r="I131" s="7" t="n">
        <v>1447654</v>
      </c>
      <c r="J131" s="7" t="n">
        <v>0</v>
      </c>
      <c r="K131" s="7">
        <f>I131+J131</f>
        <v/>
      </c>
      <c r="L131" s="7">
        <f>K131-H131</f>
        <v/>
      </c>
      <c r="M131" s="7" t="inlineStr">
        <is>
          <t>Recurring</t>
        </is>
      </c>
      <c r="N131" s="7" t="inlineStr">
        <is>
          <t>Cost Savings</t>
        </is>
      </c>
      <c r="O131" s="7" t="n">
        <v>70</v>
      </c>
    </row>
    <row r="132" ht="15" customHeight="1" s="5">
      <c r="A132" s="7" t="inlineStr">
        <is>
          <t>PRJ027</t>
        </is>
      </c>
      <c r="B132" s="7">
        <f>IFERROR(VLOOKUP(A132,Projects!$A:$AK,2,FALSE()),"")</f>
        <v/>
      </c>
      <c r="C132" s="7">
        <f>IFERROR(VLOOKUP(A132,Projects!$A:$AK,3,FALSE()),"")</f>
        <v/>
      </c>
      <c r="D132" s="7" t="n">
        <v>0</v>
      </c>
      <c r="E132" s="7">
        <f>IFERROR(YEAR(VLOOKUP(A132,Projects!$A:$AK,16,FALSE()))+D132,D132)</f>
        <v/>
      </c>
      <c r="F132" s="7">
        <f>IFERROR(VLOOKUP(A132,Projects!$A:$AK,21,FALSE()),"")</f>
        <v/>
      </c>
      <c r="G132" s="7">
        <f>IFERROR(VLOOKUP(A132,Projects!$A:$AK,22,FALSE()),"")</f>
        <v/>
      </c>
      <c r="H132" s="7">
        <f>F132+G132</f>
        <v/>
      </c>
      <c r="I132" s="7" t="n">
        <v>0</v>
      </c>
      <c r="J132" s="7" t="n">
        <v>0</v>
      </c>
      <c r="K132" s="7">
        <f>I132+J132</f>
        <v/>
      </c>
      <c r="L132" s="7">
        <f>K132-H132</f>
        <v/>
      </c>
      <c r="M132" s="7" t="inlineStr">
        <is>
          <t>One-Off</t>
        </is>
      </c>
      <c r="N132" s="7" t="inlineStr">
        <is>
          <t>Compliance</t>
        </is>
      </c>
      <c r="O132" s="7" t="n">
        <v>80</v>
      </c>
    </row>
    <row r="133" ht="15" customHeight="1" s="5">
      <c r="A133" s="7" t="inlineStr">
        <is>
          <t>PRJ027</t>
        </is>
      </c>
      <c r="B133" s="7">
        <f>IFERROR(VLOOKUP(A133,Projects!$A:$AK,2,FALSE()),"")</f>
        <v/>
      </c>
      <c r="C133" s="7">
        <f>IFERROR(VLOOKUP(A133,Projects!$A:$AK,3,FALSE()),"")</f>
        <v/>
      </c>
      <c r="D133" s="7" t="n">
        <v>1</v>
      </c>
      <c r="E133" s="7">
        <f>IFERROR(YEAR(VLOOKUP(A133,Projects!$A:$AK,16,FALSE()))+D133,D133)</f>
        <v/>
      </c>
      <c r="F133" s="7">
        <f>IFERROR(VLOOKUP(A133,Projects!$A:$AK,21,FALSE()),"")</f>
        <v/>
      </c>
      <c r="G133" s="7">
        <f>IFERROR(VLOOKUP(A133,Projects!$A:$AK,22,FALSE()),"")</f>
        <v/>
      </c>
      <c r="H133" s="7">
        <f>F133+G133</f>
        <v/>
      </c>
      <c r="I133" s="7" t="n">
        <v>0</v>
      </c>
      <c r="J133" s="7" t="n">
        <v>2283746</v>
      </c>
      <c r="K133" s="7">
        <f>I133+J133</f>
        <v/>
      </c>
      <c r="L133" s="7">
        <f>K133-H133</f>
        <v/>
      </c>
      <c r="M133" s="7" t="inlineStr">
        <is>
          <t>One-Off</t>
        </is>
      </c>
      <c r="N133" s="7" t="inlineStr">
        <is>
          <t>Compliance</t>
        </is>
      </c>
      <c r="O133" s="7" t="n">
        <v>90</v>
      </c>
    </row>
    <row r="134" ht="15" customHeight="1" s="5">
      <c r="A134" s="7" t="inlineStr">
        <is>
          <t>PRJ027</t>
        </is>
      </c>
      <c r="B134" s="7">
        <f>IFERROR(VLOOKUP(A134,Projects!$A:$AK,2,FALSE()),"")</f>
        <v/>
      </c>
      <c r="C134" s="7">
        <f>IFERROR(VLOOKUP(A134,Projects!$A:$AK,3,FALSE()),"")</f>
        <v/>
      </c>
      <c r="D134" s="7" t="n">
        <v>2</v>
      </c>
      <c r="E134" s="7">
        <f>IFERROR(YEAR(VLOOKUP(A134,Projects!$A:$AK,16,FALSE()))+D134,D134)</f>
        <v/>
      </c>
      <c r="F134" s="7">
        <f>IFERROR(VLOOKUP(A134,Projects!$A:$AK,21,FALSE()),"")</f>
        <v/>
      </c>
      <c r="G134" s="7">
        <f>IFERROR(VLOOKUP(A134,Projects!$A:$AK,22,FALSE()),"")</f>
        <v/>
      </c>
      <c r="H134" s="7">
        <f>F134+G134</f>
        <v/>
      </c>
      <c r="I134" s="7" t="n">
        <v>0</v>
      </c>
      <c r="J134" s="7" t="n">
        <v>0</v>
      </c>
      <c r="K134" s="7">
        <f>I134+J134</f>
        <v/>
      </c>
      <c r="L134" s="7">
        <f>K134-H134</f>
        <v/>
      </c>
      <c r="M134" s="7" t="inlineStr">
        <is>
          <t>One-Off</t>
        </is>
      </c>
      <c r="N134" s="7" t="inlineStr">
        <is>
          <t>Compliance</t>
        </is>
      </c>
      <c r="O134" s="7" t="n">
        <v>80</v>
      </c>
    </row>
    <row r="135" ht="15" customHeight="1" s="5">
      <c r="A135" s="7" t="inlineStr">
        <is>
          <t>PRJ027</t>
        </is>
      </c>
      <c r="B135" s="7">
        <f>IFERROR(VLOOKUP(A135,Projects!$A:$AK,2,FALSE()),"")</f>
        <v/>
      </c>
      <c r="C135" s="7">
        <f>IFERROR(VLOOKUP(A135,Projects!$A:$AK,3,FALSE()),"")</f>
        <v/>
      </c>
      <c r="D135" s="7" t="n">
        <v>3</v>
      </c>
      <c r="E135" s="7">
        <f>IFERROR(YEAR(VLOOKUP(A135,Projects!$A:$AK,16,FALSE()))+D135,D135)</f>
        <v/>
      </c>
      <c r="F135" s="7">
        <f>IFERROR(VLOOKUP(A135,Projects!$A:$AK,21,FALSE()),"")</f>
        <v/>
      </c>
      <c r="G135" s="7">
        <f>IFERROR(VLOOKUP(A135,Projects!$A:$AK,22,FALSE()),"")</f>
        <v/>
      </c>
      <c r="H135" s="7">
        <f>F135+G135</f>
        <v/>
      </c>
      <c r="I135" s="7" t="n">
        <v>0</v>
      </c>
      <c r="J135" s="7" t="n">
        <v>0</v>
      </c>
      <c r="K135" s="7">
        <f>I135+J135</f>
        <v/>
      </c>
      <c r="L135" s="7">
        <f>K135-H135</f>
        <v/>
      </c>
      <c r="M135" s="7" t="inlineStr">
        <is>
          <t>One-Off</t>
        </is>
      </c>
      <c r="N135" s="7" t="inlineStr">
        <is>
          <t>Compliance</t>
        </is>
      </c>
      <c r="O135" s="7" t="n">
        <v>80</v>
      </c>
    </row>
    <row r="136" ht="15" customHeight="1" s="5">
      <c r="A136" s="7" t="inlineStr">
        <is>
          <t>PRJ027</t>
        </is>
      </c>
      <c r="B136" s="7">
        <f>IFERROR(VLOOKUP(A136,Projects!$A:$AK,2,FALSE()),"")</f>
        <v/>
      </c>
      <c r="C136" s="7">
        <f>IFERROR(VLOOKUP(A136,Projects!$A:$AK,3,FALSE()),"")</f>
        <v/>
      </c>
      <c r="D136" s="7" t="n">
        <v>4</v>
      </c>
      <c r="E136" s="7">
        <f>IFERROR(YEAR(VLOOKUP(A136,Projects!$A:$AK,16,FALSE()))+D136,D136)</f>
        <v/>
      </c>
      <c r="F136" s="7">
        <f>IFERROR(VLOOKUP(A136,Projects!$A:$AK,21,FALSE()),"")</f>
        <v/>
      </c>
      <c r="G136" s="7">
        <f>IFERROR(VLOOKUP(A136,Projects!$A:$AK,22,FALSE()),"")</f>
        <v/>
      </c>
      <c r="H136" s="7">
        <f>F136+G136</f>
        <v/>
      </c>
      <c r="I136" s="7" t="n">
        <v>0</v>
      </c>
      <c r="J136" s="7" t="n">
        <v>0</v>
      </c>
      <c r="K136" s="7">
        <f>I136+J136</f>
        <v/>
      </c>
      <c r="L136" s="7">
        <f>K136-H136</f>
        <v/>
      </c>
      <c r="M136" s="7" t="inlineStr">
        <is>
          <t>One-Off</t>
        </is>
      </c>
      <c r="N136" s="7" t="inlineStr">
        <is>
          <t>Compliance</t>
        </is>
      </c>
      <c r="O136" s="7" t="n">
        <v>60</v>
      </c>
    </row>
    <row r="137" ht="15" customHeight="1" s="5">
      <c r="A137" s="7" t="inlineStr">
        <is>
          <t>PRJ028</t>
        </is>
      </c>
      <c r="B137" s="7">
        <f>IFERROR(VLOOKUP(A137,Projects!$A:$AK,2,FALSE()),"")</f>
        <v/>
      </c>
      <c r="C137" s="7">
        <f>IFERROR(VLOOKUP(A137,Projects!$A:$AK,3,FALSE()),"")</f>
        <v/>
      </c>
      <c r="D137" s="7" t="n">
        <v>0</v>
      </c>
      <c r="E137" s="7">
        <f>IFERROR(YEAR(VLOOKUP(A137,Projects!$A:$AK,16,FALSE()))+D137,D137)</f>
        <v/>
      </c>
      <c r="F137" s="7">
        <f>IFERROR(VLOOKUP(A137,Projects!$A:$AK,21,FALSE()),"")</f>
        <v/>
      </c>
      <c r="G137" s="7">
        <f>IFERROR(VLOOKUP(A137,Projects!$A:$AK,22,FALSE()),"")</f>
        <v/>
      </c>
      <c r="H137" s="7">
        <f>F137+G137</f>
        <v/>
      </c>
      <c r="I137" s="7" t="n">
        <v>0</v>
      </c>
      <c r="J137" s="7" t="n">
        <v>0</v>
      </c>
      <c r="K137" s="7">
        <f>I137+J137</f>
        <v/>
      </c>
      <c r="L137" s="7">
        <f>K137-H137</f>
        <v/>
      </c>
      <c r="M137" s="7" t="inlineStr">
        <is>
          <t>One-Off</t>
        </is>
      </c>
      <c r="N137" s="7" t="inlineStr">
        <is>
          <t>Risk Avoidance</t>
        </is>
      </c>
      <c r="O137" s="7" t="n">
        <v>90</v>
      </c>
    </row>
    <row r="138" ht="15" customHeight="1" s="5">
      <c r="A138" s="7" t="inlineStr">
        <is>
          <t>PRJ028</t>
        </is>
      </c>
      <c r="B138" s="7">
        <f>IFERROR(VLOOKUP(A138,Projects!$A:$AK,2,FALSE()),"")</f>
        <v/>
      </c>
      <c r="C138" s="7">
        <f>IFERROR(VLOOKUP(A138,Projects!$A:$AK,3,FALSE()),"")</f>
        <v/>
      </c>
      <c r="D138" s="7" t="n">
        <v>1</v>
      </c>
      <c r="E138" s="7">
        <f>IFERROR(YEAR(VLOOKUP(A138,Projects!$A:$AK,16,FALSE()))+D138,D138)</f>
        <v/>
      </c>
      <c r="F138" s="7">
        <f>IFERROR(VLOOKUP(A138,Projects!$A:$AK,21,FALSE()),"")</f>
        <v/>
      </c>
      <c r="G138" s="7">
        <f>IFERROR(VLOOKUP(A138,Projects!$A:$AK,22,FALSE()),"")</f>
        <v/>
      </c>
      <c r="H138" s="7">
        <f>F138+G138</f>
        <v/>
      </c>
      <c r="I138" s="7" t="n">
        <v>0</v>
      </c>
      <c r="J138" s="7" t="n">
        <v>573194</v>
      </c>
      <c r="K138" s="7">
        <f>I138+J138</f>
        <v/>
      </c>
      <c r="L138" s="7">
        <f>K138-H138</f>
        <v/>
      </c>
      <c r="M138" s="7" t="inlineStr">
        <is>
          <t>One-Off</t>
        </is>
      </c>
      <c r="N138" s="7" t="inlineStr">
        <is>
          <t>Risk Avoidance</t>
        </is>
      </c>
      <c r="O138" s="7" t="n">
        <v>60</v>
      </c>
    </row>
    <row r="139" ht="15" customHeight="1" s="5">
      <c r="A139" s="7" t="inlineStr">
        <is>
          <t>PRJ028</t>
        </is>
      </c>
      <c r="B139" s="7">
        <f>IFERROR(VLOOKUP(A139,Projects!$A:$AK,2,FALSE()),"")</f>
        <v/>
      </c>
      <c r="C139" s="7">
        <f>IFERROR(VLOOKUP(A139,Projects!$A:$AK,3,FALSE()),"")</f>
        <v/>
      </c>
      <c r="D139" s="7" t="n">
        <v>2</v>
      </c>
      <c r="E139" s="7">
        <f>IFERROR(YEAR(VLOOKUP(A139,Projects!$A:$AK,16,FALSE()))+D139,D139)</f>
        <v/>
      </c>
      <c r="F139" s="7">
        <f>IFERROR(VLOOKUP(A139,Projects!$A:$AK,21,FALSE()),"")</f>
        <v/>
      </c>
      <c r="G139" s="7">
        <f>IFERROR(VLOOKUP(A139,Projects!$A:$AK,22,FALSE()),"")</f>
        <v/>
      </c>
      <c r="H139" s="7">
        <f>F139+G139</f>
        <v/>
      </c>
      <c r="I139" s="7" t="n">
        <v>0</v>
      </c>
      <c r="J139" s="7" t="n">
        <v>0</v>
      </c>
      <c r="K139" s="7">
        <f>I139+J139</f>
        <v/>
      </c>
      <c r="L139" s="7">
        <f>K139-H139</f>
        <v/>
      </c>
      <c r="M139" s="7" t="inlineStr">
        <is>
          <t>One-Off</t>
        </is>
      </c>
      <c r="N139" s="7" t="inlineStr">
        <is>
          <t>Risk Avoidance</t>
        </is>
      </c>
      <c r="O139" s="7" t="n">
        <v>90</v>
      </c>
    </row>
    <row r="140" ht="15" customHeight="1" s="5">
      <c r="A140" s="7" t="inlineStr">
        <is>
          <t>PRJ028</t>
        </is>
      </c>
      <c r="B140" s="7">
        <f>IFERROR(VLOOKUP(A140,Projects!$A:$AK,2,FALSE()),"")</f>
        <v/>
      </c>
      <c r="C140" s="7">
        <f>IFERROR(VLOOKUP(A140,Projects!$A:$AK,3,FALSE()),"")</f>
        <v/>
      </c>
      <c r="D140" s="7" t="n">
        <v>3</v>
      </c>
      <c r="E140" s="7">
        <f>IFERROR(YEAR(VLOOKUP(A140,Projects!$A:$AK,16,FALSE()))+D140,D140)</f>
        <v/>
      </c>
      <c r="F140" s="7">
        <f>IFERROR(VLOOKUP(A140,Projects!$A:$AK,21,FALSE()),"")</f>
        <v/>
      </c>
      <c r="G140" s="7">
        <f>IFERROR(VLOOKUP(A140,Projects!$A:$AK,22,FALSE()),"")</f>
        <v/>
      </c>
      <c r="H140" s="7">
        <f>F140+G140</f>
        <v/>
      </c>
      <c r="I140" s="7" t="n">
        <v>0</v>
      </c>
      <c r="J140" s="7" t="n">
        <v>0</v>
      </c>
      <c r="K140" s="7">
        <f>I140+J140</f>
        <v/>
      </c>
      <c r="L140" s="7">
        <f>K140-H140</f>
        <v/>
      </c>
      <c r="M140" s="7" t="inlineStr">
        <is>
          <t>One-Off</t>
        </is>
      </c>
      <c r="N140" s="7" t="inlineStr">
        <is>
          <t>Risk Avoidance</t>
        </is>
      </c>
      <c r="O140" s="7" t="n">
        <v>90</v>
      </c>
    </row>
    <row r="141" ht="15" customHeight="1" s="5">
      <c r="A141" s="7" t="inlineStr">
        <is>
          <t>PRJ028</t>
        </is>
      </c>
      <c r="B141" s="7">
        <f>IFERROR(VLOOKUP(A141,Projects!$A:$AK,2,FALSE()),"")</f>
        <v/>
      </c>
      <c r="C141" s="7">
        <f>IFERROR(VLOOKUP(A141,Projects!$A:$AK,3,FALSE()),"")</f>
        <v/>
      </c>
      <c r="D141" s="7" t="n">
        <v>4</v>
      </c>
      <c r="E141" s="7">
        <f>IFERROR(YEAR(VLOOKUP(A141,Projects!$A:$AK,16,FALSE()))+D141,D141)</f>
        <v/>
      </c>
      <c r="F141" s="7">
        <f>IFERROR(VLOOKUP(A141,Projects!$A:$AK,21,FALSE()),"")</f>
        <v/>
      </c>
      <c r="G141" s="7">
        <f>IFERROR(VLOOKUP(A141,Projects!$A:$AK,22,FALSE()),"")</f>
        <v/>
      </c>
      <c r="H141" s="7">
        <f>F141+G141</f>
        <v/>
      </c>
      <c r="I141" s="7" t="n">
        <v>0</v>
      </c>
      <c r="J141" s="7" t="n">
        <v>0</v>
      </c>
      <c r="K141" s="7">
        <f>I141+J141</f>
        <v/>
      </c>
      <c r="L141" s="7">
        <f>K141-H141</f>
        <v/>
      </c>
      <c r="M141" s="7" t="inlineStr">
        <is>
          <t>One-Off</t>
        </is>
      </c>
      <c r="N141" s="7" t="inlineStr">
        <is>
          <t>Risk Avoidance</t>
        </is>
      </c>
      <c r="O141" s="7" t="n">
        <v>70</v>
      </c>
    </row>
    <row r="142" ht="15" customHeight="1" s="5">
      <c r="A142" s="7" t="inlineStr">
        <is>
          <t>PRJ029</t>
        </is>
      </c>
      <c r="B142" s="7">
        <f>IFERROR(VLOOKUP(A142,Projects!$A:$AK,2,FALSE()),"")</f>
        <v/>
      </c>
      <c r="C142" s="7">
        <f>IFERROR(VLOOKUP(A142,Projects!$A:$AK,3,FALSE()),"")</f>
        <v/>
      </c>
      <c r="D142" s="7" t="n">
        <v>0</v>
      </c>
      <c r="E142" s="7">
        <f>IFERROR(YEAR(VLOOKUP(A142,Projects!$A:$AK,16,FALSE()))+D142,D142)</f>
        <v/>
      </c>
      <c r="F142" s="7">
        <f>IFERROR(VLOOKUP(A142,Projects!$A:$AK,21,FALSE()),"")</f>
        <v/>
      </c>
      <c r="G142" s="7">
        <f>IFERROR(VLOOKUP(A142,Projects!$A:$AK,22,FALSE()),"")</f>
        <v/>
      </c>
      <c r="H142" s="7">
        <f>F142+G142</f>
        <v/>
      </c>
      <c r="I142" s="7" t="n">
        <v>0</v>
      </c>
      <c r="J142" s="7" t="n">
        <v>0</v>
      </c>
      <c r="K142" s="7">
        <f>I142+J142</f>
        <v/>
      </c>
      <c r="L142" s="7">
        <f>K142-H142</f>
        <v/>
      </c>
      <c r="M142" s="7" t="inlineStr">
        <is>
          <t>One-Off</t>
        </is>
      </c>
      <c r="N142" s="7" t="inlineStr">
        <is>
          <t>Cost Savings</t>
        </is>
      </c>
      <c r="O142" s="7" t="n">
        <v>70</v>
      </c>
    </row>
    <row r="143" ht="15" customHeight="1" s="5">
      <c r="A143" s="7" t="inlineStr">
        <is>
          <t>PRJ029</t>
        </is>
      </c>
      <c r="B143" s="7">
        <f>IFERROR(VLOOKUP(A143,Projects!$A:$AK,2,FALSE()),"")</f>
        <v/>
      </c>
      <c r="C143" s="7">
        <f>IFERROR(VLOOKUP(A143,Projects!$A:$AK,3,FALSE()),"")</f>
        <v/>
      </c>
      <c r="D143" s="7" t="n">
        <v>1</v>
      </c>
      <c r="E143" s="7">
        <f>IFERROR(YEAR(VLOOKUP(A143,Projects!$A:$AK,16,FALSE()))+D143,D143)</f>
        <v/>
      </c>
      <c r="F143" s="7">
        <f>IFERROR(VLOOKUP(A143,Projects!$A:$AK,21,FALSE()),"")</f>
        <v/>
      </c>
      <c r="G143" s="7">
        <f>IFERROR(VLOOKUP(A143,Projects!$A:$AK,22,FALSE()),"")</f>
        <v/>
      </c>
      <c r="H143" s="7">
        <f>F143+G143</f>
        <v/>
      </c>
      <c r="I143" s="7" t="n">
        <v>0</v>
      </c>
      <c r="J143" s="7" t="n">
        <v>1457637</v>
      </c>
      <c r="K143" s="7">
        <f>I143+J143</f>
        <v/>
      </c>
      <c r="L143" s="7">
        <f>K143-H143</f>
        <v/>
      </c>
      <c r="M143" s="7" t="inlineStr">
        <is>
          <t>One-Off</t>
        </is>
      </c>
      <c r="N143" s="7" t="inlineStr">
        <is>
          <t>Cost Savings</t>
        </is>
      </c>
      <c r="O143" s="7" t="n">
        <v>80</v>
      </c>
    </row>
    <row r="144" ht="15" customHeight="1" s="5">
      <c r="A144" s="7" t="inlineStr">
        <is>
          <t>PRJ029</t>
        </is>
      </c>
      <c r="B144" s="7">
        <f>IFERROR(VLOOKUP(A144,Projects!$A:$AK,2,FALSE()),"")</f>
        <v/>
      </c>
      <c r="C144" s="7">
        <f>IFERROR(VLOOKUP(A144,Projects!$A:$AK,3,FALSE()),"")</f>
        <v/>
      </c>
      <c r="D144" s="7" t="n">
        <v>2</v>
      </c>
      <c r="E144" s="7">
        <f>IFERROR(YEAR(VLOOKUP(A144,Projects!$A:$AK,16,FALSE()))+D144,D144)</f>
        <v/>
      </c>
      <c r="F144" s="7">
        <f>IFERROR(VLOOKUP(A144,Projects!$A:$AK,21,FALSE()),"")</f>
        <v/>
      </c>
      <c r="G144" s="7">
        <f>IFERROR(VLOOKUP(A144,Projects!$A:$AK,22,FALSE()),"")</f>
        <v/>
      </c>
      <c r="H144" s="7">
        <f>F144+G144</f>
        <v/>
      </c>
      <c r="I144" s="7" t="n">
        <v>0</v>
      </c>
      <c r="J144" s="7" t="n">
        <v>0</v>
      </c>
      <c r="K144" s="7">
        <f>I144+J144</f>
        <v/>
      </c>
      <c r="L144" s="7">
        <f>K144-H144</f>
        <v/>
      </c>
      <c r="M144" s="7" t="inlineStr">
        <is>
          <t>One-Off</t>
        </is>
      </c>
      <c r="N144" s="7" t="inlineStr">
        <is>
          <t>Cost Savings</t>
        </is>
      </c>
      <c r="O144" s="7" t="n">
        <v>80</v>
      </c>
    </row>
    <row r="145" ht="15" customHeight="1" s="5">
      <c r="A145" s="7" t="inlineStr">
        <is>
          <t>PRJ029</t>
        </is>
      </c>
      <c r="B145" s="7">
        <f>IFERROR(VLOOKUP(A145,Projects!$A:$AK,2,FALSE()),"")</f>
        <v/>
      </c>
      <c r="C145" s="7">
        <f>IFERROR(VLOOKUP(A145,Projects!$A:$AK,3,FALSE()),"")</f>
        <v/>
      </c>
      <c r="D145" s="7" t="n">
        <v>3</v>
      </c>
      <c r="E145" s="7">
        <f>IFERROR(YEAR(VLOOKUP(A145,Projects!$A:$AK,16,FALSE()))+D145,D145)</f>
        <v/>
      </c>
      <c r="F145" s="7">
        <f>IFERROR(VLOOKUP(A145,Projects!$A:$AK,21,FALSE()),"")</f>
        <v/>
      </c>
      <c r="G145" s="7">
        <f>IFERROR(VLOOKUP(A145,Projects!$A:$AK,22,FALSE()),"")</f>
        <v/>
      </c>
      <c r="H145" s="7">
        <f>F145+G145</f>
        <v/>
      </c>
      <c r="I145" s="7" t="n">
        <v>0</v>
      </c>
      <c r="J145" s="7" t="n">
        <v>0</v>
      </c>
      <c r="K145" s="7">
        <f>I145+J145</f>
        <v/>
      </c>
      <c r="L145" s="7">
        <f>K145-H145</f>
        <v/>
      </c>
      <c r="M145" s="7" t="inlineStr">
        <is>
          <t>One-Off</t>
        </is>
      </c>
      <c r="N145" s="7" t="inlineStr">
        <is>
          <t>Cost Savings</t>
        </is>
      </c>
      <c r="O145" s="7" t="n">
        <v>90</v>
      </c>
    </row>
    <row r="146" ht="15" customHeight="1" s="5">
      <c r="A146" s="7" t="inlineStr">
        <is>
          <t>PRJ029</t>
        </is>
      </c>
      <c r="B146" s="7">
        <f>IFERROR(VLOOKUP(A146,Projects!$A:$AK,2,FALSE()),"")</f>
        <v/>
      </c>
      <c r="C146" s="7">
        <f>IFERROR(VLOOKUP(A146,Projects!$A:$AK,3,FALSE()),"")</f>
        <v/>
      </c>
      <c r="D146" s="7" t="n">
        <v>4</v>
      </c>
      <c r="E146" s="7">
        <f>IFERROR(YEAR(VLOOKUP(A146,Projects!$A:$AK,16,FALSE()))+D146,D146)</f>
        <v/>
      </c>
      <c r="F146" s="7">
        <f>IFERROR(VLOOKUP(A146,Projects!$A:$AK,21,FALSE()),"")</f>
        <v/>
      </c>
      <c r="G146" s="7">
        <f>IFERROR(VLOOKUP(A146,Projects!$A:$AK,22,FALSE()),"")</f>
        <v/>
      </c>
      <c r="H146" s="7">
        <f>F146+G146</f>
        <v/>
      </c>
      <c r="I146" s="7" t="n">
        <v>0</v>
      </c>
      <c r="J146" s="7" t="n">
        <v>0</v>
      </c>
      <c r="K146" s="7">
        <f>I146+J146</f>
        <v/>
      </c>
      <c r="L146" s="7">
        <f>K146-H146</f>
        <v/>
      </c>
      <c r="M146" s="7" t="inlineStr">
        <is>
          <t>One-Off</t>
        </is>
      </c>
      <c r="N146" s="7" t="inlineStr">
        <is>
          <t>Cost Savings</t>
        </is>
      </c>
      <c r="O146" s="7" t="n">
        <v>90</v>
      </c>
    </row>
    <row r="147" ht="15" customHeight="1" s="5">
      <c r="A147" s="7" t="inlineStr">
        <is>
          <t>PRJ030</t>
        </is>
      </c>
      <c r="B147" s="7">
        <f>IFERROR(VLOOKUP(A147,Projects!$A:$AK,2,FALSE()),"")</f>
        <v/>
      </c>
      <c r="C147" s="7">
        <f>IFERROR(VLOOKUP(A147,Projects!$A:$AK,3,FALSE()),"")</f>
        <v/>
      </c>
      <c r="D147" s="7" t="n">
        <v>0</v>
      </c>
      <c r="E147" s="7">
        <f>IFERROR(YEAR(VLOOKUP(A147,Projects!$A:$AK,16,FALSE()))+D147,D147)</f>
        <v/>
      </c>
      <c r="F147" s="7">
        <f>IFERROR(VLOOKUP(A147,Projects!$A:$AK,21,FALSE()),"")</f>
        <v/>
      </c>
      <c r="G147" s="7">
        <f>IFERROR(VLOOKUP(A147,Projects!$A:$AK,22,FALSE()),"")</f>
        <v/>
      </c>
      <c r="H147" s="7">
        <f>F147+G147</f>
        <v/>
      </c>
      <c r="I147" s="7" t="n">
        <v>0</v>
      </c>
      <c r="J147" s="7" t="n">
        <v>0</v>
      </c>
      <c r="K147" s="7">
        <f>I147+J147</f>
        <v/>
      </c>
      <c r="L147" s="7">
        <f>K147-H147</f>
        <v/>
      </c>
      <c r="M147" s="7" t="inlineStr">
        <is>
          <t>One-Off</t>
        </is>
      </c>
      <c r="N147" s="7" t="inlineStr">
        <is>
          <t>Compliance</t>
        </is>
      </c>
      <c r="O147" s="7" t="n">
        <v>80</v>
      </c>
    </row>
    <row r="148" ht="15" customHeight="1" s="5">
      <c r="A148" s="7" t="inlineStr">
        <is>
          <t>PRJ030</t>
        </is>
      </c>
      <c r="B148" s="7">
        <f>IFERROR(VLOOKUP(A148,Projects!$A:$AK,2,FALSE()),"")</f>
        <v/>
      </c>
      <c r="C148" s="7">
        <f>IFERROR(VLOOKUP(A148,Projects!$A:$AK,3,FALSE()),"")</f>
        <v/>
      </c>
      <c r="D148" s="7" t="n">
        <v>1</v>
      </c>
      <c r="E148" s="7">
        <f>IFERROR(YEAR(VLOOKUP(A148,Projects!$A:$AK,16,FALSE()))+D148,D148)</f>
        <v/>
      </c>
      <c r="F148" s="7">
        <f>IFERROR(VLOOKUP(A148,Projects!$A:$AK,21,FALSE()),"")</f>
        <v/>
      </c>
      <c r="G148" s="7">
        <f>IFERROR(VLOOKUP(A148,Projects!$A:$AK,22,FALSE()),"")</f>
        <v/>
      </c>
      <c r="H148" s="7">
        <f>F148+G148</f>
        <v/>
      </c>
      <c r="I148" s="7" t="n">
        <v>0</v>
      </c>
      <c r="J148" s="7" t="n">
        <v>0</v>
      </c>
      <c r="K148" s="7">
        <f>I148+J148</f>
        <v/>
      </c>
      <c r="L148" s="7">
        <f>K148-H148</f>
        <v/>
      </c>
      <c r="M148" s="7" t="inlineStr">
        <is>
          <t>One-Off</t>
        </is>
      </c>
      <c r="N148" s="7" t="inlineStr">
        <is>
          <t>Compliance</t>
        </is>
      </c>
      <c r="O148" s="7" t="n">
        <v>70</v>
      </c>
    </row>
    <row r="149" ht="15" customHeight="1" s="5">
      <c r="A149" s="7" t="inlineStr">
        <is>
          <t>PRJ030</t>
        </is>
      </c>
      <c r="B149" s="7">
        <f>IFERROR(VLOOKUP(A149,Projects!$A:$AK,2,FALSE()),"")</f>
        <v/>
      </c>
      <c r="C149" s="7">
        <f>IFERROR(VLOOKUP(A149,Projects!$A:$AK,3,FALSE()),"")</f>
        <v/>
      </c>
      <c r="D149" s="7" t="n">
        <v>2</v>
      </c>
      <c r="E149" s="7">
        <f>IFERROR(YEAR(VLOOKUP(A149,Projects!$A:$AK,16,FALSE()))+D149,D149)</f>
        <v/>
      </c>
      <c r="F149" s="7">
        <f>IFERROR(VLOOKUP(A149,Projects!$A:$AK,21,FALSE()),"")</f>
        <v/>
      </c>
      <c r="G149" s="7">
        <f>IFERROR(VLOOKUP(A149,Projects!$A:$AK,22,FALSE()),"")</f>
        <v/>
      </c>
      <c r="H149" s="7">
        <f>F149+G149</f>
        <v/>
      </c>
      <c r="I149" s="7" t="n">
        <v>0</v>
      </c>
      <c r="J149" s="7" t="n">
        <v>603368</v>
      </c>
      <c r="K149" s="7">
        <f>I149+J149</f>
        <v/>
      </c>
      <c r="L149" s="7">
        <f>K149-H149</f>
        <v/>
      </c>
      <c r="M149" s="7" t="inlineStr">
        <is>
          <t>One-Off</t>
        </is>
      </c>
      <c r="N149" s="7" t="inlineStr">
        <is>
          <t>Compliance</t>
        </is>
      </c>
      <c r="O149" s="7" t="n">
        <v>70</v>
      </c>
    </row>
    <row r="150" ht="15" customHeight="1" s="5">
      <c r="A150" s="7" t="inlineStr">
        <is>
          <t>PRJ030</t>
        </is>
      </c>
      <c r="B150" s="7">
        <f>IFERROR(VLOOKUP(A150,Projects!$A:$AK,2,FALSE()),"")</f>
        <v/>
      </c>
      <c r="C150" s="7">
        <f>IFERROR(VLOOKUP(A150,Projects!$A:$AK,3,FALSE()),"")</f>
        <v/>
      </c>
      <c r="D150" s="7" t="n">
        <v>3</v>
      </c>
      <c r="E150" s="7">
        <f>IFERROR(YEAR(VLOOKUP(A150,Projects!$A:$AK,16,FALSE()))+D150,D150)</f>
        <v/>
      </c>
      <c r="F150" s="7">
        <f>IFERROR(VLOOKUP(A150,Projects!$A:$AK,21,FALSE()),"")</f>
        <v/>
      </c>
      <c r="G150" s="7">
        <f>IFERROR(VLOOKUP(A150,Projects!$A:$AK,22,FALSE()),"")</f>
        <v/>
      </c>
      <c r="H150" s="7">
        <f>F150+G150</f>
        <v/>
      </c>
      <c r="I150" s="7" t="n">
        <v>0</v>
      </c>
      <c r="J150" s="7" t="n">
        <v>0</v>
      </c>
      <c r="K150" s="7">
        <f>I150+J150</f>
        <v/>
      </c>
      <c r="L150" s="7">
        <f>K150-H150</f>
        <v/>
      </c>
      <c r="M150" s="7" t="inlineStr">
        <is>
          <t>One-Off</t>
        </is>
      </c>
      <c r="N150" s="7" t="inlineStr">
        <is>
          <t>Compliance</t>
        </is>
      </c>
      <c r="O150" s="7" t="n">
        <v>60</v>
      </c>
    </row>
    <row r="151" ht="15" customHeight="1" s="5">
      <c r="A151" s="7" t="inlineStr">
        <is>
          <t>PRJ030</t>
        </is>
      </c>
      <c r="B151" s="7">
        <f>IFERROR(VLOOKUP(A151,Projects!$A:$AK,2,FALSE()),"")</f>
        <v/>
      </c>
      <c r="C151" s="7">
        <f>IFERROR(VLOOKUP(A151,Projects!$A:$AK,3,FALSE()),"")</f>
        <v/>
      </c>
      <c r="D151" s="7" t="n">
        <v>4</v>
      </c>
      <c r="E151" s="7">
        <f>IFERROR(YEAR(VLOOKUP(A151,Projects!$A:$AK,16,FALSE()))+D151,D151)</f>
        <v/>
      </c>
      <c r="F151" s="7">
        <f>IFERROR(VLOOKUP(A151,Projects!$A:$AK,21,FALSE()),"")</f>
        <v/>
      </c>
      <c r="G151" s="7">
        <f>IFERROR(VLOOKUP(A151,Projects!$A:$AK,22,FALSE()),"")</f>
        <v/>
      </c>
      <c r="H151" s="7">
        <f>F151+G151</f>
        <v/>
      </c>
      <c r="I151" s="7" t="n">
        <v>0</v>
      </c>
      <c r="J151" s="7" t="n">
        <v>0</v>
      </c>
      <c r="K151" s="7">
        <f>I151+J151</f>
        <v/>
      </c>
      <c r="L151" s="7">
        <f>K151-H151</f>
        <v/>
      </c>
      <c r="M151" s="7" t="inlineStr">
        <is>
          <t>One-Off</t>
        </is>
      </c>
      <c r="N151" s="7" t="inlineStr">
        <is>
          <t>Compliance</t>
        </is>
      </c>
      <c r="O151" s="7" t="n">
        <v>70</v>
      </c>
    </row>
    <row r="152" ht="15" customHeight="1" s="5">
      <c r="A152" s="7" t="inlineStr">
        <is>
          <t>PRJ031</t>
        </is>
      </c>
      <c r="B152" s="7">
        <f>IFERROR(VLOOKUP(A152,Projects!$A:$AK,2,FALSE()),"")</f>
        <v/>
      </c>
      <c r="C152" s="7">
        <f>IFERROR(VLOOKUP(A152,Projects!$A:$AK,3,FALSE()),"")</f>
        <v/>
      </c>
      <c r="D152" s="7" t="n">
        <v>0</v>
      </c>
      <c r="E152" s="7">
        <f>IFERROR(YEAR(VLOOKUP(A152,Projects!$A:$AK,16,FALSE()))+D152,D152)</f>
        <v/>
      </c>
      <c r="F152" s="7">
        <f>IFERROR(VLOOKUP(A152,Projects!$A:$AK,21,FALSE()),"")</f>
        <v/>
      </c>
      <c r="G152" s="7">
        <f>IFERROR(VLOOKUP(A152,Projects!$A:$AK,22,FALSE()),"")</f>
        <v/>
      </c>
      <c r="H152" s="7">
        <f>F152+G152</f>
        <v/>
      </c>
      <c r="I152" s="7" t="n">
        <v>0</v>
      </c>
      <c r="J152" s="7" t="n">
        <v>0</v>
      </c>
      <c r="K152" s="7">
        <f>I152+J152</f>
        <v/>
      </c>
      <c r="L152" s="7">
        <f>K152-H152</f>
        <v/>
      </c>
      <c r="M152" s="7" t="inlineStr">
        <is>
          <t>One-Off</t>
        </is>
      </c>
      <c r="N152" s="7" t="inlineStr">
        <is>
          <t>Productivity</t>
        </is>
      </c>
      <c r="O152" s="7" t="n">
        <v>90</v>
      </c>
    </row>
    <row r="153" ht="15" customHeight="1" s="5">
      <c r="A153" s="7" t="inlineStr">
        <is>
          <t>PRJ031</t>
        </is>
      </c>
      <c r="B153" s="7">
        <f>IFERROR(VLOOKUP(A153,Projects!$A:$AK,2,FALSE()),"")</f>
        <v/>
      </c>
      <c r="C153" s="7">
        <f>IFERROR(VLOOKUP(A153,Projects!$A:$AK,3,FALSE()),"")</f>
        <v/>
      </c>
      <c r="D153" s="7" t="n">
        <v>1</v>
      </c>
      <c r="E153" s="7">
        <f>IFERROR(YEAR(VLOOKUP(A153,Projects!$A:$AK,16,FALSE()))+D153,D153)</f>
        <v/>
      </c>
      <c r="F153" s="7">
        <f>IFERROR(VLOOKUP(A153,Projects!$A:$AK,21,FALSE()),"")</f>
        <v/>
      </c>
      <c r="G153" s="7">
        <f>IFERROR(VLOOKUP(A153,Projects!$A:$AK,22,FALSE()),"")</f>
        <v/>
      </c>
      <c r="H153" s="7">
        <f>F153+G153</f>
        <v/>
      </c>
      <c r="I153" s="7" t="n">
        <v>0</v>
      </c>
      <c r="J153" s="7" t="n">
        <v>0</v>
      </c>
      <c r="K153" s="7">
        <f>I153+J153</f>
        <v/>
      </c>
      <c r="L153" s="7">
        <f>K153-H153</f>
        <v/>
      </c>
      <c r="M153" s="7" t="inlineStr">
        <is>
          <t>One-Off</t>
        </is>
      </c>
      <c r="N153" s="7" t="inlineStr">
        <is>
          <t>Productivity</t>
        </is>
      </c>
      <c r="O153" s="7" t="n">
        <v>60</v>
      </c>
    </row>
    <row r="154" ht="15" customHeight="1" s="5">
      <c r="A154" s="7" t="inlineStr">
        <is>
          <t>PRJ031</t>
        </is>
      </c>
      <c r="B154" s="7">
        <f>IFERROR(VLOOKUP(A154,Projects!$A:$AK,2,FALSE()),"")</f>
        <v/>
      </c>
      <c r="C154" s="7">
        <f>IFERROR(VLOOKUP(A154,Projects!$A:$AK,3,FALSE()),"")</f>
        <v/>
      </c>
      <c r="D154" s="7" t="n">
        <v>2</v>
      </c>
      <c r="E154" s="7">
        <f>IFERROR(YEAR(VLOOKUP(A154,Projects!$A:$AK,16,FALSE()))+D154,D154)</f>
        <v/>
      </c>
      <c r="F154" s="7">
        <f>IFERROR(VLOOKUP(A154,Projects!$A:$AK,21,FALSE()),"")</f>
        <v/>
      </c>
      <c r="G154" s="7">
        <f>IFERROR(VLOOKUP(A154,Projects!$A:$AK,22,FALSE()),"")</f>
        <v/>
      </c>
      <c r="H154" s="7">
        <f>F154+G154</f>
        <v/>
      </c>
      <c r="I154" s="7" t="n">
        <v>0</v>
      </c>
      <c r="J154" s="7" t="n">
        <v>1005938</v>
      </c>
      <c r="K154" s="7">
        <f>I154+J154</f>
        <v/>
      </c>
      <c r="L154" s="7">
        <f>K154-H154</f>
        <v/>
      </c>
      <c r="M154" s="7" t="inlineStr">
        <is>
          <t>One-Off</t>
        </is>
      </c>
      <c r="N154" s="7" t="inlineStr">
        <is>
          <t>Productivity</t>
        </is>
      </c>
      <c r="O154" s="7" t="n">
        <v>90</v>
      </c>
    </row>
    <row r="155" ht="15" customHeight="1" s="5">
      <c r="A155" s="7" t="inlineStr">
        <is>
          <t>PRJ031</t>
        </is>
      </c>
      <c r="B155" s="7">
        <f>IFERROR(VLOOKUP(A155,Projects!$A:$AK,2,FALSE()),"")</f>
        <v/>
      </c>
      <c r="C155" s="7">
        <f>IFERROR(VLOOKUP(A155,Projects!$A:$AK,3,FALSE()),"")</f>
        <v/>
      </c>
      <c r="D155" s="7" t="n">
        <v>3</v>
      </c>
      <c r="E155" s="7">
        <f>IFERROR(YEAR(VLOOKUP(A155,Projects!$A:$AK,16,FALSE()))+D155,D155)</f>
        <v/>
      </c>
      <c r="F155" s="7">
        <f>IFERROR(VLOOKUP(A155,Projects!$A:$AK,21,FALSE()),"")</f>
        <v/>
      </c>
      <c r="G155" s="7">
        <f>IFERROR(VLOOKUP(A155,Projects!$A:$AK,22,FALSE()),"")</f>
        <v/>
      </c>
      <c r="H155" s="7">
        <f>F155+G155</f>
        <v/>
      </c>
      <c r="I155" s="7" t="n">
        <v>0</v>
      </c>
      <c r="J155" s="7" t="n">
        <v>0</v>
      </c>
      <c r="K155" s="7">
        <f>I155+J155</f>
        <v/>
      </c>
      <c r="L155" s="7">
        <f>K155-H155</f>
        <v/>
      </c>
      <c r="M155" s="7" t="inlineStr">
        <is>
          <t>One-Off</t>
        </is>
      </c>
      <c r="N155" s="7" t="inlineStr">
        <is>
          <t>Productivity</t>
        </is>
      </c>
      <c r="O155" s="7" t="n">
        <v>90</v>
      </c>
    </row>
    <row r="156" ht="15" customHeight="1" s="5">
      <c r="A156" s="7" t="inlineStr">
        <is>
          <t>PRJ031</t>
        </is>
      </c>
      <c r="B156" s="7">
        <f>IFERROR(VLOOKUP(A156,Projects!$A:$AK,2,FALSE()),"")</f>
        <v/>
      </c>
      <c r="C156" s="7">
        <f>IFERROR(VLOOKUP(A156,Projects!$A:$AK,3,FALSE()),"")</f>
        <v/>
      </c>
      <c r="D156" s="7" t="n">
        <v>4</v>
      </c>
      <c r="E156" s="7">
        <f>IFERROR(YEAR(VLOOKUP(A156,Projects!$A:$AK,16,FALSE()))+D156,D156)</f>
        <v/>
      </c>
      <c r="F156" s="7">
        <f>IFERROR(VLOOKUP(A156,Projects!$A:$AK,21,FALSE()),"")</f>
        <v/>
      </c>
      <c r="G156" s="7">
        <f>IFERROR(VLOOKUP(A156,Projects!$A:$AK,22,FALSE()),"")</f>
        <v/>
      </c>
      <c r="H156" s="7">
        <f>F156+G156</f>
        <v/>
      </c>
      <c r="I156" s="7" t="n">
        <v>0</v>
      </c>
      <c r="J156" s="7" t="n">
        <v>0</v>
      </c>
      <c r="K156" s="7">
        <f>I156+J156</f>
        <v/>
      </c>
      <c r="L156" s="7">
        <f>K156-H156</f>
        <v/>
      </c>
      <c r="M156" s="7" t="inlineStr">
        <is>
          <t>One-Off</t>
        </is>
      </c>
      <c r="N156" s="7" t="inlineStr">
        <is>
          <t>Productivity</t>
        </is>
      </c>
      <c r="O156" s="7" t="n">
        <v>60</v>
      </c>
    </row>
    <row r="157" ht="15" customHeight="1" s="5">
      <c r="A157" s="7" t="inlineStr">
        <is>
          <t>PRJ032</t>
        </is>
      </c>
      <c r="B157" s="7">
        <f>IFERROR(VLOOKUP(A157,Projects!$A:$AK,2,FALSE()),"")</f>
        <v/>
      </c>
      <c r="C157" s="7">
        <f>IFERROR(VLOOKUP(A157,Projects!$A:$AK,3,FALSE()),"")</f>
        <v/>
      </c>
      <c r="D157" s="7" t="n">
        <v>0</v>
      </c>
      <c r="E157" s="7">
        <f>IFERROR(YEAR(VLOOKUP(A157,Projects!$A:$AK,16,FALSE()))+D157,D157)</f>
        <v/>
      </c>
      <c r="F157" s="7">
        <f>IFERROR(VLOOKUP(A157,Projects!$A:$AK,21,FALSE()),"")</f>
        <v/>
      </c>
      <c r="G157" s="7">
        <f>IFERROR(VLOOKUP(A157,Projects!$A:$AK,22,FALSE()),"")</f>
        <v/>
      </c>
      <c r="H157" s="7">
        <f>F157+G157</f>
        <v/>
      </c>
      <c r="I157" s="7" t="n">
        <v>0</v>
      </c>
      <c r="J157" s="7" t="n">
        <v>0</v>
      </c>
      <c r="K157" s="7">
        <f>I157+J157</f>
        <v/>
      </c>
      <c r="L157" s="7">
        <f>K157-H157</f>
        <v/>
      </c>
      <c r="M157" s="7" t="inlineStr">
        <is>
          <t>One-Off</t>
        </is>
      </c>
      <c r="N157" s="7" t="inlineStr">
        <is>
          <t>Revenue Uplift</t>
        </is>
      </c>
      <c r="O157" s="7" t="n">
        <v>90</v>
      </c>
    </row>
    <row r="158" ht="15" customHeight="1" s="5">
      <c r="A158" s="7" t="inlineStr">
        <is>
          <t>PRJ032</t>
        </is>
      </c>
      <c r="B158" s="7">
        <f>IFERROR(VLOOKUP(A158,Projects!$A:$AK,2,FALSE()),"")</f>
        <v/>
      </c>
      <c r="C158" s="7">
        <f>IFERROR(VLOOKUP(A158,Projects!$A:$AK,3,FALSE()),"")</f>
        <v/>
      </c>
      <c r="D158" s="7" t="n">
        <v>1</v>
      </c>
      <c r="E158" s="7">
        <f>IFERROR(YEAR(VLOOKUP(A158,Projects!$A:$AK,16,FALSE()))+D158,D158)</f>
        <v/>
      </c>
      <c r="F158" s="7">
        <f>IFERROR(VLOOKUP(A158,Projects!$A:$AK,21,FALSE()),"")</f>
        <v/>
      </c>
      <c r="G158" s="7">
        <f>IFERROR(VLOOKUP(A158,Projects!$A:$AK,22,FALSE()),"")</f>
        <v/>
      </c>
      <c r="H158" s="7">
        <f>F158+G158</f>
        <v/>
      </c>
      <c r="I158" s="7" t="n">
        <v>0</v>
      </c>
      <c r="J158" s="7" t="n">
        <v>0</v>
      </c>
      <c r="K158" s="7">
        <f>I158+J158</f>
        <v/>
      </c>
      <c r="L158" s="7">
        <f>K158-H158</f>
        <v/>
      </c>
      <c r="M158" s="7" t="inlineStr">
        <is>
          <t>One-Off</t>
        </is>
      </c>
      <c r="N158" s="7" t="inlineStr">
        <is>
          <t>Revenue Uplift</t>
        </is>
      </c>
      <c r="O158" s="7" t="n">
        <v>60</v>
      </c>
    </row>
    <row r="159" ht="15" customHeight="1" s="5">
      <c r="A159" s="7" t="inlineStr">
        <is>
          <t>PRJ032</t>
        </is>
      </c>
      <c r="B159" s="7">
        <f>IFERROR(VLOOKUP(A159,Projects!$A:$AK,2,FALSE()),"")</f>
        <v/>
      </c>
      <c r="C159" s="7">
        <f>IFERROR(VLOOKUP(A159,Projects!$A:$AK,3,FALSE()),"")</f>
        <v/>
      </c>
      <c r="D159" s="7" t="n">
        <v>2</v>
      </c>
      <c r="E159" s="7">
        <f>IFERROR(YEAR(VLOOKUP(A159,Projects!$A:$AK,16,FALSE()))+D159,D159)</f>
        <v/>
      </c>
      <c r="F159" s="7">
        <f>IFERROR(VLOOKUP(A159,Projects!$A:$AK,21,FALSE()),"")</f>
        <v/>
      </c>
      <c r="G159" s="7">
        <f>IFERROR(VLOOKUP(A159,Projects!$A:$AK,22,FALSE()),"")</f>
        <v/>
      </c>
      <c r="H159" s="7">
        <f>F159+G159</f>
        <v/>
      </c>
      <c r="I159" s="7" t="n">
        <v>0</v>
      </c>
      <c r="J159" s="7" t="n">
        <v>4965523</v>
      </c>
      <c r="K159" s="7">
        <f>I159+J159</f>
        <v/>
      </c>
      <c r="L159" s="7">
        <f>K159-H159</f>
        <v/>
      </c>
      <c r="M159" s="7" t="inlineStr">
        <is>
          <t>One-Off</t>
        </is>
      </c>
      <c r="N159" s="7" t="inlineStr">
        <is>
          <t>Revenue Uplift</t>
        </is>
      </c>
      <c r="O159" s="7" t="n">
        <v>60</v>
      </c>
    </row>
    <row r="160" ht="15" customHeight="1" s="5">
      <c r="A160" s="7" t="inlineStr">
        <is>
          <t>PRJ032</t>
        </is>
      </c>
      <c r="B160" s="7">
        <f>IFERROR(VLOOKUP(A160,Projects!$A:$AK,2,FALSE()),"")</f>
        <v/>
      </c>
      <c r="C160" s="7">
        <f>IFERROR(VLOOKUP(A160,Projects!$A:$AK,3,FALSE()),"")</f>
        <v/>
      </c>
      <c r="D160" s="7" t="n">
        <v>3</v>
      </c>
      <c r="E160" s="7">
        <f>IFERROR(YEAR(VLOOKUP(A160,Projects!$A:$AK,16,FALSE()))+D160,D160)</f>
        <v/>
      </c>
      <c r="F160" s="7">
        <f>IFERROR(VLOOKUP(A160,Projects!$A:$AK,21,FALSE()),"")</f>
        <v/>
      </c>
      <c r="G160" s="7">
        <f>IFERROR(VLOOKUP(A160,Projects!$A:$AK,22,FALSE()),"")</f>
        <v/>
      </c>
      <c r="H160" s="7">
        <f>F160+G160</f>
        <v/>
      </c>
      <c r="I160" s="7" t="n">
        <v>0</v>
      </c>
      <c r="J160" s="7" t="n">
        <v>0</v>
      </c>
      <c r="K160" s="7">
        <f>I160+J160</f>
        <v/>
      </c>
      <c r="L160" s="7">
        <f>K160-H160</f>
        <v/>
      </c>
      <c r="M160" s="7" t="inlineStr">
        <is>
          <t>One-Off</t>
        </is>
      </c>
      <c r="N160" s="7" t="inlineStr">
        <is>
          <t>Revenue Uplift</t>
        </is>
      </c>
      <c r="O160" s="7" t="n">
        <v>80</v>
      </c>
    </row>
    <row r="161" ht="15" customHeight="1" s="5">
      <c r="A161" s="7" t="inlineStr">
        <is>
          <t>PRJ032</t>
        </is>
      </c>
      <c r="B161" s="7">
        <f>IFERROR(VLOOKUP(A161,Projects!$A:$AK,2,FALSE()),"")</f>
        <v/>
      </c>
      <c r="C161" s="7">
        <f>IFERROR(VLOOKUP(A161,Projects!$A:$AK,3,FALSE()),"")</f>
        <v/>
      </c>
      <c r="D161" s="7" t="n">
        <v>4</v>
      </c>
      <c r="E161" s="7">
        <f>IFERROR(YEAR(VLOOKUP(A161,Projects!$A:$AK,16,FALSE()))+D161,D161)</f>
        <v/>
      </c>
      <c r="F161" s="7">
        <f>IFERROR(VLOOKUP(A161,Projects!$A:$AK,21,FALSE()),"")</f>
        <v/>
      </c>
      <c r="G161" s="7">
        <f>IFERROR(VLOOKUP(A161,Projects!$A:$AK,22,FALSE()),"")</f>
        <v/>
      </c>
      <c r="H161" s="7">
        <f>F161+G161</f>
        <v/>
      </c>
      <c r="I161" s="7" t="n">
        <v>0</v>
      </c>
      <c r="J161" s="7" t="n">
        <v>0</v>
      </c>
      <c r="K161" s="7">
        <f>I161+J161</f>
        <v/>
      </c>
      <c r="L161" s="7">
        <f>K161-H161</f>
        <v/>
      </c>
      <c r="M161" s="7" t="inlineStr">
        <is>
          <t>One-Off</t>
        </is>
      </c>
      <c r="N161" s="7" t="inlineStr">
        <is>
          <t>Revenue Uplift</t>
        </is>
      </c>
      <c r="O161" s="7" t="n">
        <v>60</v>
      </c>
    </row>
    <row r="162" ht="15" customHeight="1" s="5">
      <c r="A162" s="7" t="inlineStr">
        <is>
          <t>PRJ033</t>
        </is>
      </c>
      <c r="B162" s="7">
        <f>IFERROR(VLOOKUP(A162,Projects!$A:$AK,2,FALSE()),"")</f>
        <v/>
      </c>
      <c r="C162" s="7">
        <f>IFERROR(VLOOKUP(A162,Projects!$A:$AK,3,FALSE()),"")</f>
        <v/>
      </c>
      <c r="D162" s="7" t="n">
        <v>0</v>
      </c>
      <c r="E162" s="7">
        <f>IFERROR(YEAR(VLOOKUP(A162,Projects!$A:$AK,16,FALSE()))+D162,D162)</f>
        <v/>
      </c>
      <c r="F162" s="7">
        <f>IFERROR(VLOOKUP(A162,Projects!$A:$AK,21,FALSE()),"")</f>
        <v/>
      </c>
      <c r="G162" s="7">
        <f>IFERROR(VLOOKUP(A162,Projects!$A:$AK,22,FALSE()),"")</f>
        <v/>
      </c>
      <c r="H162" s="7">
        <f>F162+G162</f>
        <v/>
      </c>
      <c r="I162" s="7" t="n">
        <v>0</v>
      </c>
      <c r="J162" s="7" t="n">
        <v>0</v>
      </c>
      <c r="K162" s="7">
        <f>I162+J162</f>
        <v/>
      </c>
      <c r="L162" s="7">
        <f>K162-H162</f>
        <v/>
      </c>
      <c r="M162" s="7" t="inlineStr">
        <is>
          <t>Recurring</t>
        </is>
      </c>
      <c r="N162" s="7" t="inlineStr">
        <is>
          <t>Risk Avoidance</t>
        </is>
      </c>
      <c r="O162" s="7" t="n">
        <v>70</v>
      </c>
    </row>
    <row r="163" ht="15" customHeight="1" s="5">
      <c r="A163" s="7" t="inlineStr">
        <is>
          <t>PRJ033</t>
        </is>
      </c>
      <c r="B163" s="7">
        <f>IFERROR(VLOOKUP(A163,Projects!$A:$AK,2,FALSE()),"")</f>
        <v/>
      </c>
      <c r="C163" s="7">
        <f>IFERROR(VLOOKUP(A163,Projects!$A:$AK,3,FALSE()),"")</f>
        <v/>
      </c>
      <c r="D163" s="7" t="n">
        <v>1</v>
      </c>
      <c r="E163" s="7">
        <f>IFERROR(YEAR(VLOOKUP(A163,Projects!$A:$AK,16,FALSE()))+D163,D163)</f>
        <v/>
      </c>
      <c r="F163" s="7">
        <f>IFERROR(VLOOKUP(A163,Projects!$A:$AK,21,FALSE()),"")</f>
        <v/>
      </c>
      <c r="G163" s="7">
        <f>IFERROR(VLOOKUP(A163,Projects!$A:$AK,22,FALSE()),"")</f>
        <v/>
      </c>
      <c r="H163" s="7">
        <f>F163+G163</f>
        <v/>
      </c>
      <c r="I163" s="7" t="n">
        <v>234403</v>
      </c>
      <c r="J163" s="7" t="n">
        <v>0</v>
      </c>
      <c r="K163" s="7">
        <f>I163+J163</f>
        <v/>
      </c>
      <c r="L163" s="7">
        <f>K163-H163</f>
        <v/>
      </c>
      <c r="M163" s="7" t="inlineStr">
        <is>
          <t>Recurring</t>
        </is>
      </c>
      <c r="N163" s="7" t="inlineStr">
        <is>
          <t>Risk Avoidance</t>
        </is>
      </c>
      <c r="O163" s="7" t="n">
        <v>60</v>
      </c>
    </row>
    <row r="164" ht="15" customHeight="1" s="5">
      <c r="A164" s="7" t="inlineStr">
        <is>
          <t>PRJ033</t>
        </is>
      </c>
      <c r="B164" s="7">
        <f>IFERROR(VLOOKUP(A164,Projects!$A:$AK,2,FALSE()),"")</f>
        <v/>
      </c>
      <c r="C164" s="7">
        <f>IFERROR(VLOOKUP(A164,Projects!$A:$AK,3,FALSE()),"")</f>
        <v/>
      </c>
      <c r="D164" s="7" t="n">
        <v>2</v>
      </c>
      <c r="E164" s="7">
        <f>IFERROR(YEAR(VLOOKUP(A164,Projects!$A:$AK,16,FALSE()))+D164,D164)</f>
        <v/>
      </c>
      <c r="F164" s="7">
        <f>IFERROR(VLOOKUP(A164,Projects!$A:$AK,21,FALSE()),"")</f>
        <v/>
      </c>
      <c r="G164" s="7">
        <f>IFERROR(VLOOKUP(A164,Projects!$A:$AK,22,FALSE()),"")</f>
        <v/>
      </c>
      <c r="H164" s="7">
        <f>F164+G164</f>
        <v/>
      </c>
      <c r="I164" s="7" t="n">
        <v>223983</v>
      </c>
      <c r="J164" s="7" t="n">
        <v>0</v>
      </c>
      <c r="K164" s="7">
        <f>I164+J164</f>
        <v/>
      </c>
      <c r="L164" s="7">
        <f>K164-H164</f>
        <v/>
      </c>
      <c r="M164" s="7" t="inlineStr">
        <is>
          <t>Recurring</t>
        </is>
      </c>
      <c r="N164" s="7" t="inlineStr">
        <is>
          <t>Risk Avoidance</t>
        </is>
      </c>
      <c r="O164" s="7" t="n">
        <v>60</v>
      </c>
    </row>
    <row r="165" ht="15" customHeight="1" s="5">
      <c r="A165" s="7" t="inlineStr">
        <is>
          <t>PRJ033</t>
        </is>
      </c>
      <c r="B165" s="7">
        <f>IFERROR(VLOOKUP(A165,Projects!$A:$AK,2,FALSE()),"")</f>
        <v/>
      </c>
      <c r="C165" s="7">
        <f>IFERROR(VLOOKUP(A165,Projects!$A:$AK,3,FALSE()),"")</f>
        <v/>
      </c>
      <c r="D165" s="7" t="n">
        <v>3</v>
      </c>
      <c r="E165" s="7">
        <f>IFERROR(YEAR(VLOOKUP(A165,Projects!$A:$AK,16,FALSE()))+D165,D165)</f>
        <v/>
      </c>
      <c r="F165" s="7">
        <f>IFERROR(VLOOKUP(A165,Projects!$A:$AK,21,FALSE()),"")</f>
        <v/>
      </c>
      <c r="G165" s="7">
        <f>IFERROR(VLOOKUP(A165,Projects!$A:$AK,22,FALSE()),"")</f>
        <v/>
      </c>
      <c r="H165" s="7">
        <f>F165+G165</f>
        <v/>
      </c>
      <c r="I165" s="7" t="n">
        <v>276791</v>
      </c>
      <c r="J165" s="7" t="n">
        <v>0</v>
      </c>
      <c r="K165" s="7">
        <f>I165+J165</f>
        <v/>
      </c>
      <c r="L165" s="7">
        <f>K165-H165</f>
        <v/>
      </c>
      <c r="M165" s="7" t="inlineStr">
        <is>
          <t>Recurring</t>
        </is>
      </c>
      <c r="N165" s="7" t="inlineStr">
        <is>
          <t>Risk Avoidance</t>
        </is>
      </c>
      <c r="O165" s="7" t="n">
        <v>90</v>
      </c>
    </row>
    <row r="166" ht="15" customHeight="1" s="5">
      <c r="A166" s="7" t="inlineStr">
        <is>
          <t>PRJ033</t>
        </is>
      </c>
      <c r="B166" s="7">
        <f>IFERROR(VLOOKUP(A166,Projects!$A:$AK,2,FALSE()),"")</f>
        <v/>
      </c>
      <c r="C166" s="7">
        <f>IFERROR(VLOOKUP(A166,Projects!$A:$AK,3,FALSE()),"")</f>
        <v/>
      </c>
      <c r="D166" s="7" t="n">
        <v>4</v>
      </c>
      <c r="E166" s="7">
        <f>IFERROR(YEAR(VLOOKUP(A166,Projects!$A:$AK,16,FALSE()))+D166,D166)</f>
        <v/>
      </c>
      <c r="F166" s="7">
        <f>IFERROR(VLOOKUP(A166,Projects!$A:$AK,21,FALSE()),"")</f>
        <v/>
      </c>
      <c r="G166" s="7">
        <f>IFERROR(VLOOKUP(A166,Projects!$A:$AK,22,FALSE()),"")</f>
        <v/>
      </c>
      <c r="H166" s="7">
        <f>F166+G166</f>
        <v/>
      </c>
      <c r="I166" s="7" t="n">
        <v>206353</v>
      </c>
      <c r="J166" s="7" t="n">
        <v>0</v>
      </c>
      <c r="K166" s="7">
        <f>I166+J166</f>
        <v/>
      </c>
      <c r="L166" s="7">
        <f>K166-H166</f>
        <v/>
      </c>
      <c r="M166" s="7" t="inlineStr">
        <is>
          <t>Recurring</t>
        </is>
      </c>
      <c r="N166" s="7" t="inlineStr">
        <is>
          <t>Risk Avoidance</t>
        </is>
      </c>
      <c r="O166" s="7" t="n">
        <v>60</v>
      </c>
    </row>
    <row r="167" ht="15" customHeight="1" s="5">
      <c r="A167" s="7" t="inlineStr">
        <is>
          <t>PRJ034</t>
        </is>
      </c>
      <c r="B167" s="7">
        <f>IFERROR(VLOOKUP(A167,Projects!$A:$AK,2,FALSE()),"")</f>
        <v/>
      </c>
      <c r="C167" s="7">
        <f>IFERROR(VLOOKUP(A167,Projects!$A:$AK,3,FALSE()),"")</f>
        <v/>
      </c>
      <c r="D167" s="7" t="n">
        <v>0</v>
      </c>
      <c r="E167" s="7">
        <f>IFERROR(YEAR(VLOOKUP(A167,Projects!$A:$AK,16,FALSE()))+D167,D167)</f>
        <v/>
      </c>
      <c r="F167" s="7">
        <f>IFERROR(VLOOKUP(A167,Projects!$A:$AK,21,FALSE()),"")</f>
        <v/>
      </c>
      <c r="G167" s="7">
        <f>IFERROR(VLOOKUP(A167,Projects!$A:$AK,22,FALSE()),"")</f>
        <v/>
      </c>
      <c r="H167" s="7">
        <f>F167+G167</f>
        <v/>
      </c>
      <c r="I167" s="7" t="n">
        <v>0</v>
      </c>
      <c r="J167" s="7" t="n">
        <v>0</v>
      </c>
      <c r="K167" s="7">
        <f>I167+J167</f>
        <v/>
      </c>
      <c r="L167" s="7">
        <f>K167-H167</f>
        <v/>
      </c>
      <c r="M167" s="7" t="inlineStr">
        <is>
          <t>Recurring</t>
        </is>
      </c>
      <c r="N167" s="7" t="inlineStr">
        <is>
          <t>Productivity</t>
        </is>
      </c>
      <c r="O167" s="7" t="n">
        <v>90</v>
      </c>
    </row>
    <row r="168" ht="15" customHeight="1" s="5">
      <c r="A168" s="7" t="inlineStr">
        <is>
          <t>PRJ034</t>
        </is>
      </c>
      <c r="B168" s="7">
        <f>IFERROR(VLOOKUP(A168,Projects!$A:$AK,2,FALSE()),"")</f>
        <v/>
      </c>
      <c r="C168" s="7">
        <f>IFERROR(VLOOKUP(A168,Projects!$A:$AK,3,FALSE()),"")</f>
        <v/>
      </c>
      <c r="D168" s="7" t="n">
        <v>1</v>
      </c>
      <c r="E168" s="7">
        <f>IFERROR(YEAR(VLOOKUP(A168,Projects!$A:$AK,16,FALSE()))+D168,D168)</f>
        <v/>
      </c>
      <c r="F168" s="7">
        <f>IFERROR(VLOOKUP(A168,Projects!$A:$AK,21,FALSE()),"")</f>
        <v/>
      </c>
      <c r="G168" s="7">
        <f>IFERROR(VLOOKUP(A168,Projects!$A:$AK,22,FALSE()),"")</f>
        <v/>
      </c>
      <c r="H168" s="7">
        <f>F168+G168</f>
        <v/>
      </c>
      <c r="I168" s="7" t="n">
        <v>655615</v>
      </c>
      <c r="J168" s="7" t="n">
        <v>0</v>
      </c>
      <c r="K168" s="7">
        <f>I168+J168</f>
        <v/>
      </c>
      <c r="L168" s="7">
        <f>K168-H168</f>
        <v/>
      </c>
      <c r="M168" s="7" t="inlineStr">
        <is>
          <t>Recurring</t>
        </is>
      </c>
      <c r="N168" s="7" t="inlineStr">
        <is>
          <t>Productivity</t>
        </is>
      </c>
      <c r="O168" s="7" t="n">
        <v>60</v>
      </c>
    </row>
    <row r="169" ht="15" customHeight="1" s="5">
      <c r="A169" s="7" t="inlineStr">
        <is>
          <t>PRJ034</t>
        </is>
      </c>
      <c r="B169" s="7">
        <f>IFERROR(VLOOKUP(A169,Projects!$A:$AK,2,FALSE()),"")</f>
        <v/>
      </c>
      <c r="C169" s="7">
        <f>IFERROR(VLOOKUP(A169,Projects!$A:$AK,3,FALSE()),"")</f>
        <v/>
      </c>
      <c r="D169" s="7" t="n">
        <v>2</v>
      </c>
      <c r="E169" s="7">
        <f>IFERROR(YEAR(VLOOKUP(A169,Projects!$A:$AK,16,FALSE()))+D169,D169)</f>
        <v/>
      </c>
      <c r="F169" s="7">
        <f>IFERROR(VLOOKUP(A169,Projects!$A:$AK,21,FALSE()),"")</f>
        <v/>
      </c>
      <c r="G169" s="7">
        <f>IFERROR(VLOOKUP(A169,Projects!$A:$AK,22,FALSE()),"")</f>
        <v/>
      </c>
      <c r="H169" s="7">
        <f>F169+G169</f>
        <v/>
      </c>
      <c r="I169" s="7" t="n">
        <v>618701</v>
      </c>
      <c r="J169" s="7" t="n">
        <v>0</v>
      </c>
      <c r="K169" s="7">
        <f>I169+J169</f>
        <v/>
      </c>
      <c r="L169" s="7">
        <f>K169-H169</f>
        <v/>
      </c>
      <c r="M169" s="7" t="inlineStr">
        <is>
          <t>Recurring</t>
        </is>
      </c>
      <c r="N169" s="7" t="inlineStr">
        <is>
          <t>Productivity</t>
        </is>
      </c>
      <c r="O169" s="7" t="n">
        <v>90</v>
      </c>
    </row>
    <row r="170" ht="15" customHeight="1" s="5">
      <c r="A170" s="7" t="inlineStr">
        <is>
          <t>PRJ034</t>
        </is>
      </c>
      <c r="B170" s="7">
        <f>IFERROR(VLOOKUP(A170,Projects!$A:$AK,2,FALSE()),"")</f>
        <v/>
      </c>
      <c r="C170" s="7">
        <f>IFERROR(VLOOKUP(A170,Projects!$A:$AK,3,FALSE()),"")</f>
        <v/>
      </c>
      <c r="D170" s="7" t="n">
        <v>3</v>
      </c>
      <c r="E170" s="7">
        <f>IFERROR(YEAR(VLOOKUP(A170,Projects!$A:$AK,16,FALSE()))+D170,D170)</f>
        <v/>
      </c>
      <c r="F170" s="7">
        <f>IFERROR(VLOOKUP(A170,Projects!$A:$AK,21,FALSE()),"")</f>
        <v/>
      </c>
      <c r="G170" s="7">
        <f>IFERROR(VLOOKUP(A170,Projects!$A:$AK,22,FALSE()),"")</f>
        <v/>
      </c>
      <c r="H170" s="7">
        <f>F170+G170</f>
        <v/>
      </c>
      <c r="I170" s="7" t="n">
        <v>650026</v>
      </c>
      <c r="J170" s="7" t="n">
        <v>0</v>
      </c>
      <c r="K170" s="7">
        <f>I170+J170</f>
        <v/>
      </c>
      <c r="L170" s="7">
        <f>K170-H170</f>
        <v/>
      </c>
      <c r="M170" s="7" t="inlineStr">
        <is>
          <t>Recurring</t>
        </is>
      </c>
      <c r="N170" s="7" t="inlineStr">
        <is>
          <t>Productivity</t>
        </is>
      </c>
      <c r="O170" s="7" t="n">
        <v>60</v>
      </c>
    </row>
    <row r="171" ht="15" customHeight="1" s="5">
      <c r="A171" s="7" t="inlineStr">
        <is>
          <t>PRJ034</t>
        </is>
      </c>
      <c r="B171" s="7">
        <f>IFERROR(VLOOKUP(A171,Projects!$A:$AK,2,FALSE()),"")</f>
        <v/>
      </c>
      <c r="C171" s="7">
        <f>IFERROR(VLOOKUP(A171,Projects!$A:$AK,3,FALSE()),"")</f>
        <v/>
      </c>
      <c r="D171" s="7" t="n">
        <v>4</v>
      </c>
      <c r="E171" s="7">
        <f>IFERROR(YEAR(VLOOKUP(A171,Projects!$A:$AK,16,FALSE()))+D171,D171)</f>
        <v/>
      </c>
      <c r="F171" s="7">
        <f>IFERROR(VLOOKUP(A171,Projects!$A:$AK,21,FALSE()),"")</f>
        <v/>
      </c>
      <c r="G171" s="7">
        <f>IFERROR(VLOOKUP(A171,Projects!$A:$AK,22,FALSE()),"")</f>
        <v/>
      </c>
      <c r="H171" s="7">
        <f>F171+G171</f>
        <v/>
      </c>
      <c r="I171" s="7" t="n">
        <v>654609</v>
      </c>
      <c r="J171" s="7" t="n">
        <v>0</v>
      </c>
      <c r="K171" s="7">
        <f>I171+J171</f>
        <v/>
      </c>
      <c r="L171" s="7">
        <f>K171-H171</f>
        <v/>
      </c>
      <c r="M171" s="7" t="inlineStr">
        <is>
          <t>Recurring</t>
        </is>
      </c>
      <c r="N171" s="7" t="inlineStr">
        <is>
          <t>Productivity</t>
        </is>
      </c>
      <c r="O171" s="7" t="n">
        <v>60</v>
      </c>
    </row>
    <row r="172" ht="15" customHeight="1" s="5">
      <c r="A172" s="7" t="inlineStr">
        <is>
          <t>PRJ035</t>
        </is>
      </c>
      <c r="B172" s="7">
        <f>IFERROR(VLOOKUP(A172,Projects!$A:$AK,2,FALSE()),"")</f>
        <v/>
      </c>
      <c r="C172" s="7">
        <f>IFERROR(VLOOKUP(A172,Projects!$A:$AK,3,FALSE()),"")</f>
        <v/>
      </c>
      <c r="D172" s="7" t="n">
        <v>0</v>
      </c>
      <c r="E172" s="7">
        <f>IFERROR(YEAR(VLOOKUP(A172,Projects!$A:$AK,16,FALSE()))+D172,D172)</f>
        <v/>
      </c>
      <c r="F172" s="7">
        <f>IFERROR(VLOOKUP(A172,Projects!$A:$AK,21,FALSE()),"")</f>
        <v/>
      </c>
      <c r="G172" s="7">
        <f>IFERROR(VLOOKUP(A172,Projects!$A:$AK,22,FALSE()),"")</f>
        <v/>
      </c>
      <c r="H172" s="7">
        <f>F172+G172</f>
        <v/>
      </c>
      <c r="I172" s="7" t="n">
        <v>0</v>
      </c>
      <c r="J172" s="7" t="n">
        <v>0</v>
      </c>
      <c r="K172" s="7">
        <f>I172+J172</f>
        <v/>
      </c>
      <c r="L172" s="7">
        <f>K172-H172</f>
        <v/>
      </c>
      <c r="M172" s="7" t="inlineStr">
        <is>
          <t>Recurring</t>
        </is>
      </c>
      <c r="N172" s="7" t="inlineStr">
        <is>
          <t>Cost Savings</t>
        </is>
      </c>
      <c r="O172" s="7" t="n">
        <v>60</v>
      </c>
    </row>
    <row r="173" ht="15" customHeight="1" s="5">
      <c r="A173" s="7" t="inlineStr">
        <is>
          <t>PRJ035</t>
        </is>
      </c>
      <c r="B173" s="7">
        <f>IFERROR(VLOOKUP(A173,Projects!$A:$AK,2,FALSE()),"")</f>
        <v/>
      </c>
      <c r="C173" s="7">
        <f>IFERROR(VLOOKUP(A173,Projects!$A:$AK,3,FALSE()),"")</f>
        <v/>
      </c>
      <c r="D173" s="7" t="n">
        <v>1</v>
      </c>
      <c r="E173" s="7">
        <f>IFERROR(YEAR(VLOOKUP(A173,Projects!$A:$AK,16,FALSE()))+D173,D173)</f>
        <v/>
      </c>
      <c r="F173" s="7">
        <f>IFERROR(VLOOKUP(A173,Projects!$A:$AK,21,FALSE()),"")</f>
        <v/>
      </c>
      <c r="G173" s="7">
        <f>IFERROR(VLOOKUP(A173,Projects!$A:$AK,22,FALSE()),"")</f>
        <v/>
      </c>
      <c r="H173" s="7">
        <f>F173+G173</f>
        <v/>
      </c>
      <c r="I173" s="7" t="n">
        <v>1237968</v>
      </c>
      <c r="J173" s="7" t="n">
        <v>0</v>
      </c>
      <c r="K173" s="7">
        <f>I173+J173</f>
        <v/>
      </c>
      <c r="L173" s="7">
        <f>K173-H173</f>
        <v/>
      </c>
      <c r="M173" s="7" t="inlineStr">
        <is>
          <t>Recurring</t>
        </is>
      </c>
      <c r="N173" s="7" t="inlineStr">
        <is>
          <t>Cost Savings</t>
        </is>
      </c>
      <c r="O173" s="7" t="n">
        <v>70</v>
      </c>
    </row>
    <row r="174" ht="15" customHeight="1" s="5">
      <c r="A174" s="7" t="inlineStr">
        <is>
          <t>PRJ035</t>
        </is>
      </c>
      <c r="B174" s="7">
        <f>IFERROR(VLOOKUP(A174,Projects!$A:$AK,2,FALSE()),"")</f>
        <v/>
      </c>
      <c r="C174" s="7">
        <f>IFERROR(VLOOKUP(A174,Projects!$A:$AK,3,FALSE()),"")</f>
        <v/>
      </c>
      <c r="D174" s="7" t="n">
        <v>2</v>
      </c>
      <c r="E174" s="7">
        <f>IFERROR(YEAR(VLOOKUP(A174,Projects!$A:$AK,16,FALSE()))+D174,D174)</f>
        <v/>
      </c>
      <c r="F174" s="7">
        <f>IFERROR(VLOOKUP(A174,Projects!$A:$AK,21,FALSE()),"")</f>
        <v/>
      </c>
      <c r="G174" s="7">
        <f>IFERROR(VLOOKUP(A174,Projects!$A:$AK,22,FALSE()),"")</f>
        <v/>
      </c>
      <c r="H174" s="7">
        <f>F174+G174</f>
        <v/>
      </c>
      <c r="I174" s="7" t="n">
        <v>1113471</v>
      </c>
      <c r="J174" s="7" t="n">
        <v>0</v>
      </c>
      <c r="K174" s="7">
        <f>I174+J174</f>
        <v/>
      </c>
      <c r="L174" s="7">
        <f>K174-H174</f>
        <v/>
      </c>
      <c r="M174" s="7" t="inlineStr">
        <is>
          <t>Recurring</t>
        </is>
      </c>
      <c r="N174" s="7" t="inlineStr">
        <is>
          <t>Cost Savings</t>
        </is>
      </c>
      <c r="O174" s="7" t="n">
        <v>80</v>
      </c>
    </row>
    <row r="175" ht="15" customHeight="1" s="5">
      <c r="A175" s="7" t="inlineStr">
        <is>
          <t>PRJ035</t>
        </is>
      </c>
      <c r="B175" s="7">
        <f>IFERROR(VLOOKUP(A175,Projects!$A:$AK,2,FALSE()),"")</f>
        <v/>
      </c>
      <c r="C175" s="7">
        <f>IFERROR(VLOOKUP(A175,Projects!$A:$AK,3,FALSE()),"")</f>
        <v/>
      </c>
      <c r="D175" s="7" t="n">
        <v>3</v>
      </c>
      <c r="E175" s="7">
        <f>IFERROR(YEAR(VLOOKUP(A175,Projects!$A:$AK,16,FALSE()))+D175,D175)</f>
        <v/>
      </c>
      <c r="F175" s="7">
        <f>IFERROR(VLOOKUP(A175,Projects!$A:$AK,21,FALSE()),"")</f>
        <v/>
      </c>
      <c r="G175" s="7">
        <f>IFERROR(VLOOKUP(A175,Projects!$A:$AK,22,FALSE()),"")</f>
        <v/>
      </c>
      <c r="H175" s="7">
        <f>F175+G175</f>
        <v/>
      </c>
      <c r="I175" s="7" t="n">
        <v>1084946</v>
      </c>
      <c r="J175" s="7" t="n">
        <v>0</v>
      </c>
      <c r="K175" s="7">
        <f>I175+J175</f>
        <v/>
      </c>
      <c r="L175" s="7">
        <f>K175-H175</f>
        <v/>
      </c>
      <c r="M175" s="7" t="inlineStr">
        <is>
          <t>Recurring</t>
        </is>
      </c>
      <c r="N175" s="7" t="inlineStr">
        <is>
          <t>Cost Savings</t>
        </is>
      </c>
      <c r="O175" s="7" t="n">
        <v>70</v>
      </c>
    </row>
    <row r="176" ht="15" customHeight="1" s="5">
      <c r="A176" s="7" t="inlineStr">
        <is>
          <t>PRJ035</t>
        </is>
      </c>
      <c r="B176" s="7">
        <f>IFERROR(VLOOKUP(A176,Projects!$A:$AK,2,FALSE()),"")</f>
        <v/>
      </c>
      <c r="C176" s="7">
        <f>IFERROR(VLOOKUP(A176,Projects!$A:$AK,3,FALSE()),"")</f>
        <v/>
      </c>
      <c r="D176" s="7" t="n">
        <v>4</v>
      </c>
      <c r="E176" s="7">
        <f>IFERROR(YEAR(VLOOKUP(A176,Projects!$A:$AK,16,FALSE()))+D176,D176)</f>
        <v/>
      </c>
      <c r="F176" s="7">
        <f>IFERROR(VLOOKUP(A176,Projects!$A:$AK,21,FALSE()),"")</f>
        <v/>
      </c>
      <c r="G176" s="7">
        <f>IFERROR(VLOOKUP(A176,Projects!$A:$AK,22,FALSE()),"")</f>
        <v/>
      </c>
      <c r="H176" s="7">
        <f>F176+G176</f>
        <v/>
      </c>
      <c r="I176" s="7" t="n">
        <v>944283</v>
      </c>
      <c r="J176" s="7" t="n">
        <v>0</v>
      </c>
      <c r="K176" s="7">
        <f>I176+J176</f>
        <v/>
      </c>
      <c r="L176" s="7">
        <f>K176-H176</f>
        <v/>
      </c>
      <c r="M176" s="7" t="inlineStr">
        <is>
          <t>Recurring</t>
        </is>
      </c>
      <c r="N176" s="7" t="inlineStr">
        <is>
          <t>Cost Savings</t>
        </is>
      </c>
      <c r="O176" s="7" t="n">
        <v>90</v>
      </c>
    </row>
    <row r="177" ht="15" customHeight="1" s="5">
      <c r="A177" s="7" t="inlineStr">
        <is>
          <t>PRJ036</t>
        </is>
      </c>
      <c r="B177" s="7">
        <f>IFERROR(VLOOKUP(A177,Projects!$A:$AK,2,FALSE()),"")</f>
        <v/>
      </c>
      <c r="C177" s="7">
        <f>IFERROR(VLOOKUP(A177,Projects!$A:$AK,3,FALSE()),"")</f>
        <v/>
      </c>
      <c r="D177" s="7" t="n">
        <v>0</v>
      </c>
      <c r="E177" s="7">
        <f>IFERROR(YEAR(VLOOKUP(A177,Projects!$A:$AK,16,FALSE()))+D177,D177)</f>
        <v/>
      </c>
      <c r="F177" s="7">
        <f>IFERROR(VLOOKUP(A177,Projects!$A:$AK,21,FALSE()),"")</f>
        <v/>
      </c>
      <c r="G177" s="7">
        <f>IFERROR(VLOOKUP(A177,Projects!$A:$AK,22,FALSE()),"")</f>
        <v/>
      </c>
      <c r="H177" s="7">
        <f>F177+G177</f>
        <v/>
      </c>
      <c r="I177" s="7" t="n">
        <v>0</v>
      </c>
      <c r="J177" s="7" t="n">
        <v>0</v>
      </c>
      <c r="K177" s="7">
        <f>I177+J177</f>
        <v/>
      </c>
      <c r="L177" s="7">
        <f>K177-H177</f>
        <v/>
      </c>
      <c r="M177" s="7" t="inlineStr">
        <is>
          <t>One-Off</t>
        </is>
      </c>
      <c r="N177" s="7" t="inlineStr">
        <is>
          <t>Productivity</t>
        </is>
      </c>
      <c r="O177" s="7" t="n">
        <v>80</v>
      </c>
    </row>
    <row r="178" ht="15" customHeight="1" s="5">
      <c r="A178" s="7" t="inlineStr">
        <is>
          <t>PRJ036</t>
        </is>
      </c>
      <c r="B178" s="7">
        <f>IFERROR(VLOOKUP(A178,Projects!$A:$AK,2,FALSE()),"")</f>
        <v/>
      </c>
      <c r="C178" s="7">
        <f>IFERROR(VLOOKUP(A178,Projects!$A:$AK,3,FALSE()),"")</f>
        <v/>
      </c>
      <c r="D178" s="7" t="n">
        <v>1</v>
      </c>
      <c r="E178" s="7">
        <f>IFERROR(YEAR(VLOOKUP(A178,Projects!$A:$AK,16,FALSE()))+D178,D178)</f>
        <v/>
      </c>
      <c r="F178" s="7">
        <f>IFERROR(VLOOKUP(A178,Projects!$A:$AK,21,FALSE()),"")</f>
        <v/>
      </c>
      <c r="G178" s="7">
        <f>IFERROR(VLOOKUP(A178,Projects!$A:$AK,22,FALSE()),"")</f>
        <v/>
      </c>
      <c r="H178" s="7">
        <f>F178+G178</f>
        <v/>
      </c>
      <c r="I178" s="7" t="n">
        <v>0</v>
      </c>
      <c r="J178" s="7" t="n">
        <v>3306307</v>
      </c>
      <c r="K178" s="7">
        <f>I178+J178</f>
        <v/>
      </c>
      <c r="L178" s="7">
        <f>K178-H178</f>
        <v/>
      </c>
      <c r="M178" s="7" t="inlineStr">
        <is>
          <t>One-Off</t>
        </is>
      </c>
      <c r="N178" s="7" t="inlineStr">
        <is>
          <t>Productivity</t>
        </is>
      </c>
      <c r="O178" s="7" t="n">
        <v>70</v>
      </c>
    </row>
    <row r="179" ht="15" customHeight="1" s="5">
      <c r="A179" s="7" t="inlineStr">
        <is>
          <t>PRJ036</t>
        </is>
      </c>
      <c r="B179" s="7">
        <f>IFERROR(VLOOKUP(A179,Projects!$A:$AK,2,FALSE()),"")</f>
        <v/>
      </c>
      <c r="C179" s="7">
        <f>IFERROR(VLOOKUP(A179,Projects!$A:$AK,3,FALSE()),"")</f>
        <v/>
      </c>
      <c r="D179" s="7" t="n">
        <v>2</v>
      </c>
      <c r="E179" s="7">
        <f>IFERROR(YEAR(VLOOKUP(A179,Projects!$A:$AK,16,FALSE()))+D179,D179)</f>
        <v/>
      </c>
      <c r="F179" s="7">
        <f>IFERROR(VLOOKUP(A179,Projects!$A:$AK,21,FALSE()),"")</f>
        <v/>
      </c>
      <c r="G179" s="7">
        <f>IFERROR(VLOOKUP(A179,Projects!$A:$AK,22,FALSE()),"")</f>
        <v/>
      </c>
      <c r="H179" s="7">
        <f>F179+G179</f>
        <v/>
      </c>
      <c r="I179" s="7" t="n">
        <v>0</v>
      </c>
      <c r="J179" s="7" t="n">
        <v>0</v>
      </c>
      <c r="K179" s="7">
        <f>I179+J179</f>
        <v/>
      </c>
      <c r="L179" s="7">
        <f>K179-H179</f>
        <v/>
      </c>
      <c r="M179" s="7" t="inlineStr">
        <is>
          <t>One-Off</t>
        </is>
      </c>
      <c r="N179" s="7" t="inlineStr">
        <is>
          <t>Productivity</t>
        </is>
      </c>
      <c r="O179" s="7" t="n">
        <v>60</v>
      </c>
    </row>
    <row r="180" ht="15" customHeight="1" s="5">
      <c r="A180" s="7" t="inlineStr">
        <is>
          <t>PRJ036</t>
        </is>
      </c>
      <c r="B180" s="7">
        <f>IFERROR(VLOOKUP(A180,Projects!$A:$AK,2,FALSE()),"")</f>
        <v/>
      </c>
      <c r="C180" s="7">
        <f>IFERROR(VLOOKUP(A180,Projects!$A:$AK,3,FALSE()),"")</f>
        <v/>
      </c>
      <c r="D180" s="7" t="n">
        <v>3</v>
      </c>
      <c r="E180" s="7">
        <f>IFERROR(YEAR(VLOOKUP(A180,Projects!$A:$AK,16,FALSE()))+D180,D180)</f>
        <v/>
      </c>
      <c r="F180" s="7">
        <f>IFERROR(VLOOKUP(A180,Projects!$A:$AK,21,FALSE()),"")</f>
        <v/>
      </c>
      <c r="G180" s="7">
        <f>IFERROR(VLOOKUP(A180,Projects!$A:$AK,22,FALSE()),"")</f>
        <v/>
      </c>
      <c r="H180" s="7">
        <f>F180+G180</f>
        <v/>
      </c>
      <c r="I180" s="7" t="n">
        <v>0</v>
      </c>
      <c r="J180" s="7" t="n">
        <v>0</v>
      </c>
      <c r="K180" s="7">
        <f>I180+J180</f>
        <v/>
      </c>
      <c r="L180" s="7">
        <f>K180-H180</f>
        <v/>
      </c>
      <c r="M180" s="7" t="inlineStr">
        <is>
          <t>One-Off</t>
        </is>
      </c>
      <c r="N180" s="7" t="inlineStr">
        <is>
          <t>Productivity</t>
        </is>
      </c>
      <c r="O180" s="7" t="n">
        <v>70</v>
      </c>
    </row>
    <row r="181" ht="15" customHeight="1" s="5">
      <c r="A181" s="7" t="inlineStr">
        <is>
          <t>PRJ036</t>
        </is>
      </c>
      <c r="B181" s="7">
        <f>IFERROR(VLOOKUP(A181,Projects!$A:$AK,2,FALSE()),"")</f>
        <v/>
      </c>
      <c r="C181" s="7">
        <f>IFERROR(VLOOKUP(A181,Projects!$A:$AK,3,FALSE()),"")</f>
        <v/>
      </c>
      <c r="D181" s="7" t="n">
        <v>4</v>
      </c>
      <c r="E181" s="7">
        <f>IFERROR(YEAR(VLOOKUP(A181,Projects!$A:$AK,16,FALSE()))+D181,D181)</f>
        <v/>
      </c>
      <c r="F181" s="7">
        <f>IFERROR(VLOOKUP(A181,Projects!$A:$AK,21,FALSE()),"")</f>
        <v/>
      </c>
      <c r="G181" s="7">
        <f>IFERROR(VLOOKUP(A181,Projects!$A:$AK,22,FALSE()),"")</f>
        <v/>
      </c>
      <c r="H181" s="7">
        <f>F181+G181</f>
        <v/>
      </c>
      <c r="I181" s="7" t="n">
        <v>0</v>
      </c>
      <c r="J181" s="7" t="n">
        <v>0</v>
      </c>
      <c r="K181" s="7">
        <f>I181+J181</f>
        <v/>
      </c>
      <c r="L181" s="7">
        <f>K181-H181</f>
        <v/>
      </c>
      <c r="M181" s="7" t="inlineStr">
        <is>
          <t>One-Off</t>
        </is>
      </c>
      <c r="N181" s="7" t="inlineStr">
        <is>
          <t>Productivity</t>
        </is>
      </c>
      <c r="O181" s="7" t="n">
        <v>60</v>
      </c>
    </row>
    <row r="182" ht="15" customHeight="1" s="5">
      <c r="A182" s="7" t="inlineStr">
        <is>
          <t>PRJ037</t>
        </is>
      </c>
      <c r="B182" s="7">
        <f>IFERROR(VLOOKUP(A182,Projects!$A:$AK,2,FALSE()),"")</f>
        <v/>
      </c>
      <c r="C182" s="7">
        <f>IFERROR(VLOOKUP(A182,Projects!$A:$AK,3,FALSE()),"")</f>
        <v/>
      </c>
      <c r="D182" s="7" t="n">
        <v>0</v>
      </c>
      <c r="E182" s="7">
        <f>IFERROR(YEAR(VLOOKUP(A182,Projects!$A:$AK,16,FALSE()))+D182,D182)</f>
        <v/>
      </c>
      <c r="F182" s="7">
        <f>IFERROR(VLOOKUP(A182,Projects!$A:$AK,21,FALSE()),"")</f>
        <v/>
      </c>
      <c r="G182" s="7">
        <f>IFERROR(VLOOKUP(A182,Projects!$A:$AK,22,FALSE()),"")</f>
        <v/>
      </c>
      <c r="H182" s="7">
        <f>F182+G182</f>
        <v/>
      </c>
      <c r="I182" s="7" t="n">
        <v>0</v>
      </c>
      <c r="J182" s="7" t="n">
        <v>0</v>
      </c>
      <c r="K182" s="7">
        <f>I182+J182</f>
        <v/>
      </c>
      <c r="L182" s="7">
        <f>K182-H182</f>
        <v/>
      </c>
      <c r="M182" s="7" t="inlineStr">
        <is>
          <t>Recurring</t>
        </is>
      </c>
      <c r="N182" s="7" t="inlineStr">
        <is>
          <t>Revenue Uplift</t>
        </is>
      </c>
      <c r="O182" s="7" t="n">
        <v>80</v>
      </c>
    </row>
    <row r="183" ht="15" customHeight="1" s="5">
      <c r="A183" s="7" t="inlineStr">
        <is>
          <t>PRJ037</t>
        </is>
      </c>
      <c r="B183" s="7">
        <f>IFERROR(VLOOKUP(A183,Projects!$A:$AK,2,FALSE()),"")</f>
        <v/>
      </c>
      <c r="C183" s="7">
        <f>IFERROR(VLOOKUP(A183,Projects!$A:$AK,3,FALSE()),"")</f>
        <v/>
      </c>
      <c r="D183" s="7" t="n">
        <v>1</v>
      </c>
      <c r="E183" s="7">
        <f>IFERROR(YEAR(VLOOKUP(A183,Projects!$A:$AK,16,FALSE()))+D183,D183)</f>
        <v/>
      </c>
      <c r="F183" s="7">
        <f>IFERROR(VLOOKUP(A183,Projects!$A:$AK,21,FALSE()),"")</f>
        <v/>
      </c>
      <c r="G183" s="7">
        <f>IFERROR(VLOOKUP(A183,Projects!$A:$AK,22,FALSE()),"")</f>
        <v/>
      </c>
      <c r="H183" s="7">
        <f>F183+G183</f>
        <v/>
      </c>
      <c r="I183" s="7" t="n">
        <v>559351</v>
      </c>
      <c r="J183" s="7" t="n">
        <v>0</v>
      </c>
      <c r="K183" s="7">
        <f>I183+J183</f>
        <v/>
      </c>
      <c r="L183" s="7">
        <f>K183-H183</f>
        <v/>
      </c>
      <c r="M183" s="7" t="inlineStr">
        <is>
          <t>Recurring</t>
        </is>
      </c>
      <c r="N183" s="7" t="inlineStr">
        <is>
          <t>Revenue Uplift</t>
        </is>
      </c>
      <c r="O183" s="7" t="n">
        <v>80</v>
      </c>
    </row>
    <row r="184" ht="15" customHeight="1" s="5">
      <c r="A184" s="7" t="inlineStr">
        <is>
          <t>PRJ037</t>
        </is>
      </c>
      <c r="B184" s="7">
        <f>IFERROR(VLOOKUP(A184,Projects!$A:$AK,2,FALSE()),"")</f>
        <v/>
      </c>
      <c r="C184" s="7">
        <f>IFERROR(VLOOKUP(A184,Projects!$A:$AK,3,FALSE()),"")</f>
        <v/>
      </c>
      <c r="D184" s="7" t="n">
        <v>2</v>
      </c>
      <c r="E184" s="7">
        <f>IFERROR(YEAR(VLOOKUP(A184,Projects!$A:$AK,16,FALSE()))+D184,D184)</f>
        <v/>
      </c>
      <c r="F184" s="7">
        <f>IFERROR(VLOOKUP(A184,Projects!$A:$AK,21,FALSE()),"")</f>
        <v/>
      </c>
      <c r="G184" s="7">
        <f>IFERROR(VLOOKUP(A184,Projects!$A:$AK,22,FALSE()),"")</f>
        <v/>
      </c>
      <c r="H184" s="7">
        <f>F184+G184</f>
        <v/>
      </c>
      <c r="I184" s="7" t="n">
        <v>587763</v>
      </c>
      <c r="J184" s="7" t="n">
        <v>0</v>
      </c>
      <c r="K184" s="7">
        <f>I184+J184</f>
        <v/>
      </c>
      <c r="L184" s="7">
        <f>K184-H184</f>
        <v/>
      </c>
      <c r="M184" s="7" t="inlineStr">
        <is>
          <t>Recurring</t>
        </is>
      </c>
      <c r="N184" s="7" t="inlineStr">
        <is>
          <t>Revenue Uplift</t>
        </is>
      </c>
      <c r="O184" s="7" t="n">
        <v>60</v>
      </c>
    </row>
    <row r="185" ht="15" customHeight="1" s="5">
      <c r="A185" s="7" t="inlineStr">
        <is>
          <t>PRJ037</t>
        </is>
      </c>
      <c r="B185" s="7">
        <f>IFERROR(VLOOKUP(A185,Projects!$A:$AK,2,FALSE()),"")</f>
        <v/>
      </c>
      <c r="C185" s="7">
        <f>IFERROR(VLOOKUP(A185,Projects!$A:$AK,3,FALSE()),"")</f>
        <v/>
      </c>
      <c r="D185" s="7" t="n">
        <v>3</v>
      </c>
      <c r="E185" s="7">
        <f>IFERROR(YEAR(VLOOKUP(A185,Projects!$A:$AK,16,FALSE()))+D185,D185)</f>
        <v/>
      </c>
      <c r="F185" s="7">
        <f>IFERROR(VLOOKUP(A185,Projects!$A:$AK,21,FALSE()),"")</f>
        <v/>
      </c>
      <c r="G185" s="7">
        <f>IFERROR(VLOOKUP(A185,Projects!$A:$AK,22,FALSE()),"")</f>
        <v/>
      </c>
      <c r="H185" s="7">
        <f>F185+G185</f>
        <v/>
      </c>
      <c r="I185" s="7" t="n">
        <v>631939</v>
      </c>
      <c r="J185" s="7" t="n">
        <v>0</v>
      </c>
      <c r="K185" s="7">
        <f>I185+J185</f>
        <v/>
      </c>
      <c r="L185" s="7">
        <f>K185-H185</f>
        <v/>
      </c>
      <c r="M185" s="7" t="inlineStr">
        <is>
          <t>Recurring</t>
        </is>
      </c>
      <c r="N185" s="7" t="inlineStr">
        <is>
          <t>Revenue Uplift</t>
        </is>
      </c>
      <c r="O185" s="7" t="n">
        <v>70</v>
      </c>
    </row>
    <row r="186" ht="15" customHeight="1" s="5">
      <c r="A186" s="7" t="inlineStr">
        <is>
          <t>PRJ037</t>
        </is>
      </c>
      <c r="B186" s="7">
        <f>IFERROR(VLOOKUP(A186,Projects!$A:$AK,2,FALSE()),"")</f>
        <v/>
      </c>
      <c r="C186" s="7">
        <f>IFERROR(VLOOKUP(A186,Projects!$A:$AK,3,FALSE()),"")</f>
        <v/>
      </c>
      <c r="D186" s="7" t="n">
        <v>4</v>
      </c>
      <c r="E186" s="7">
        <f>IFERROR(YEAR(VLOOKUP(A186,Projects!$A:$AK,16,FALSE()))+D186,D186)</f>
        <v/>
      </c>
      <c r="F186" s="7">
        <f>IFERROR(VLOOKUP(A186,Projects!$A:$AK,21,FALSE()),"")</f>
        <v/>
      </c>
      <c r="G186" s="7">
        <f>IFERROR(VLOOKUP(A186,Projects!$A:$AK,22,FALSE()),"")</f>
        <v/>
      </c>
      <c r="H186" s="7">
        <f>F186+G186</f>
        <v/>
      </c>
      <c r="I186" s="7" t="n">
        <v>594096</v>
      </c>
      <c r="J186" s="7" t="n">
        <v>0</v>
      </c>
      <c r="K186" s="7">
        <f>I186+J186</f>
        <v/>
      </c>
      <c r="L186" s="7">
        <f>K186-H186</f>
        <v/>
      </c>
      <c r="M186" s="7" t="inlineStr">
        <is>
          <t>Recurring</t>
        </is>
      </c>
      <c r="N186" s="7" t="inlineStr">
        <is>
          <t>Revenue Uplift</t>
        </is>
      </c>
      <c r="O186" s="7" t="n">
        <v>80</v>
      </c>
    </row>
    <row r="187" ht="15" customHeight="1" s="5">
      <c r="A187" s="7" t="inlineStr">
        <is>
          <t>PRJ038</t>
        </is>
      </c>
      <c r="B187" s="7">
        <f>IFERROR(VLOOKUP(A187,Projects!$A:$AK,2,FALSE()),"")</f>
        <v/>
      </c>
      <c r="C187" s="7">
        <f>IFERROR(VLOOKUP(A187,Projects!$A:$AK,3,FALSE()),"")</f>
        <v/>
      </c>
      <c r="D187" s="7" t="n">
        <v>0</v>
      </c>
      <c r="E187" s="7">
        <f>IFERROR(YEAR(VLOOKUP(A187,Projects!$A:$AK,16,FALSE()))+D187,D187)</f>
        <v/>
      </c>
      <c r="F187" s="7">
        <f>IFERROR(VLOOKUP(A187,Projects!$A:$AK,21,FALSE()),"")</f>
        <v/>
      </c>
      <c r="G187" s="7">
        <f>IFERROR(VLOOKUP(A187,Projects!$A:$AK,22,FALSE()),"")</f>
        <v/>
      </c>
      <c r="H187" s="7">
        <f>F187+G187</f>
        <v/>
      </c>
      <c r="I187" s="7" t="n">
        <v>0</v>
      </c>
      <c r="J187" s="7" t="n">
        <v>0</v>
      </c>
      <c r="K187" s="7">
        <f>I187+J187</f>
        <v/>
      </c>
      <c r="L187" s="7">
        <f>K187-H187</f>
        <v/>
      </c>
      <c r="M187" s="7" t="inlineStr">
        <is>
          <t>One-Off</t>
        </is>
      </c>
      <c r="N187" s="7" t="inlineStr">
        <is>
          <t>Risk Avoidance</t>
        </is>
      </c>
      <c r="O187" s="7" t="n">
        <v>60</v>
      </c>
    </row>
    <row r="188" ht="15" customHeight="1" s="5">
      <c r="A188" s="7" t="inlineStr">
        <is>
          <t>PRJ038</t>
        </is>
      </c>
      <c r="B188" s="7">
        <f>IFERROR(VLOOKUP(A188,Projects!$A:$AK,2,FALSE()),"")</f>
        <v/>
      </c>
      <c r="C188" s="7">
        <f>IFERROR(VLOOKUP(A188,Projects!$A:$AK,3,FALSE()),"")</f>
        <v/>
      </c>
      <c r="D188" s="7" t="n">
        <v>1</v>
      </c>
      <c r="E188" s="7">
        <f>IFERROR(YEAR(VLOOKUP(A188,Projects!$A:$AK,16,FALSE()))+D188,D188)</f>
        <v/>
      </c>
      <c r="F188" s="7">
        <f>IFERROR(VLOOKUP(A188,Projects!$A:$AK,21,FALSE()),"")</f>
        <v/>
      </c>
      <c r="G188" s="7">
        <f>IFERROR(VLOOKUP(A188,Projects!$A:$AK,22,FALSE()),"")</f>
        <v/>
      </c>
      <c r="H188" s="7">
        <f>F188+G188</f>
        <v/>
      </c>
      <c r="I188" s="7" t="n">
        <v>0</v>
      </c>
      <c r="J188" s="7" t="n">
        <v>722882</v>
      </c>
      <c r="K188" s="7">
        <f>I188+J188</f>
        <v/>
      </c>
      <c r="L188" s="7">
        <f>K188-H188</f>
        <v/>
      </c>
      <c r="M188" s="7" t="inlineStr">
        <is>
          <t>One-Off</t>
        </is>
      </c>
      <c r="N188" s="7" t="inlineStr">
        <is>
          <t>Risk Avoidance</t>
        </is>
      </c>
      <c r="O188" s="7" t="n">
        <v>90</v>
      </c>
    </row>
    <row r="189" ht="15" customHeight="1" s="5">
      <c r="A189" s="7" t="inlineStr">
        <is>
          <t>PRJ038</t>
        </is>
      </c>
      <c r="B189" s="7">
        <f>IFERROR(VLOOKUP(A189,Projects!$A:$AK,2,FALSE()),"")</f>
        <v/>
      </c>
      <c r="C189" s="7">
        <f>IFERROR(VLOOKUP(A189,Projects!$A:$AK,3,FALSE()),"")</f>
        <v/>
      </c>
      <c r="D189" s="7" t="n">
        <v>2</v>
      </c>
      <c r="E189" s="7">
        <f>IFERROR(YEAR(VLOOKUP(A189,Projects!$A:$AK,16,FALSE()))+D189,D189)</f>
        <v/>
      </c>
      <c r="F189" s="7">
        <f>IFERROR(VLOOKUP(A189,Projects!$A:$AK,21,FALSE()),"")</f>
        <v/>
      </c>
      <c r="G189" s="7">
        <f>IFERROR(VLOOKUP(A189,Projects!$A:$AK,22,FALSE()),"")</f>
        <v/>
      </c>
      <c r="H189" s="7">
        <f>F189+G189</f>
        <v/>
      </c>
      <c r="I189" s="7" t="n">
        <v>0</v>
      </c>
      <c r="J189" s="7" t="n">
        <v>0</v>
      </c>
      <c r="K189" s="7">
        <f>I189+J189</f>
        <v/>
      </c>
      <c r="L189" s="7">
        <f>K189-H189</f>
        <v/>
      </c>
      <c r="M189" s="7" t="inlineStr">
        <is>
          <t>One-Off</t>
        </is>
      </c>
      <c r="N189" s="7" t="inlineStr">
        <is>
          <t>Risk Avoidance</t>
        </is>
      </c>
      <c r="O189" s="7" t="n">
        <v>80</v>
      </c>
    </row>
    <row r="190" ht="15" customHeight="1" s="5">
      <c r="A190" s="7" t="inlineStr">
        <is>
          <t>PRJ038</t>
        </is>
      </c>
      <c r="B190" s="7">
        <f>IFERROR(VLOOKUP(A190,Projects!$A:$AK,2,FALSE()),"")</f>
        <v/>
      </c>
      <c r="C190" s="7">
        <f>IFERROR(VLOOKUP(A190,Projects!$A:$AK,3,FALSE()),"")</f>
        <v/>
      </c>
      <c r="D190" s="7" t="n">
        <v>3</v>
      </c>
      <c r="E190" s="7">
        <f>IFERROR(YEAR(VLOOKUP(A190,Projects!$A:$AK,16,FALSE()))+D190,D190)</f>
        <v/>
      </c>
      <c r="F190" s="7">
        <f>IFERROR(VLOOKUP(A190,Projects!$A:$AK,21,FALSE()),"")</f>
        <v/>
      </c>
      <c r="G190" s="7">
        <f>IFERROR(VLOOKUP(A190,Projects!$A:$AK,22,FALSE()),"")</f>
        <v/>
      </c>
      <c r="H190" s="7">
        <f>F190+G190</f>
        <v/>
      </c>
      <c r="I190" s="7" t="n">
        <v>0</v>
      </c>
      <c r="J190" s="7" t="n">
        <v>0</v>
      </c>
      <c r="K190" s="7">
        <f>I190+J190</f>
        <v/>
      </c>
      <c r="L190" s="7">
        <f>K190-H190</f>
        <v/>
      </c>
      <c r="M190" s="7" t="inlineStr">
        <is>
          <t>One-Off</t>
        </is>
      </c>
      <c r="N190" s="7" t="inlineStr">
        <is>
          <t>Risk Avoidance</t>
        </is>
      </c>
      <c r="O190" s="7" t="n">
        <v>70</v>
      </c>
    </row>
    <row r="191" ht="15" customHeight="1" s="5">
      <c r="A191" s="7" t="inlineStr">
        <is>
          <t>PRJ038</t>
        </is>
      </c>
      <c r="B191" s="7">
        <f>IFERROR(VLOOKUP(A191,Projects!$A:$AK,2,FALSE()),"")</f>
        <v/>
      </c>
      <c r="C191" s="7">
        <f>IFERROR(VLOOKUP(A191,Projects!$A:$AK,3,FALSE()),"")</f>
        <v/>
      </c>
      <c r="D191" s="7" t="n">
        <v>4</v>
      </c>
      <c r="E191" s="7">
        <f>IFERROR(YEAR(VLOOKUP(A191,Projects!$A:$AK,16,FALSE()))+D191,D191)</f>
        <v/>
      </c>
      <c r="F191" s="7">
        <f>IFERROR(VLOOKUP(A191,Projects!$A:$AK,21,FALSE()),"")</f>
        <v/>
      </c>
      <c r="G191" s="7">
        <f>IFERROR(VLOOKUP(A191,Projects!$A:$AK,22,FALSE()),"")</f>
        <v/>
      </c>
      <c r="H191" s="7">
        <f>F191+G191</f>
        <v/>
      </c>
      <c r="I191" s="7" t="n">
        <v>0</v>
      </c>
      <c r="J191" s="7" t="n">
        <v>0</v>
      </c>
      <c r="K191" s="7">
        <f>I191+J191</f>
        <v/>
      </c>
      <c r="L191" s="7">
        <f>K191-H191</f>
        <v/>
      </c>
      <c r="M191" s="7" t="inlineStr">
        <is>
          <t>One-Off</t>
        </is>
      </c>
      <c r="N191" s="7" t="inlineStr">
        <is>
          <t>Risk Avoidance</t>
        </is>
      </c>
      <c r="O191" s="7" t="n">
        <v>80</v>
      </c>
    </row>
    <row r="192" ht="15" customHeight="1" s="5">
      <c r="A192" s="7" t="inlineStr">
        <is>
          <t>PRJ039</t>
        </is>
      </c>
      <c r="B192" s="7">
        <f>IFERROR(VLOOKUP(A192,Projects!$A:$AK,2,FALSE()),"")</f>
        <v/>
      </c>
      <c r="C192" s="7">
        <f>IFERROR(VLOOKUP(A192,Projects!$A:$AK,3,FALSE()),"")</f>
        <v/>
      </c>
      <c r="D192" s="7" t="n">
        <v>0</v>
      </c>
      <c r="E192" s="7">
        <f>IFERROR(YEAR(VLOOKUP(A192,Projects!$A:$AK,16,FALSE()))+D192,D192)</f>
        <v/>
      </c>
      <c r="F192" s="7">
        <f>IFERROR(VLOOKUP(A192,Projects!$A:$AK,21,FALSE()),"")</f>
        <v/>
      </c>
      <c r="G192" s="7">
        <f>IFERROR(VLOOKUP(A192,Projects!$A:$AK,22,FALSE()),"")</f>
        <v/>
      </c>
      <c r="H192" s="7">
        <f>F192+G192</f>
        <v/>
      </c>
      <c r="I192" s="7" t="n">
        <v>0</v>
      </c>
      <c r="J192" s="7" t="n">
        <v>0</v>
      </c>
      <c r="K192" s="7">
        <f>I192+J192</f>
        <v/>
      </c>
      <c r="L192" s="7">
        <f>K192-H192</f>
        <v/>
      </c>
      <c r="M192" s="7" t="inlineStr">
        <is>
          <t>One-Off</t>
        </is>
      </c>
      <c r="N192" s="7" t="inlineStr">
        <is>
          <t>Revenue Uplift</t>
        </is>
      </c>
      <c r="O192" s="7" t="n">
        <v>70</v>
      </c>
    </row>
    <row r="193" ht="15" customHeight="1" s="5">
      <c r="A193" s="7" t="inlineStr">
        <is>
          <t>PRJ039</t>
        </is>
      </c>
      <c r="B193" s="7">
        <f>IFERROR(VLOOKUP(A193,Projects!$A:$AK,2,FALSE()),"")</f>
        <v/>
      </c>
      <c r="C193" s="7">
        <f>IFERROR(VLOOKUP(A193,Projects!$A:$AK,3,FALSE()),"")</f>
        <v/>
      </c>
      <c r="D193" s="7" t="n">
        <v>1</v>
      </c>
      <c r="E193" s="7">
        <f>IFERROR(YEAR(VLOOKUP(A193,Projects!$A:$AK,16,FALSE()))+D193,D193)</f>
        <v/>
      </c>
      <c r="F193" s="7">
        <f>IFERROR(VLOOKUP(A193,Projects!$A:$AK,21,FALSE()),"")</f>
        <v/>
      </c>
      <c r="G193" s="7">
        <f>IFERROR(VLOOKUP(A193,Projects!$A:$AK,22,FALSE()),"")</f>
        <v/>
      </c>
      <c r="H193" s="7">
        <f>F193+G193</f>
        <v/>
      </c>
      <c r="I193" s="7" t="n">
        <v>0</v>
      </c>
      <c r="J193" s="7" t="n">
        <v>2030910</v>
      </c>
      <c r="K193" s="7">
        <f>I193+J193</f>
        <v/>
      </c>
      <c r="L193" s="7">
        <f>K193-H193</f>
        <v/>
      </c>
      <c r="M193" s="7" t="inlineStr">
        <is>
          <t>One-Off</t>
        </is>
      </c>
      <c r="N193" s="7" t="inlineStr">
        <is>
          <t>Revenue Uplift</t>
        </is>
      </c>
      <c r="O193" s="7" t="n">
        <v>70</v>
      </c>
    </row>
    <row r="194" ht="15" customHeight="1" s="5">
      <c r="A194" s="7" t="inlineStr">
        <is>
          <t>PRJ039</t>
        </is>
      </c>
      <c r="B194" s="7">
        <f>IFERROR(VLOOKUP(A194,Projects!$A:$AK,2,FALSE()),"")</f>
        <v/>
      </c>
      <c r="C194" s="7">
        <f>IFERROR(VLOOKUP(A194,Projects!$A:$AK,3,FALSE()),"")</f>
        <v/>
      </c>
      <c r="D194" s="7" t="n">
        <v>2</v>
      </c>
      <c r="E194" s="7">
        <f>IFERROR(YEAR(VLOOKUP(A194,Projects!$A:$AK,16,FALSE()))+D194,D194)</f>
        <v/>
      </c>
      <c r="F194" s="7">
        <f>IFERROR(VLOOKUP(A194,Projects!$A:$AK,21,FALSE()),"")</f>
        <v/>
      </c>
      <c r="G194" s="7">
        <f>IFERROR(VLOOKUP(A194,Projects!$A:$AK,22,FALSE()),"")</f>
        <v/>
      </c>
      <c r="H194" s="7">
        <f>F194+G194</f>
        <v/>
      </c>
      <c r="I194" s="7" t="n">
        <v>0</v>
      </c>
      <c r="J194" s="7" t="n">
        <v>0</v>
      </c>
      <c r="K194" s="7">
        <f>I194+J194</f>
        <v/>
      </c>
      <c r="L194" s="7">
        <f>K194-H194</f>
        <v/>
      </c>
      <c r="M194" s="7" t="inlineStr">
        <is>
          <t>One-Off</t>
        </is>
      </c>
      <c r="N194" s="7" t="inlineStr">
        <is>
          <t>Revenue Uplift</t>
        </is>
      </c>
      <c r="O194" s="7" t="n">
        <v>60</v>
      </c>
    </row>
    <row r="195" ht="15" customHeight="1" s="5">
      <c r="A195" s="7" t="inlineStr">
        <is>
          <t>PRJ039</t>
        </is>
      </c>
      <c r="B195" s="7">
        <f>IFERROR(VLOOKUP(A195,Projects!$A:$AK,2,FALSE()),"")</f>
        <v/>
      </c>
      <c r="C195" s="7">
        <f>IFERROR(VLOOKUP(A195,Projects!$A:$AK,3,FALSE()),"")</f>
        <v/>
      </c>
      <c r="D195" s="7" t="n">
        <v>3</v>
      </c>
      <c r="E195" s="7">
        <f>IFERROR(YEAR(VLOOKUP(A195,Projects!$A:$AK,16,FALSE()))+D195,D195)</f>
        <v/>
      </c>
      <c r="F195" s="7">
        <f>IFERROR(VLOOKUP(A195,Projects!$A:$AK,21,FALSE()),"")</f>
        <v/>
      </c>
      <c r="G195" s="7">
        <f>IFERROR(VLOOKUP(A195,Projects!$A:$AK,22,FALSE()),"")</f>
        <v/>
      </c>
      <c r="H195" s="7">
        <f>F195+G195</f>
        <v/>
      </c>
      <c r="I195" s="7" t="n">
        <v>0</v>
      </c>
      <c r="J195" s="7" t="n">
        <v>0</v>
      </c>
      <c r="K195" s="7">
        <f>I195+J195</f>
        <v/>
      </c>
      <c r="L195" s="7">
        <f>K195-H195</f>
        <v/>
      </c>
      <c r="M195" s="7" t="inlineStr">
        <is>
          <t>One-Off</t>
        </is>
      </c>
      <c r="N195" s="7" t="inlineStr">
        <is>
          <t>Revenue Uplift</t>
        </is>
      </c>
      <c r="O195" s="7" t="n">
        <v>90</v>
      </c>
    </row>
    <row r="196" ht="15" customHeight="1" s="5">
      <c r="A196" s="7" t="inlineStr">
        <is>
          <t>PRJ039</t>
        </is>
      </c>
      <c r="B196" s="7">
        <f>IFERROR(VLOOKUP(A196,Projects!$A:$AK,2,FALSE()),"")</f>
        <v/>
      </c>
      <c r="C196" s="7">
        <f>IFERROR(VLOOKUP(A196,Projects!$A:$AK,3,FALSE()),"")</f>
        <v/>
      </c>
      <c r="D196" s="7" t="n">
        <v>4</v>
      </c>
      <c r="E196" s="7">
        <f>IFERROR(YEAR(VLOOKUP(A196,Projects!$A:$AK,16,FALSE()))+D196,D196)</f>
        <v/>
      </c>
      <c r="F196" s="7">
        <f>IFERROR(VLOOKUP(A196,Projects!$A:$AK,21,FALSE()),"")</f>
        <v/>
      </c>
      <c r="G196" s="7">
        <f>IFERROR(VLOOKUP(A196,Projects!$A:$AK,22,FALSE()),"")</f>
        <v/>
      </c>
      <c r="H196" s="7">
        <f>F196+G196</f>
        <v/>
      </c>
      <c r="I196" s="7" t="n">
        <v>0</v>
      </c>
      <c r="J196" s="7" t="n">
        <v>0</v>
      </c>
      <c r="K196" s="7">
        <f>I196+J196</f>
        <v/>
      </c>
      <c r="L196" s="7">
        <f>K196-H196</f>
        <v/>
      </c>
      <c r="M196" s="7" t="inlineStr">
        <is>
          <t>One-Off</t>
        </is>
      </c>
      <c r="N196" s="7" t="inlineStr">
        <is>
          <t>Revenue Uplift</t>
        </is>
      </c>
      <c r="O196" s="7" t="n">
        <v>70</v>
      </c>
    </row>
    <row r="197" ht="15" customHeight="1" s="5">
      <c r="A197" s="7" t="inlineStr">
        <is>
          <t>PRJ040</t>
        </is>
      </c>
      <c r="B197" s="7">
        <f>IFERROR(VLOOKUP(A197,Projects!$A:$AK,2,FALSE()),"")</f>
        <v/>
      </c>
      <c r="C197" s="7">
        <f>IFERROR(VLOOKUP(A197,Projects!$A:$AK,3,FALSE()),"")</f>
        <v/>
      </c>
      <c r="D197" s="7" t="n">
        <v>0</v>
      </c>
      <c r="E197" s="7">
        <f>IFERROR(YEAR(VLOOKUP(A197,Projects!$A:$AK,16,FALSE()))+D197,D197)</f>
        <v/>
      </c>
      <c r="F197" s="7">
        <f>IFERROR(VLOOKUP(A197,Projects!$A:$AK,21,FALSE()),"")</f>
        <v/>
      </c>
      <c r="G197" s="7">
        <f>IFERROR(VLOOKUP(A197,Projects!$A:$AK,22,FALSE()),"")</f>
        <v/>
      </c>
      <c r="H197" s="7">
        <f>F197+G197</f>
        <v/>
      </c>
      <c r="I197" s="7" t="n">
        <v>0</v>
      </c>
      <c r="J197" s="7" t="n">
        <v>0</v>
      </c>
      <c r="K197" s="7">
        <f>I197+J197</f>
        <v/>
      </c>
      <c r="L197" s="7">
        <f>K197-H197</f>
        <v/>
      </c>
      <c r="M197" s="7" t="inlineStr">
        <is>
          <t>One-Off</t>
        </is>
      </c>
      <c r="N197" s="7" t="inlineStr">
        <is>
          <t>Compliance</t>
        </is>
      </c>
      <c r="O197" s="7" t="n">
        <v>70</v>
      </c>
    </row>
    <row r="198" ht="15" customHeight="1" s="5">
      <c r="A198" s="7" t="inlineStr">
        <is>
          <t>PRJ040</t>
        </is>
      </c>
      <c r="B198" s="7">
        <f>IFERROR(VLOOKUP(A198,Projects!$A:$AK,2,FALSE()),"")</f>
        <v/>
      </c>
      <c r="C198" s="7">
        <f>IFERROR(VLOOKUP(A198,Projects!$A:$AK,3,FALSE()),"")</f>
        <v/>
      </c>
      <c r="D198" s="7" t="n">
        <v>1</v>
      </c>
      <c r="E198" s="7">
        <f>IFERROR(YEAR(VLOOKUP(A198,Projects!$A:$AK,16,FALSE()))+D198,D198)</f>
        <v/>
      </c>
      <c r="F198" s="7">
        <f>IFERROR(VLOOKUP(A198,Projects!$A:$AK,21,FALSE()),"")</f>
        <v/>
      </c>
      <c r="G198" s="7">
        <f>IFERROR(VLOOKUP(A198,Projects!$A:$AK,22,FALSE()),"")</f>
        <v/>
      </c>
      <c r="H198" s="7">
        <f>F198+G198</f>
        <v/>
      </c>
      <c r="I198" s="7" t="n">
        <v>0</v>
      </c>
      <c r="J198" s="7" t="n">
        <v>1873752</v>
      </c>
      <c r="K198" s="7">
        <f>I198+J198</f>
        <v/>
      </c>
      <c r="L198" s="7">
        <f>K198-H198</f>
        <v/>
      </c>
      <c r="M198" s="7" t="inlineStr">
        <is>
          <t>One-Off</t>
        </is>
      </c>
      <c r="N198" s="7" t="inlineStr">
        <is>
          <t>Compliance</t>
        </is>
      </c>
      <c r="O198" s="7" t="n">
        <v>80</v>
      </c>
    </row>
    <row r="199" ht="15" customHeight="1" s="5">
      <c r="A199" s="7" t="inlineStr">
        <is>
          <t>PRJ040</t>
        </is>
      </c>
      <c r="B199" s="7">
        <f>IFERROR(VLOOKUP(A199,Projects!$A:$AK,2,FALSE()),"")</f>
        <v/>
      </c>
      <c r="C199" s="7">
        <f>IFERROR(VLOOKUP(A199,Projects!$A:$AK,3,FALSE()),"")</f>
        <v/>
      </c>
      <c r="D199" s="7" t="n">
        <v>2</v>
      </c>
      <c r="E199" s="7">
        <f>IFERROR(YEAR(VLOOKUP(A199,Projects!$A:$AK,16,FALSE()))+D199,D199)</f>
        <v/>
      </c>
      <c r="F199" s="7">
        <f>IFERROR(VLOOKUP(A199,Projects!$A:$AK,21,FALSE()),"")</f>
        <v/>
      </c>
      <c r="G199" s="7">
        <f>IFERROR(VLOOKUP(A199,Projects!$A:$AK,22,FALSE()),"")</f>
        <v/>
      </c>
      <c r="H199" s="7">
        <f>F199+G199</f>
        <v/>
      </c>
      <c r="I199" s="7" t="n">
        <v>0</v>
      </c>
      <c r="J199" s="7" t="n">
        <v>0</v>
      </c>
      <c r="K199" s="7">
        <f>I199+J199</f>
        <v/>
      </c>
      <c r="L199" s="7">
        <f>K199-H199</f>
        <v/>
      </c>
      <c r="M199" s="7" t="inlineStr">
        <is>
          <t>One-Off</t>
        </is>
      </c>
      <c r="N199" s="7" t="inlineStr">
        <is>
          <t>Compliance</t>
        </is>
      </c>
      <c r="O199" s="7" t="n">
        <v>70</v>
      </c>
    </row>
    <row r="200" ht="15" customHeight="1" s="5">
      <c r="A200" s="7" t="inlineStr">
        <is>
          <t>PRJ040</t>
        </is>
      </c>
      <c r="B200" s="7">
        <f>IFERROR(VLOOKUP(A200,Projects!$A:$AK,2,FALSE()),"")</f>
        <v/>
      </c>
      <c r="C200" s="7">
        <f>IFERROR(VLOOKUP(A200,Projects!$A:$AK,3,FALSE()),"")</f>
        <v/>
      </c>
      <c r="D200" s="7" t="n">
        <v>3</v>
      </c>
      <c r="E200" s="7">
        <f>IFERROR(YEAR(VLOOKUP(A200,Projects!$A:$AK,16,FALSE()))+D200,D200)</f>
        <v/>
      </c>
      <c r="F200" s="7">
        <f>IFERROR(VLOOKUP(A200,Projects!$A:$AK,21,FALSE()),"")</f>
        <v/>
      </c>
      <c r="G200" s="7">
        <f>IFERROR(VLOOKUP(A200,Projects!$A:$AK,22,FALSE()),"")</f>
        <v/>
      </c>
      <c r="H200" s="7">
        <f>F200+G200</f>
        <v/>
      </c>
      <c r="I200" s="7" t="n">
        <v>0</v>
      </c>
      <c r="J200" s="7" t="n">
        <v>0</v>
      </c>
      <c r="K200" s="7">
        <f>I200+J200</f>
        <v/>
      </c>
      <c r="L200" s="7">
        <f>K200-H200</f>
        <v/>
      </c>
      <c r="M200" s="7" t="inlineStr">
        <is>
          <t>One-Off</t>
        </is>
      </c>
      <c r="N200" s="7" t="inlineStr">
        <is>
          <t>Compliance</t>
        </is>
      </c>
      <c r="O200" s="7" t="n">
        <v>70</v>
      </c>
    </row>
    <row r="201" ht="15" customHeight="1" s="5">
      <c r="A201" s="7" t="inlineStr">
        <is>
          <t>PRJ040</t>
        </is>
      </c>
      <c r="B201" s="7">
        <f>IFERROR(VLOOKUP(A201,Projects!$A:$AK,2,FALSE()),"")</f>
        <v/>
      </c>
      <c r="C201" s="7">
        <f>IFERROR(VLOOKUP(A201,Projects!$A:$AK,3,FALSE()),"")</f>
        <v/>
      </c>
      <c r="D201" s="7" t="n">
        <v>4</v>
      </c>
      <c r="E201" s="7">
        <f>IFERROR(YEAR(VLOOKUP(A201,Projects!$A:$AK,16,FALSE()))+D201,D201)</f>
        <v/>
      </c>
      <c r="F201" s="7">
        <f>IFERROR(VLOOKUP(A201,Projects!$A:$AK,21,FALSE()),"")</f>
        <v/>
      </c>
      <c r="G201" s="7">
        <f>IFERROR(VLOOKUP(A201,Projects!$A:$AK,22,FALSE()),"")</f>
        <v/>
      </c>
      <c r="H201" s="7">
        <f>F201+G201</f>
        <v/>
      </c>
      <c r="I201" s="7" t="n">
        <v>0</v>
      </c>
      <c r="J201" s="7" t="n">
        <v>0</v>
      </c>
      <c r="K201" s="7">
        <f>I201+J201</f>
        <v/>
      </c>
      <c r="L201" s="7">
        <f>K201-H201</f>
        <v/>
      </c>
      <c r="M201" s="7" t="inlineStr">
        <is>
          <t>One-Off</t>
        </is>
      </c>
      <c r="N201" s="7" t="inlineStr">
        <is>
          <t>Compliance</t>
        </is>
      </c>
      <c r="O201" s="7" t="n">
        <v>70</v>
      </c>
    </row>
    <row r="202" ht="15" customHeight="1" s="5">
      <c r="M202" s="7" t="n"/>
      <c r="N202" s="7" t="n"/>
    </row>
    <row r="203" ht="15" customHeight="1" s="5">
      <c r="M203" s="7" t="n"/>
      <c r="N203" s="7" t="n"/>
    </row>
    <row r="204" ht="15" customHeight="1" s="5">
      <c r="M204" s="7" t="n"/>
      <c r="N204" s="7" t="n"/>
    </row>
    <row r="205" ht="15" customHeight="1" s="5">
      <c r="M205" s="7" t="n"/>
      <c r="N205" s="7" t="n"/>
    </row>
    <row r="206" ht="15" customHeight="1" s="5">
      <c r="M206" s="7" t="n"/>
      <c r="N206" s="7" t="n"/>
    </row>
    <row r="207" ht="15" customHeight="1" s="5">
      <c r="M207" s="7" t="n"/>
      <c r="N207" s="7" t="n"/>
    </row>
    <row r="208" ht="15" customHeight="1" s="5">
      <c r="M208" s="7" t="n"/>
      <c r="N208" s="7" t="n"/>
    </row>
    <row r="209" ht="15" customHeight="1" s="5">
      <c r="M209" s="7" t="n"/>
      <c r="N209" s="7" t="n"/>
    </row>
    <row r="210" ht="15" customHeight="1" s="5">
      <c r="M210" s="7" t="n"/>
      <c r="N210" s="7" t="n"/>
    </row>
    <row r="211" ht="15" customHeight="1" s="5">
      <c r="M211" s="7" t="n"/>
      <c r="N211" s="7" t="n"/>
    </row>
    <row r="212" ht="15" customHeight="1" s="5">
      <c r="M212" s="7" t="n"/>
      <c r="N212" s="7" t="n"/>
    </row>
    <row r="213" ht="15" customHeight="1" s="5">
      <c r="M213" s="7" t="n"/>
      <c r="N213" s="7" t="n"/>
    </row>
    <row r="214" ht="15" customHeight="1" s="5">
      <c r="M214" s="7" t="n"/>
      <c r="N214" s="7" t="n"/>
    </row>
    <row r="215" ht="15" customHeight="1" s="5">
      <c r="M215" s="7" t="n"/>
      <c r="N215" s="7" t="n"/>
    </row>
    <row r="216" ht="15" customHeight="1" s="5">
      <c r="M216" s="7" t="n"/>
      <c r="N216" s="7" t="n"/>
    </row>
    <row r="217" ht="15" customHeight="1" s="5">
      <c r="M217" s="7" t="n"/>
      <c r="N217" s="7" t="n"/>
    </row>
    <row r="218" ht="15" customHeight="1" s="5">
      <c r="M218" s="7" t="n"/>
      <c r="N218" s="7" t="n"/>
    </row>
    <row r="219" ht="15" customHeight="1" s="5">
      <c r="M219" s="7" t="n"/>
      <c r="N219" s="7" t="n"/>
    </row>
    <row r="220" ht="15" customHeight="1" s="5">
      <c r="M220" s="7" t="n"/>
      <c r="N220" s="7" t="n"/>
    </row>
    <row r="221" ht="15" customHeight="1" s="5">
      <c r="M221" s="7" t="n"/>
      <c r="N221" s="7" t="n"/>
    </row>
    <row r="222" ht="15" customHeight="1" s="5">
      <c r="M222" s="7" t="n"/>
      <c r="N222" s="7" t="n"/>
    </row>
    <row r="223" ht="15" customHeight="1" s="5">
      <c r="M223" s="7" t="n"/>
      <c r="N223" s="7" t="n"/>
    </row>
    <row r="224" ht="15" customHeight="1" s="5">
      <c r="M224" s="7" t="n"/>
      <c r="N224" s="7" t="n"/>
    </row>
    <row r="225" ht="15" customHeight="1" s="5">
      <c r="M225" s="7" t="n"/>
      <c r="N225" s="7" t="n"/>
    </row>
    <row r="226" ht="15" customHeight="1" s="5">
      <c r="M226" s="7" t="n"/>
      <c r="N226" s="7" t="n"/>
    </row>
    <row r="227" ht="15" customHeight="1" s="5">
      <c r="M227" s="7" t="n"/>
      <c r="N227" s="7" t="n"/>
    </row>
    <row r="228" ht="15" customHeight="1" s="5">
      <c r="M228" s="7" t="n"/>
      <c r="N228" s="7" t="n"/>
    </row>
    <row r="229" ht="15" customHeight="1" s="5">
      <c r="M229" s="7" t="n"/>
      <c r="N229" s="7" t="n"/>
    </row>
    <row r="230" ht="15" customHeight="1" s="5">
      <c r="M230" s="7" t="n"/>
      <c r="N230" s="7" t="n"/>
    </row>
    <row r="231" ht="15" customHeight="1" s="5">
      <c r="M231" s="7" t="n"/>
      <c r="N231" s="7" t="n"/>
    </row>
    <row r="232" ht="15" customHeight="1" s="5">
      <c r="M232" s="7" t="n"/>
      <c r="N232" s="7" t="n"/>
    </row>
    <row r="233" ht="15" customHeight="1" s="5">
      <c r="M233" s="7" t="n"/>
      <c r="N233" s="7" t="n"/>
    </row>
    <row r="234" ht="15" customHeight="1" s="5">
      <c r="M234" s="7" t="n"/>
      <c r="N234" s="7" t="n"/>
    </row>
    <row r="235" ht="15" customHeight="1" s="5">
      <c r="M235" s="7" t="n"/>
      <c r="N235" s="7" t="n"/>
    </row>
    <row r="236" ht="15" customHeight="1" s="5">
      <c r="M236" s="7" t="n"/>
      <c r="N236" s="7" t="n"/>
    </row>
    <row r="237" ht="15" customHeight="1" s="5">
      <c r="M237" s="7" t="n"/>
      <c r="N237" s="7" t="n"/>
    </row>
    <row r="238" ht="15" customHeight="1" s="5">
      <c r="M238" s="7" t="n"/>
      <c r="N238" s="7" t="n"/>
    </row>
    <row r="239" ht="15" customHeight="1" s="5">
      <c r="M239" s="7" t="n"/>
      <c r="N239" s="7" t="n"/>
    </row>
    <row r="240" ht="15" customHeight="1" s="5">
      <c r="M240" s="7" t="n"/>
      <c r="N240" s="7" t="n"/>
    </row>
    <row r="241" ht="15" customHeight="1" s="5">
      <c r="M241" s="7" t="n"/>
      <c r="N241" s="7" t="n"/>
    </row>
    <row r="242" ht="15" customHeight="1" s="5">
      <c r="M242" s="7" t="n"/>
      <c r="N242" s="7" t="n"/>
    </row>
    <row r="243" ht="15" customHeight="1" s="5">
      <c r="M243" s="7" t="n"/>
      <c r="N243" s="7" t="n"/>
    </row>
    <row r="244" ht="15" customHeight="1" s="5">
      <c r="M244" s="7" t="n"/>
      <c r="N244" s="7" t="n"/>
    </row>
    <row r="245" ht="15" customHeight="1" s="5">
      <c r="M245" s="7" t="n"/>
      <c r="N245" s="7" t="n"/>
    </row>
    <row r="246" ht="15" customHeight="1" s="5">
      <c r="M246" s="7" t="n"/>
      <c r="N246" s="7" t="n"/>
    </row>
    <row r="247" ht="15" customHeight="1" s="5">
      <c r="M247" s="7" t="n"/>
      <c r="N247" s="7" t="n"/>
    </row>
    <row r="248" ht="15" customHeight="1" s="5">
      <c r="M248" s="7" t="n"/>
      <c r="N248" s="7" t="n"/>
    </row>
    <row r="249" ht="15" customHeight="1" s="5">
      <c r="M249" s="7" t="n"/>
      <c r="N249" s="7" t="n"/>
    </row>
    <row r="250" ht="15" customHeight="1" s="5">
      <c r="M250" s="7" t="n"/>
      <c r="N250" s="7" t="n"/>
    </row>
    <row r="251" ht="15" customHeight="1" s="5">
      <c r="M251" s="7" t="n"/>
      <c r="N251" s="7" t="n"/>
    </row>
    <row r="252" ht="15" customHeight="1" s="5">
      <c r="M252" s="7" t="n"/>
      <c r="N252" s="7" t="n"/>
    </row>
    <row r="253" ht="15" customHeight="1" s="5">
      <c r="M253" s="7" t="n"/>
      <c r="N253" s="7" t="n"/>
    </row>
    <row r="254" ht="15" customHeight="1" s="5">
      <c r="M254" s="7" t="n"/>
      <c r="N254" s="7" t="n"/>
    </row>
    <row r="255" ht="15" customHeight="1" s="5">
      <c r="M255" s="7" t="n"/>
      <c r="N255" s="7" t="n"/>
    </row>
    <row r="256" ht="15" customHeight="1" s="5">
      <c r="M256" s="7" t="n"/>
      <c r="N256" s="7" t="n"/>
    </row>
    <row r="257" ht="15" customHeight="1" s="5">
      <c r="M257" s="7" t="n"/>
      <c r="N257" s="7" t="n"/>
    </row>
    <row r="258" ht="15" customHeight="1" s="5">
      <c r="M258" s="7" t="n"/>
      <c r="N258" s="7" t="n"/>
    </row>
    <row r="259" ht="15" customHeight="1" s="5">
      <c r="M259" s="7" t="n"/>
      <c r="N259" s="7" t="n"/>
    </row>
    <row r="260" ht="15" customHeight="1" s="5">
      <c r="M260" s="7" t="n"/>
      <c r="N260" s="7" t="n"/>
    </row>
    <row r="261" ht="15" customHeight="1" s="5">
      <c r="M261" s="7" t="n"/>
      <c r="N261" s="7" t="n"/>
    </row>
    <row r="262" ht="15" customHeight="1" s="5">
      <c r="M262" s="7" t="n"/>
      <c r="N262" s="7" t="n"/>
    </row>
    <row r="263" ht="15" customHeight="1" s="5">
      <c r="M263" s="7" t="n"/>
      <c r="N263" s="7" t="n"/>
    </row>
    <row r="264" ht="15" customHeight="1" s="5">
      <c r="M264" s="7" t="n"/>
      <c r="N264" s="7" t="n"/>
    </row>
    <row r="265" ht="15" customHeight="1" s="5">
      <c r="M265" s="7" t="n"/>
      <c r="N265" s="7" t="n"/>
    </row>
    <row r="266" ht="15" customHeight="1" s="5">
      <c r="M266" s="7" t="n"/>
      <c r="N266" s="7" t="n"/>
    </row>
    <row r="267" ht="15" customHeight="1" s="5">
      <c r="M267" s="7" t="n"/>
      <c r="N267" s="7" t="n"/>
    </row>
    <row r="268" ht="15" customHeight="1" s="5">
      <c r="M268" s="7" t="n"/>
      <c r="N268" s="7" t="n"/>
    </row>
    <row r="269" ht="15" customHeight="1" s="5">
      <c r="M269" s="7" t="n"/>
      <c r="N269" s="7" t="n"/>
    </row>
    <row r="270" ht="15" customHeight="1" s="5">
      <c r="M270" s="7" t="n"/>
      <c r="N270" s="7" t="n"/>
    </row>
    <row r="271" ht="15" customHeight="1" s="5">
      <c r="M271" s="7" t="n"/>
      <c r="N271" s="7" t="n"/>
    </row>
    <row r="272" ht="15" customHeight="1" s="5">
      <c r="M272" s="7" t="n"/>
      <c r="N272" s="7" t="n"/>
    </row>
    <row r="273" ht="15" customHeight="1" s="5">
      <c r="M273" s="7" t="n"/>
      <c r="N273" s="7" t="n"/>
    </row>
    <row r="274" ht="15" customHeight="1" s="5">
      <c r="M274" s="7" t="n"/>
      <c r="N274" s="7" t="n"/>
    </row>
    <row r="275" ht="15" customHeight="1" s="5">
      <c r="M275" s="7" t="n"/>
      <c r="N275" s="7" t="n"/>
    </row>
    <row r="276" ht="15" customHeight="1" s="5">
      <c r="M276" s="7" t="n"/>
      <c r="N276" s="7" t="n"/>
    </row>
    <row r="277" ht="15" customHeight="1" s="5">
      <c r="M277" s="7" t="n"/>
      <c r="N277" s="7" t="n"/>
    </row>
    <row r="278" ht="15" customHeight="1" s="5">
      <c r="M278" s="7" t="n"/>
      <c r="N278" s="7" t="n"/>
    </row>
    <row r="279" ht="15" customHeight="1" s="5">
      <c r="M279" s="7" t="n"/>
      <c r="N279" s="7" t="n"/>
    </row>
    <row r="280" ht="15" customHeight="1" s="5">
      <c r="M280" s="7" t="n"/>
      <c r="N280" s="7" t="n"/>
    </row>
    <row r="281" ht="15" customHeight="1" s="5">
      <c r="M281" s="7" t="n"/>
      <c r="N281" s="7" t="n"/>
    </row>
    <row r="282" ht="15" customHeight="1" s="5">
      <c r="M282" s="7" t="n"/>
      <c r="N282" s="7" t="n"/>
    </row>
    <row r="283" ht="15" customHeight="1" s="5">
      <c r="M283" s="7" t="n"/>
      <c r="N283" s="7" t="n"/>
    </row>
    <row r="284" ht="15" customHeight="1" s="5">
      <c r="M284" s="7" t="n"/>
      <c r="N284" s="7" t="n"/>
    </row>
    <row r="285" ht="15" customHeight="1" s="5">
      <c r="M285" s="7" t="n"/>
      <c r="N285" s="7" t="n"/>
    </row>
    <row r="286" ht="15" customHeight="1" s="5">
      <c r="M286" s="7" t="n"/>
      <c r="N286" s="7" t="n"/>
    </row>
    <row r="287" ht="15" customHeight="1" s="5">
      <c r="M287" s="7" t="n"/>
      <c r="N287" s="7" t="n"/>
    </row>
    <row r="288" ht="15" customHeight="1" s="5">
      <c r="M288" s="7" t="n"/>
      <c r="N288" s="7" t="n"/>
    </row>
    <row r="289" ht="15" customHeight="1" s="5">
      <c r="M289" s="7" t="n"/>
      <c r="N289" s="7" t="n"/>
    </row>
    <row r="290" ht="15" customHeight="1" s="5">
      <c r="M290" s="7" t="n"/>
      <c r="N290" s="7" t="n"/>
    </row>
    <row r="291" ht="15" customHeight="1" s="5">
      <c r="M291" s="7" t="n"/>
      <c r="N291" s="7" t="n"/>
    </row>
    <row r="292" ht="15" customHeight="1" s="5">
      <c r="M292" s="7" t="n"/>
      <c r="N292" s="7" t="n"/>
    </row>
    <row r="293" ht="15" customHeight="1" s="5">
      <c r="M293" s="7" t="n"/>
      <c r="N293" s="7" t="n"/>
    </row>
    <row r="294" ht="15" customHeight="1" s="5">
      <c r="M294" s="7" t="n"/>
      <c r="N294" s="7" t="n"/>
    </row>
    <row r="295" ht="15" customHeight="1" s="5">
      <c r="M295" s="7" t="n"/>
      <c r="N295" s="7" t="n"/>
    </row>
    <row r="296" ht="15" customHeight="1" s="5">
      <c r="M296" s="7" t="n"/>
      <c r="N296" s="7" t="n"/>
    </row>
    <row r="297" ht="15" customHeight="1" s="5">
      <c r="M297" s="7" t="n"/>
      <c r="N297" s="7" t="n"/>
    </row>
    <row r="298" ht="15" customHeight="1" s="5">
      <c r="M298" s="7" t="n"/>
      <c r="N298" s="7" t="n"/>
    </row>
    <row r="299" ht="15" customHeight="1" s="5">
      <c r="M299" s="7" t="n"/>
      <c r="N299" s="7" t="n"/>
    </row>
    <row r="300" ht="15" customHeight="1" s="5">
      <c r="M300" s="7" t="n"/>
      <c r="N300" s="7" t="n"/>
    </row>
    <row r="301" ht="15" customHeight="1" s="5">
      <c r="M301" s="7" t="n"/>
      <c r="N301" s="7" t="n"/>
    </row>
    <row r="302" ht="15" customHeight="1" s="5">
      <c r="M302" s="7" t="n"/>
      <c r="N302" s="7" t="n"/>
    </row>
    <row r="303" ht="15" customHeight="1" s="5">
      <c r="M303" s="7" t="n"/>
      <c r="N303" s="7" t="n"/>
    </row>
    <row r="304" ht="15" customHeight="1" s="5">
      <c r="M304" s="7" t="n"/>
      <c r="N304" s="7" t="n"/>
    </row>
    <row r="305" ht="15" customHeight="1" s="5">
      <c r="M305" s="7" t="n"/>
      <c r="N305" s="7" t="n"/>
    </row>
    <row r="306" ht="15" customHeight="1" s="5">
      <c r="M306" s="7" t="n"/>
      <c r="N306" s="7" t="n"/>
    </row>
    <row r="307" ht="15" customHeight="1" s="5">
      <c r="M307" s="7" t="n"/>
      <c r="N307" s="7" t="n"/>
    </row>
    <row r="308" ht="15" customHeight="1" s="5">
      <c r="M308" s="7" t="n"/>
      <c r="N308" s="7" t="n"/>
    </row>
    <row r="309" ht="15" customHeight="1" s="5">
      <c r="M309" s="7" t="n"/>
      <c r="N309" s="7" t="n"/>
    </row>
    <row r="310" ht="15" customHeight="1" s="5">
      <c r="M310" s="7" t="n"/>
      <c r="N310" s="7" t="n"/>
    </row>
    <row r="311" ht="15" customHeight="1" s="5">
      <c r="M311" s="7" t="n"/>
      <c r="N311" s="7" t="n"/>
    </row>
    <row r="312" ht="15" customHeight="1" s="5">
      <c r="M312" s="7" t="n"/>
      <c r="N312" s="7" t="n"/>
    </row>
    <row r="313" ht="15" customHeight="1" s="5">
      <c r="M313" s="7" t="n"/>
      <c r="N313" s="7" t="n"/>
    </row>
    <row r="314" ht="15" customHeight="1" s="5">
      <c r="M314" s="7" t="n"/>
      <c r="N314" s="7" t="n"/>
    </row>
    <row r="315" ht="15" customHeight="1" s="5">
      <c r="M315" s="7" t="n"/>
      <c r="N315" s="7" t="n"/>
    </row>
    <row r="316" ht="15" customHeight="1" s="5">
      <c r="M316" s="7" t="n"/>
      <c r="N316" s="7" t="n"/>
    </row>
    <row r="317" ht="15" customHeight="1" s="5">
      <c r="M317" s="7" t="n"/>
      <c r="N317" s="7" t="n"/>
    </row>
    <row r="318" ht="15" customHeight="1" s="5">
      <c r="M318" s="7" t="n"/>
      <c r="N318" s="7" t="n"/>
    </row>
    <row r="319" ht="15" customHeight="1" s="5">
      <c r="M319" s="7" t="n"/>
      <c r="N319" s="7" t="n"/>
    </row>
    <row r="320" ht="15" customHeight="1" s="5">
      <c r="M320" s="7" t="n"/>
      <c r="N320" s="7" t="n"/>
    </row>
    <row r="321" ht="15" customHeight="1" s="5">
      <c r="M321" s="7" t="n"/>
      <c r="N321" s="7" t="n"/>
    </row>
    <row r="322" ht="15" customHeight="1" s="5">
      <c r="M322" s="7" t="n"/>
      <c r="N322" s="7" t="n"/>
    </row>
    <row r="323" ht="15" customHeight="1" s="5">
      <c r="M323" s="7" t="n"/>
      <c r="N323" s="7" t="n"/>
    </row>
    <row r="324" ht="15" customHeight="1" s="5">
      <c r="M324" s="7" t="n"/>
      <c r="N324" s="7" t="n"/>
    </row>
    <row r="325" ht="15" customHeight="1" s="5">
      <c r="M325" s="7" t="n"/>
      <c r="N325" s="7" t="n"/>
    </row>
    <row r="326" ht="15" customHeight="1" s="5">
      <c r="M326" s="7" t="n"/>
      <c r="N326" s="7" t="n"/>
    </row>
    <row r="327" ht="15" customHeight="1" s="5">
      <c r="M327" s="7" t="n"/>
      <c r="N327" s="7" t="n"/>
    </row>
    <row r="328" ht="15" customHeight="1" s="5">
      <c r="M328" s="7" t="n"/>
      <c r="N328" s="7" t="n"/>
    </row>
    <row r="329" ht="15" customHeight="1" s="5">
      <c r="M329" s="7" t="n"/>
      <c r="N329" s="7" t="n"/>
    </row>
    <row r="330" ht="15" customHeight="1" s="5">
      <c r="M330" s="7" t="n"/>
      <c r="N330" s="7" t="n"/>
    </row>
    <row r="331" ht="15" customHeight="1" s="5">
      <c r="M331" s="7" t="n"/>
      <c r="N331" s="7" t="n"/>
    </row>
    <row r="332" ht="15" customHeight="1" s="5">
      <c r="M332" s="7" t="n"/>
      <c r="N332" s="7" t="n"/>
    </row>
    <row r="333" ht="15" customHeight="1" s="5">
      <c r="M333" s="7" t="n"/>
      <c r="N333" s="7" t="n"/>
    </row>
    <row r="334" ht="15" customHeight="1" s="5">
      <c r="M334" s="7" t="n"/>
      <c r="N334" s="7" t="n"/>
    </row>
    <row r="335" ht="15" customHeight="1" s="5">
      <c r="M335" s="7" t="n"/>
      <c r="N335" s="7" t="n"/>
    </row>
    <row r="336" ht="15" customHeight="1" s="5">
      <c r="M336" s="7" t="n"/>
      <c r="N336" s="7" t="n"/>
    </row>
    <row r="337" ht="15" customHeight="1" s="5">
      <c r="M337" s="7" t="n"/>
      <c r="N337" s="7" t="n"/>
    </row>
    <row r="338" ht="15" customHeight="1" s="5">
      <c r="M338" s="7" t="n"/>
      <c r="N338" s="7" t="n"/>
    </row>
    <row r="339" ht="15" customHeight="1" s="5">
      <c r="M339" s="7" t="n"/>
      <c r="N339" s="7" t="n"/>
    </row>
    <row r="340" ht="15" customHeight="1" s="5">
      <c r="M340" s="7" t="n"/>
      <c r="N340" s="7" t="n"/>
    </row>
    <row r="341" ht="15" customHeight="1" s="5">
      <c r="M341" s="7" t="n"/>
      <c r="N341" s="7" t="n"/>
    </row>
    <row r="342" ht="15" customHeight="1" s="5">
      <c r="M342" s="7" t="n"/>
      <c r="N342" s="7" t="n"/>
    </row>
    <row r="343" ht="15" customHeight="1" s="5">
      <c r="M343" s="7" t="n"/>
      <c r="N343" s="7" t="n"/>
    </row>
    <row r="344" ht="15" customHeight="1" s="5">
      <c r="M344" s="7" t="n"/>
      <c r="N344" s="7" t="n"/>
    </row>
    <row r="345" ht="15" customHeight="1" s="5">
      <c r="M345" s="7" t="n"/>
      <c r="N345" s="7" t="n"/>
    </row>
    <row r="346" ht="15" customHeight="1" s="5">
      <c r="M346" s="7" t="n"/>
      <c r="N346" s="7" t="n"/>
    </row>
    <row r="347" ht="15" customHeight="1" s="5">
      <c r="M347" s="7" t="n"/>
      <c r="N347" s="7" t="n"/>
    </row>
    <row r="348" ht="15" customHeight="1" s="5">
      <c r="M348" s="7" t="n"/>
      <c r="N348" s="7" t="n"/>
    </row>
    <row r="349" ht="15" customHeight="1" s="5">
      <c r="M349" s="7" t="n"/>
      <c r="N349" s="7" t="n"/>
    </row>
    <row r="350" ht="15" customHeight="1" s="5">
      <c r="M350" s="7" t="n"/>
      <c r="N350" s="7" t="n"/>
    </row>
    <row r="351" ht="15" customHeight="1" s="5">
      <c r="M351" s="7" t="n"/>
      <c r="N351" s="7" t="n"/>
    </row>
    <row r="352" ht="15" customHeight="1" s="5">
      <c r="M352" s="7" t="n"/>
      <c r="N352" s="7" t="n"/>
    </row>
    <row r="353" ht="15" customHeight="1" s="5">
      <c r="M353" s="7" t="n"/>
      <c r="N353" s="7" t="n"/>
    </row>
    <row r="354" ht="15" customHeight="1" s="5">
      <c r="M354" s="7" t="n"/>
      <c r="N354" s="7" t="n"/>
    </row>
    <row r="355" ht="15" customHeight="1" s="5">
      <c r="M355" s="7" t="n"/>
      <c r="N355" s="7" t="n"/>
    </row>
    <row r="356" ht="15" customHeight="1" s="5">
      <c r="M356" s="7" t="n"/>
      <c r="N356" s="7" t="n"/>
    </row>
    <row r="357" ht="15" customHeight="1" s="5">
      <c r="M357" s="7" t="n"/>
      <c r="N357" s="7" t="n"/>
    </row>
    <row r="358" ht="15" customHeight="1" s="5">
      <c r="M358" s="7" t="n"/>
      <c r="N358" s="7" t="n"/>
    </row>
    <row r="359" ht="15" customHeight="1" s="5">
      <c r="M359" s="7" t="n"/>
      <c r="N359" s="7" t="n"/>
    </row>
    <row r="360" ht="15" customHeight="1" s="5">
      <c r="M360" s="7" t="n"/>
      <c r="N360" s="7" t="n"/>
    </row>
    <row r="361" ht="15" customHeight="1" s="5">
      <c r="M361" s="7" t="n"/>
      <c r="N361" s="7" t="n"/>
    </row>
    <row r="362" ht="15" customHeight="1" s="5">
      <c r="M362" s="7" t="n"/>
      <c r="N362" s="7" t="n"/>
    </row>
    <row r="363" ht="15" customHeight="1" s="5">
      <c r="M363" s="7" t="n"/>
      <c r="N363" s="7" t="n"/>
    </row>
    <row r="364" ht="15" customHeight="1" s="5">
      <c r="M364" s="7" t="n"/>
      <c r="N364" s="7" t="n"/>
    </row>
    <row r="365" ht="15" customHeight="1" s="5">
      <c r="M365" s="7" t="n"/>
      <c r="N365" s="7" t="n"/>
    </row>
    <row r="366" ht="15" customHeight="1" s="5">
      <c r="M366" s="7" t="n"/>
      <c r="N366" s="7" t="n"/>
    </row>
    <row r="367" ht="15" customHeight="1" s="5">
      <c r="M367" s="7" t="n"/>
      <c r="N367" s="7" t="n"/>
    </row>
    <row r="368" ht="15" customHeight="1" s="5">
      <c r="M368" s="7" t="n"/>
      <c r="N368" s="7" t="n"/>
    </row>
    <row r="369" ht="15" customHeight="1" s="5">
      <c r="M369" s="7" t="n"/>
      <c r="N369" s="7" t="n"/>
    </row>
    <row r="370" ht="15" customHeight="1" s="5">
      <c r="M370" s="7" t="n"/>
      <c r="N370" s="7" t="n"/>
    </row>
    <row r="371" ht="15" customHeight="1" s="5">
      <c r="M371" s="7" t="n"/>
      <c r="N371" s="7" t="n"/>
    </row>
    <row r="372" ht="15" customHeight="1" s="5">
      <c r="M372" s="7" t="n"/>
      <c r="N372" s="7" t="n"/>
    </row>
    <row r="373" ht="15" customHeight="1" s="5">
      <c r="M373" s="7" t="n"/>
      <c r="N373" s="7" t="n"/>
    </row>
    <row r="374" ht="15" customHeight="1" s="5">
      <c r="M374" s="7" t="n"/>
      <c r="N374" s="7" t="n"/>
    </row>
    <row r="375" ht="15" customHeight="1" s="5">
      <c r="M375" s="7" t="n"/>
      <c r="N375" s="7" t="n"/>
    </row>
    <row r="376" ht="15" customHeight="1" s="5">
      <c r="M376" s="7" t="n"/>
      <c r="N376" s="7" t="n"/>
    </row>
    <row r="377" ht="15" customHeight="1" s="5">
      <c r="M377" s="7" t="n"/>
      <c r="N377" s="7" t="n"/>
    </row>
    <row r="378" ht="15" customHeight="1" s="5">
      <c r="M378" s="7" t="n"/>
      <c r="N378" s="7" t="n"/>
    </row>
    <row r="379" ht="15" customHeight="1" s="5">
      <c r="M379" s="7" t="n"/>
      <c r="N379" s="7" t="n"/>
    </row>
    <row r="380" ht="15" customHeight="1" s="5">
      <c r="M380" s="7" t="n"/>
      <c r="N380" s="7" t="n"/>
    </row>
    <row r="381" ht="15" customHeight="1" s="5">
      <c r="M381" s="7" t="n"/>
      <c r="N381" s="7" t="n"/>
    </row>
    <row r="382" ht="15" customHeight="1" s="5">
      <c r="M382" s="7" t="n"/>
      <c r="N382" s="7" t="n"/>
    </row>
    <row r="383" ht="15" customHeight="1" s="5">
      <c r="M383" s="7" t="n"/>
      <c r="N383" s="7" t="n"/>
    </row>
    <row r="384" ht="15" customHeight="1" s="5">
      <c r="M384" s="7" t="n"/>
      <c r="N384" s="7" t="n"/>
    </row>
    <row r="385" ht="15" customHeight="1" s="5">
      <c r="M385" s="7" t="n"/>
      <c r="N385" s="7" t="n"/>
    </row>
    <row r="386" ht="15" customHeight="1" s="5">
      <c r="M386" s="7" t="n"/>
      <c r="N386" s="7" t="n"/>
    </row>
    <row r="387" ht="15" customHeight="1" s="5">
      <c r="M387" s="7" t="n"/>
      <c r="N387" s="7" t="n"/>
    </row>
    <row r="388" ht="15" customHeight="1" s="5">
      <c r="M388" s="7" t="n"/>
      <c r="N388" s="7" t="n"/>
    </row>
    <row r="389" ht="15" customHeight="1" s="5">
      <c r="M389" s="7" t="n"/>
      <c r="N389" s="7" t="n"/>
    </row>
    <row r="390" ht="15" customHeight="1" s="5">
      <c r="M390" s="7" t="n"/>
      <c r="N390" s="7" t="n"/>
    </row>
    <row r="391" ht="15" customHeight="1" s="5">
      <c r="M391" s="7" t="n"/>
      <c r="N391" s="7" t="n"/>
    </row>
    <row r="392" ht="15" customHeight="1" s="5">
      <c r="M392" s="7" t="n"/>
      <c r="N392" s="7" t="n"/>
    </row>
    <row r="393" ht="15" customHeight="1" s="5">
      <c r="M393" s="7" t="n"/>
      <c r="N393" s="7" t="n"/>
    </row>
    <row r="394" ht="15" customHeight="1" s="5">
      <c r="M394" s="7" t="n"/>
      <c r="N394" s="7" t="n"/>
    </row>
    <row r="395" ht="15" customHeight="1" s="5">
      <c r="M395" s="7" t="n"/>
      <c r="N395" s="7" t="n"/>
    </row>
    <row r="396" ht="15" customHeight="1" s="5">
      <c r="M396" s="7" t="n"/>
      <c r="N396" s="7" t="n"/>
    </row>
    <row r="397" ht="15" customHeight="1" s="5">
      <c r="M397" s="7" t="n"/>
      <c r="N397" s="7" t="n"/>
    </row>
    <row r="398" ht="15" customHeight="1" s="5">
      <c r="M398" s="7" t="n"/>
      <c r="N398" s="7" t="n"/>
    </row>
    <row r="399" ht="15" customHeight="1" s="5">
      <c r="M399" s="7" t="n"/>
      <c r="N399" s="7" t="n"/>
    </row>
    <row r="400" ht="15" customHeight="1" s="5">
      <c r="M400" s="7" t="n"/>
      <c r="N400" s="7" t="n"/>
    </row>
    <row r="401" ht="15" customHeight="1" s="5">
      <c r="M401" s="7" t="n"/>
      <c r="N401" s="7" t="n"/>
    </row>
    <row r="402" ht="15" customHeight="1" s="5">
      <c r="M402" s="7" t="n"/>
      <c r="N402" s="7" t="n"/>
    </row>
    <row r="403" ht="15" customHeight="1" s="5">
      <c r="M403" s="7" t="n"/>
      <c r="N403" s="7" t="n"/>
    </row>
    <row r="404" ht="15" customHeight="1" s="5">
      <c r="M404" s="7" t="n"/>
      <c r="N404" s="7" t="n"/>
    </row>
    <row r="405" ht="15" customHeight="1" s="5">
      <c r="M405" s="7" t="n"/>
      <c r="N405" s="7" t="n"/>
    </row>
    <row r="406" ht="15" customHeight="1" s="5">
      <c r="M406" s="7" t="n"/>
      <c r="N406" s="7" t="n"/>
    </row>
    <row r="407" ht="15" customHeight="1" s="5">
      <c r="M407" s="7" t="n"/>
      <c r="N407" s="7" t="n"/>
    </row>
    <row r="408" ht="15" customHeight="1" s="5">
      <c r="M408" s="7" t="n"/>
      <c r="N408" s="7" t="n"/>
    </row>
    <row r="409" ht="15" customHeight="1" s="5">
      <c r="M409" s="7" t="n"/>
      <c r="N409" s="7" t="n"/>
    </row>
    <row r="410" ht="15" customHeight="1" s="5">
      <c r="M410" s="7" t="n"/>
      <c r="N410" s="7" t="n"/>
    </row>
    <row r="411" ht="15" customHeight="1" s="5">
      <c r="M411" s="7" t="n"/>
      <c r="N411" s="7" t="n"/>
    </row>
    <row r="412" ht="15" customHeight="1" s="5">
      <c r="M412" s="7" t="n"/>
      <c r="N412" s="7" t="n"/>
    </row>
    <row r="413" ht="15" customHeight="1" s="5">
      <c r="M413" s="7" t="n"/>
      <c r="N413" s="7" t="n"/>
    </row>
    <row r="414" ht="15" customHeight="1" s="5">
      <c r="M414" s="7" t="n"/>
      <c r="N414" s="7" t="n"/>
    </row>
    <row r="415" ht="15" customHeight="1" s="5">
      <c r="M415" s="7" t="n"/>
      <c r="N415" s="7" t="n"/>
    </row>
    <row r="416" ht="15" customHeight="1" s="5">
      <c r="M416" s="7" t="n"/>
      <c r="N416" s="7" t="n"/>
    </row>
    <row r="417" ht="15" customHeight="1" s="5">
      <c r="M417" s="7" t="n"/>
      <c r="N417" s="7" t="n"/>
    </row>
    <row r="418" ht="15" customHeight="1" s="5">
      <c r="M418" s="7" t="n"/>
      <c r="N418" s="7" t="n"/>
    </row>
    <row r="419" ht="15" customHeight="1" s="5">
      <c r="M419" s="7" t="n"/>
      <c r="N419" s="7" t="n"/>
    </row>
    <row r="420" ht="15" customHeight="1" s="5">
      <c r="M420" s="7" t="n"/>
      <c r="N420" s="7" t="n"/>
    </row>
    <row r="421" ht="15" customHeight="1" s="5">
      <c r="M421" s="7" t="n"/>
      <c r="N421" s="7" t="n"/>
    </row>
    <row r="422" ht="15" customHeight="1" s="5">
      <c r="M422" s="7" t="n"/>
      <c r="N422" s="7" t="n"/>
    </row>
    <row r="423" ht="15" customHeight="1" s="5">
      <c r="M423" s="7" t="n"/>
      <c r="N423" s="7" t="n"/>
    </row>
    <row r="424" ht="15" customHeight="1" s="5">
      <c r="M424" s="7" t="n"/>
      <c r="N424" s="7" t="n"/>
    </row>
    <row r="425" ht="15" customHeight="1" s="5">
      <c r="M425" s="7" t="n"/>
      <c r="N425" s="7" t="n"/>
    </row>
    <row r="426" ht="15" customHeight="1" s="5">
      <c r="M426" s="7" t="n"/>
      <c r="N426" s="7" t="n"/>
    </row>
    <row r="427" ht="15" customHeight="1" s="5">
      <c r="M427" s="7" t="n"/>
      <c r="N427" s="7" t="n"/>
    </row>
    <row r="428" ht="15" customHeight="1" s="5">
      <c r="M428" s="7" t="n"/>
      <c r="N428" s="7" t="n"/>
    </row>
    <row r="429" ht="15" customHeight="1" s="5">
      <c r="M429" s="7" t="n"/>
      <c r="N429" s="7" t="n"/>
    </row>
    <row r="430" ht="15" customHeight="1" s="5">
      <c r="M430" s="7" t="n"/>
      <c r="N430" s="7" t="n"/>
    </row>
    <row r="431" ht="15" customHeight="1" s="5">
      <c r="M431" s="7" t="n"/>
      <c r="N431" s="7" t="n"/>
    </row>
    <row r="432" ht="15" customHeight="1" s="5">
      <c r="M432" s="7" t="n"/>
      <c r="N432" s="7" t="n"/>
    </row>
    <row r="433" ht="15" customHeight="1" s="5">
      <c r="M433" s="7" t="n"/>
      <c r="N433" s="7" t="n"/>
    </row>
    <row r="434" ht="15" customHeight="1" s="5">
      <c r="M434" s="7" t="n"/>
      <c r="N434" s="7" t="n"/>
    </row>
    <row r="435" ht="15" customHeight="1" s="5">
      <c r="M435" s="7" t="n"/>
      <c r="N435" s="7" t="n"/>
    </row>
    <row r="436" ht="15" customHeight="1" s="5">
      <c r="M436" s="7" t="n"/>
      <c r="N436" s="7" t="n"/>
    </row>
    <row r="437" ht="15" customHeight="1" s="5">
      <c r="M437" s="7" t="n"/>
      <c r="N437" s="7" t="n"/>
    </row>
    <row r="438" ht="15" customHeight="1" s="5">
      <c r="M438" s="7" t="n"/>
      <c r="N438" s="7" t="n"/>
    </row>
    <row r="439" ht="15" customHeight="1" s="5">
      <c r="M439" s="7" t="n"/>
      <c r="N439" s="7" t="n"/>
    </row>
    <row r="440" ht="15" customHeight="1" s="5">
      <c r="M440" s="7" t="n"/>
      <c r="N440" s="7" t="n"/>
    </row>
    <row r="441" ht="15" customHeight="1" s="5">
      <c r="M441" s="7" t="n"/>
      <c r="N441" s="7" t="n"/>
    </row>
    <row r="442" ht="15" customHeight="1" s="5">
      <c r="M442" s="7" t="n"/>
      <c r="N442" s="7" t="n"/>
    </row>
    <row r="443" ht="15" customHeight="1" s="5">
      <c r="M443" s="7" t="n"/>
      <c r="N443" s="7" t="n"/>
    </row>
    <row r="444" ht="15" customHeight="1" s="5">
      <c r="M444" s="7" t="n"/>
      <c r="N444" s="7" t="n"/>
    </row>
    <row r="445" ht="15" customHeight="1" s="5">
      <c r="M445" s="7" t="n"/>
      <c r="N445" s="7" t="n"/>
    </row>
    <row r="446" ht="15" customHeight="1" s="5">
      <c r="M446" s="7" t="n"/>
      <c r="N446" s="7" t="n"/>
    </row>
    <row r="447" ht="15" customHeight="1" s="5">
      <c r="M447" s="7" t="n"/>
      <c r="N447" s="7" t="n"/>
    </row>
    <row r="448" ht="15" customHeight="1" s="5">
      <c r="M448" s="7" t="n"/>
      <c r="N448" s="7" t="n"/>
    </row>
    <row r="449" ht="15" customHeight="1" s="5">
      <c r="M449" s="7" t="n"/>
      <c r="N449" s="7" t="n"/>
    </row>
    <row r="450" ht="15" customHeight="1" s="5">
      <c r="M450" s="7" t="n"/>
      <c r="N450" s="7" t="n"/>
    </row>
    <row r="451" ht="15" customHeight="1" s="5">
      <c r="M451" s="7" t="n"/>
      <c r="N451" s="7" t="n"/>
    </row>
    <row r="452" ht="15" customHeight="1" s="5">
      <c r="M452" s="7" t="n"/>
      <c r="N452" s="7" t="n"/>
    </row>
    <row r="453" ht="15" customHeight="1" s="5">
      <c r="M453" s="7" t="n"/>
      <c r="N453" s="7" t="n"/>
    </row>
    <row r="454" ht="15" customHeight="1" s="5">
      <c r="M454" s="7" t="n"/>
      <c r="N454" s="7" t="n"/>
    </row>
    <row r="455" ht="15" customHeight="1" s="5">
      <c r="M455" s="7" t="n"/>
      <c r="N455" s="7" t="n"/>
    </row>
    <row r="456" ht="15" customHeight="1" s="5">
      <c r="M456" s="7" t="n"/>
      <c r="N456" s="7" t="n"/>
    </row>
    <row r="457" ht="15" customHeight="1" s="5">
      <c r="M457" s="7" t="n"/>
      <c r="N457" s="7" t="n"/>
    </row>
    <row r="458" ht="15" customHeight="1" s="5">
      <c r="M458" s="7" t="n"/>
      <c r="N458" s="7" t="n"/>
    </row>
    <row r="459" ht="15" customHeight="1" s="5">
      <c r="M459" s="7" t="n"/>
      <c r="N459" s="7" t="n"/>
    </row>
    <row r="460" ht="15" customHeight="1" s="5">
      <c r="M460" s="7" t="n"/>
      <c r="N460" s="7" t="n"/>
    </row>
    <row r="461" ht="15" customHeight="1" s="5">
      <c r="M461" s="7" t="n"/>
      <c r="N461" s="7" t="n"/>
    </row>
    <row r="462" ht="15" customHeight="1" s="5">
      <c r="M462" s="7" t="n"/>
      <c r="N462" s="7" t="n"/>
    </row>
    <row r="463" ht="15" customHeight="1" s="5">
      <c r="M463" s="7" t="n"/>
      <c r="N463" s="7" t="n"/>
    </row>
    <row r="464" ht="15" customHeight="1" s="5">
      <c r="M464" s="7" t="n"/>
      <c r="N464" s="7" t="n"/>
    </row>
    <row r="465" ht="15" customHeight="1" s="5">
      <c r="M465" s="7" t="n"/>
      <c r="N465" s="7" t="n"/>
    </row>
    <row r="466" ht="15" customHeight="1" s="5">
      <c r="M466" s="7" t="n"/>
      <c r="N466" s="7" t="n"/>
    </row>
    <row r="467" ht="15" customHeight="1" s="5">
      <c r="M467" s="7" t="n"/>
      <c r="N467" s="7" t="n"/>
    </row>
    <row r="468" ht="15" customHeight="1" s="5">
      <c r="M468" s="7" t="n"/>
      <c r="N468" s="7" t="n"/>
    </row>
    <row r="469" ht="15" customHeight="1" s="5">
      <c r="M469" s="7" t="n"/>
      <c r="N469" s="7" t="n"/>
    </row>
    <row r="470" ht="15" customHeight="1" s="5">
      <c r="M470" s="7" t="n"/>
      <c r="N470" s="7" t="n"/>
    </row>
    <row r="471" ht="15" customHeight="1" s="5">
      <c r="M471" s="7" t="n"/>
      <c r="N471" s="7" t="n"/>
    </row>
    <row r="472" ht="15" customHeight="1" s="5">
      <c r="M472" s="7" t="n"/>
      <c r="N472" s="7" t="n"/>
    </row>
    <row r="473" ht="15" customHeight="1" s="5">
      <c r="M473" s="7" t="n"/>
      <c r="N473" s="7" t="n"/>
    </row>
    <row r="474" ht="15" customHeight="1" s="5">
      <c r="M474" s="7" t="n"/>
      <c r="N474" s="7" t="n"/>
    </row>
    <row r="475" ht="15" customHeight="1" s="5">
      <c r="M475" s="7" t="n"/>
      <c r="N475" s="7" t="n"/>
    </row>
    <row r="476" ht="15" customHeight="1" s="5">
      <c r="M476" s="7" t="n"/>
      <c r="N476" s="7" t="n"/>
    </row>
    <row r="477" ht="15" customHeight="1" s="5">
      <c r="M477" s="7" t="n"/>
      <c r="N477" s="7" t="n"/>
    </row>
    <row r="478" ht="15" customHeight="1" s="5">
      <c r="M478" s="7" t="n"/>
      <c r="N478" s="7" t="n"/>
    </row>
    <row r="479" ht="15" customHeight="1" s="5">
      <c r="M479" s="7" t="n"/>
      <c r="N479" s="7" t="n"/>
    </row>
    <row r="480" ht="15" customHeight="1" s="5">
      <c r="M480" s="7" t="n"/>
      <c r="N480" s="7" t="n"/>
    </row>
    <row r="481" ht="15" customHeight="1" s="5">
      <c r="M481" s="7" t="n"/>
      <c r="N481" s="7" t="n"/>
    </row>
    <row r="482" ht="15" customHeight="1" s="5">
      <c r="M482" s="7" t="n"/>
      <c r="N482" s="7" t="n"/>
    </row>
    <row r="483" ht="15" customHeight="1" s="5">
      <c r="M483" s="7" t="n"/>
      <c r="N483" s="7" t="n"/>
    </row>
    <row r="484" ht="15" customHeight="1" s="5">
      <c r="M484" s="7" t="n"/>
      <c r="N484" s="7" t="n"/>
    </row>
    <row r="485" ht="15" customHeight="1" s="5">
      <c r="M485" s="7" t="n"/>
      <c r="N485" s="7" t="n"/>
    </row>
    <row r="486" ht="15" customHeight="1" s="5">
      <c r="M486" s="7" t="n"/>
      <c r="N486" s="7" t="n"/>
    </row>
    <row r="487" ht="15" customHeight="1" s="5">
      <c r="M487" s="7" t="n"/>
      <c r="N487" s="7" t="n"/>
    </row>
    <row r="488" ht="15" customHeight="1" s="5">
      <c r="M488" s="7" t="n"/>
      <c r="N488" s="7" t="n"/>
    </row>
    <row r="489" ht="15" customHeight="1" s="5">
      <c r="M489" s="7" t="n"/>
      <c r="N489" s="7" t="n"/>
    </row>
    <row r="490" ht="15" customHeight="1" s="5">
      <c r="M490" s="7" t="n"/>
      <c r="N490" s="7" t="n"/>
    </row>
    <row r="491" ht="15" customHeight="1" s="5">
      <c r="M491" s="7" t="n"/>
      <c r="N491" s="7" t="n"/>
    </row>
    <row r="492" ht="15" customHeight="1" s="5">
      <c r="M492" s="7" t="n"/>
      <c r="N492" s="7" t="n"/>
    </row>
    <row r="493" ht="15" customHeight="1" s="5">
      <c r="M493" s="7" t="n"/>
      <c r="N493" s="7" t="n"/>
    </row>
    <row r="494" ht="15" customHeight="1" s="5">
      <c r="M494" s="7" t="n"/>
      <c r="N494" s="7" t="n"/>
    </row>
    <row r="495" ht="15" customHeight="1" s="5">
      <c r="M495" s="7" t="n"/>
      <c r="N495" s="7" t="n"/>
    </row>
    <row r="496" ht="15" customHeight="1" s="5">
      <c r="M496" s="7" t="n"/>
      <c r="N496" s="7" t="n"/>
    </row>
    <row r="497" ht="15" customHeight="1" s="5">
      <c r="M497" s="7" t="n"/>
      <c r="N497" s="7" t="n"/>
    </row>
    <row r="498" ht="15" customHeight="1" s="5">
      <c r="M498" s="7" t="n"/>
      <c r="N498" s="7" t="n"/>
    </row>
    <row r="499" ht="15" customHeight="1" s="5">
      <c r="M499" s="7" t="n"/>
      <c r="N499" s="7" t="n"/>
    </row>
    <row r="500" ht="15" customHeight="1" s="5">
      <c r="M500" s="7" t="n"/>
      <c r="N500" s="7" t="n"/>
    </row>
    <row r="501" ht="15" customHeight="1" s="5">
      <c r="M501" s="7" t="n"/>
      <c r="N501" s="7" t="n"/>
    </row>
    <row r="502" ht="15" customHeight="1" s="5">
      <c r="M502" s="7" t="n"/>
      <c r="N502" s="7" t="n"/>
    </row>
    <row r="503" ht="15" customHeight="1" s="5">
      <c r="M503" s="7" t="n"/>
      <c r="N503" s="7" t="n"/>
    </row>
    <row r="504" ht="15" customHeight="1" s="5">
      <c r="M504" s="7" t="n"/>
      <c r="N504" s="7" t="n"/>
    </row>
    <row r="505" ht="15" customHeight="1" s="5">
      <c r="M505" s="7" t="n"/>
      <c r="N505" s="7" t="n"/>
    </row>
    <row r="506" ht="15" customHeight="1" s="5">
      <c r="M506" s="7" t="n"/>
      <c r="N506" s="7" t="n"/>
    </row>
    <row r="507" ht="15" customHeight="1" s="5">
      <c r="M507" s="7" t="n"/>
      <c r="N507" s="7" t="n"/>
    </row>
    <row r="508" ht="15" customHeight="1" s="5">
      <c r="M508" s="7" t="n"/>
      <c r="N508" s="7" t="n"/>
    </row>
    <row r="509" ht="15" customHeight="1" s="5">
      <c r="M509" s="7" t="n"/>
      <c r="N509" s="7" t="n"/>
    </row>
    <row r="510" ht="15" customHeight="1" s="5">
      <c r="M510" s="7" t="n"/>
      <c r="N510" s="7" t="n"/>
    </row>
    <row r="511" ht="15" customHeight="1" s="5">
      <c r="M511" s="7" t="n"/>
      <c r="N511" s="7" t="n"/>
    </row>
    <row r="512" ht="15" customHeight="1" s="5">
      <c r="M512" s="7" t="n"/>
      <c r="N512" s="7" t="n"/>
    </row>
    <row r="513" ht="15" customHeight="1" s="5">
      <c r="M513" s="7" t="n"/>
      <c r="N513" s="7" t="n"/>
    </row>
    <row r="514" ht="15" customHeight="1" s="5">
      <c r="M514" s="7" t="n"/>
      <c r="N514" s="7" t="n"/>
    </row>
    <row r="515" ht="15" customHeight="1" s="5">
      <c r="M515" s="7" t="n"/>
      <c r="N515" s="7" t="n"/>
    </row>
    <row r="516" ht="15" customHeight="1" s="5">
      <c r="M516" s="7" t="n"/>
      <c r="N516" s="7" t="n"/>
    </row>
    <row r="517" ht="15" customHeight="1" s="5">
      <c r="M517" s="7" t="n"/>
      <c r="N517" s="7" t="n"/>
    </row>
    <row r="518" ht="15" customHeight="1" s="5">
      <c r="M518" s="7" t="n"/>
      <c r="N518" s="7" t="n"/>
    </row>
    <row r="519" ht="15" customHeight="1" s="5">
      <c r="M519" s="7" t="n"/>
      <c r="N519" s="7" t="n"/>
    </row>
    <row r="520" ht="15" customHeight="1" s="5">
      <c r="M520" s="7" t="n"/>
      <c r="N520" s="7" t="n"/>
    </row>
    <row r="521" ht="15" customHeight="1" s="5">
      <c r="M521" s="7" t="n"/>
      <c r="N521" s="7" t="n"/>
    </row>
    <row r="522" ht="15" customHeight="1" s="5">
      <c r="M522" s="7" t="n"/>
      <c r="N522" s="7" t="n"/>
    </row>
    <row r="523" ht="15" customHeight="1" s="5">
      <c r="M523" s="7" t="n"/>
      <c r="N523" s="7" t="n"/>
    </row>
    <row r="524" ht="15" customHeight="1" s="5">
      <c r="M524" s="7" t="n"/>
      <c r="N524" s="7" t="n"/>
    </row>
    <row r="525" ht="15" customHeight="1" s="5">
      <c r="M525" s="7" t="n"/>
      <c r="N525" s="7" t="n"/>
    </row>
    <row r="526" ht="15" customHeight="1" s="5">
      <c r="M526" s="7" t="n"/>
      <c r="N526" s="7" t="n"/>
    </row>
    <row r="527" ht="15" customHeight="1" s="5">
      <c r="M527" s="7" t="n"/>
      <c r="N527" s="7" t="n"/>
    </row>
    <row r="528" ht="15" customHeight="1" s="5">
      <c r="M528" s="7" t="n"/>
      <c r="N528" s="7" t="n"/>
    </row>
    <row r="529" ht="15" customHeight="1" s="5">
      <c r="M529" s="7" t="n"/>
      <c r="N529" s="7" t="n"/>
    </row>
    <row r="530" ht="15" customHeight="1" s="5">
      <c r="M530" s="7" t="n"/>
      <c r="N530" s="7" t="n"/>
    </row>
    <row r="531" ht="15" customHeight="1" s="5">
      <c r="M531" s="7" t="n"/>
      <c r="N531" s="7" t="n"/>
    </row>
    <row r="532" ht="15" customHeight="1" s="5">
      <c r="M532" s="7" t="n"/>
      <c r="N532" s="7" t="n"/>
    </row>
    <row r="533" ht="15" customHeight="1" s="5">
      <c r="M533" s="7" t="n"/>
      <c r="N533" s="7" t="n"/>
    </row>
    <row r="534" ht="15" customHeight="1" s="5">
      <c r="M534" s="7" t="n"/>
      <c r="N534" s="7" t="n"/>
    </row>
    <row r="535" ht="15" customHeight="1" s="5">
      <c r="M535" s="7" t="n"/>
      <c r="N535" s="7" t="n"/>
    </row>
    <row r="536" ht="15" customHeight="1" s="5">
      <c r="M536" s="7" t="n"/>
      <c r="N536" s="7" t="n"/>
    </row>
    <row r="537" ht="15" customHeight="1" s="5">
      <c r="M537" s="7" t="n"/>
      <c r="N537" s="7" t="n"/>
    </row>
    <row r="538" ht="15" customHeight="1" s="5">
      <c r="M538" s="7" t="n"/>
      <c r="N538" s="7" t="n"/>
    </row>
    <row r="539" ht="15" customHeight="1" s="5">
      <c r="M539" s="7" t="n"/>
      <c r="N539" s="7" t="n"/>
    </row>
    <row r="540" ht="15" customHeight="1" s="5">
      <c r="M540" s="7" t="n"/>
      <c r="N540" s="7" t="n"/>
    </row>
    <row r="541" ht="15" customHeight="1" s="5">
      <c r="M541" s="7" t="n"/>
      <c r="N541" s="7" t="n"/>
    </row>
    <row r="542" ht="15" customHeight="1" s="5">
      <c r="M542" s="7" t="n"/>
      <c r="N542" s="7" t="n"/>
    </row>
    <row r="543" ht="15" customHeight="1" s="5">
      <c r="M543" s="7" t="n"/>
      <c r="N543" s="7" t="n"/>
    </row>
    <row r="544" ht="15" customHeight="1" s="5">
      <c r="M544" s="7" t="n"/>
      <c r="N544" s="7" t="n"/>
    </row>
    <row r="545" ht="15" customHeight="1" s="5">
      <c r="M545" s="7" t="n"/>
      <c r="N545" s="7" t="n"/>
    </row>
    <row r="546" ht="15" customHeight="1" s="5">
      <c r="M546" s="7" t="n"/>
      <c r="N546" s="7" t="n"/>
    </row>
    <row r="547" ht="15" customHeight="1" s="5">
      <c r="M547" s="7" t="n"/>
      <c r="N547" s="7" t="n"/>
    </row>
    <row r="548" ht="15" customHeight="1" s="5">
      <c r="M548" s="7" t="n"/>
      <c r="N548" s="7" t="n"/>
    </row>
    <row r="549" ht="15" customHeight="1" s="5">
      <c r="M549" s="7" t="n"/>
      <c r="N549" s="7" t="n"/>
    </row>
    <row r="550" ht="15" customHeight="1" s="5">
      <c r="M550" s="7" t="n"/>
      <c r="N550" s="7" t="n"/>
    </row>
    <row r="551" ht="15" customHeight="1" s="5">
      <c r="M551" s="7" t="n"/>
      <c r="N551" s="7" t="n"/>
    </row>
    <row r="552" ht="15" customHeight="1" s="5">
      <c r="M552" s="7" t="n"/>
      <c r="N552" s="7" t="n"/>
    </row>
    <row r="553" ht="15" customHeight="1" s="5">
      <c r="M553" s="7" t="n"/>
      <c r="N553" s="7" t="n"/>
    </row>
    <row r="554" ht="15" customHeight="1" s="5">
      <c r="M554" s="7" t="n"/>
      <c r="N554" s="7" t="n"/>
    </row>
    <row r="555" ht="15" customHeight="1" s="5">
      <c r="M555" s="7" t="n"/>
      <c r="N555" s="7" t="n"/>
    </row>
    <row r="556" ht="15" customHeight="1" s="5">
      <c r="M556" s="7" t="n"/>
      <c r="N556" s="7" t="n"/>
    </row>
    <row r="557" ht="15" customHeight="1" s="5">
      <c r="M557" s="7" t="n"/>
      <c r="N557" s="7" t="n"/>
    </row>
    <row r="558" ht="15" customHeight="1" s="5">
      <c r="M558" s="7" t="n"/>
      <c r="N558" s="7" t="n"/>
    </row>
    <row r="559" ht="15" customHeight="1" s="5">
      <c r="M559" s="7" t="n"/>
      <c r="N559" s="7" t="n"/>
    </row>
    <row r="560" ht="15" customHeight="1" s="5">
      <c r="M560" s="7" t="n"/>
      <c r="N560" s="7" t="n"/>
    </row>
    <row r="561" ht="15" customHeight="1" s="5">
      <c r="M561" s="7" t="n"/>
      <c r="N561" s="7" t="n"/>
    </row>
    <row r="562" ht="15" customHeight="1" s="5">
      <c r="M562" s="7" t="n"/>
      <c r="N562" s="7" t="n"/>
    </row>
    <row r="563" ht="15" customHeight="1" s="5">
      <c r="M563" s="7" t="n"/>
      <c r="N563" s="7" t="n"/>
    </row>
    <row r="564" ht="15" customHeight="1" s="5">
      <c r="M564" s="7" t="n"/>
      <c r="N564" s="7" t="n"/>
    </row>
    <row r="565" ht="15" customHeight="1" s="5">
      <c r="M565" s="7" t="n"/>
      <c r="N565" s="7" t="n"/>
    </row>
    <row r="566" ht="15" customHeight="1" s="5">
      <c r="M566" s="7" t="n"/>
      <c r="N566" s="7" t="n"/>
    </row>
    <row r="567" ht="15" customHeight="1" s="5">
      <c r="M567" s="7" t="n"/>
      <c r="N567" s="7" t="n"/>
    </row>
    <row r="568" ht="15" customHeight="1" s="5">
      <c r="M568" s="7" t="n"/>
      <c r="N568" s="7" t="n"/>
    </row>
    <row r="569" ht="15" customHeight="1" s="5">
      <c r="M569" s="7" t="n"/>
      <c r="N569" s="7" t="n"/>
    </row>
    <row r="570" ht="15" customHeight="1" s="5">
      <c r="M570" s="7" t="n"/>
      <c r="N570" s="7" t="n"/>
    </row>
    <row r="571" ht="15" customHeight="1" s="5">
      <c r="M571" s="7" t="n"/>
      <c r="N571" s="7" t="n"/>
    </row>
    <row r="572" ht="15" customHeight="1" s="5">
      <c r="M572" s="7" t="n"/>
      <c r="N572" s="7" t="n"/>
    </row>
    <row r="573" ht="15" customHeight="1" s="5">
      <c r="M573" s="7" t="n"/>
      <c r="N573" s="7" t="n"/>
    </row>
    <row r="574" ht="15" customHeight="1" s="5">
      <c r="M574" s="7" t="n"/>
      <c r="N574" s="7" t="n"/>
    </row>
    <row r="575" ht="15" customHeight="1" s="5">
      <c r="M575" s="7" t="n"/>
      <c r="N575" s="7" t="n"/>
    </row>
    <row r="576" ht="15" customHeight="1" s="5">
      <c r="M576" s="7" t="n"/>
      <c r="N576" s="7" t="n"/>
    </row>
    <row r="577" ht="15" customHeight="1" s="5">
      <c r="M577" s="7" t="n"/>
      <c r="N577" s="7" t="n"/>
    </row>
    <row r="578" ht="15" customHeight="1" s="5">
      <c r="M578" s="7" t="n"/>
      <c r="N578" s="7" t="n"/>
    </row>
    <row r="579" ht="15" customHeight="1" s="5">
      <c r="M579" s="7" t="n"/>
      <c r="N579" s="7" t="n"/>
    </row>
    <row r="580" ht="15" customHeight="1" s="5">
      <c r="M580" s="7" t="n"/>
      <c r="N580" s="7" t="n"/>
    </row>
    <row r="581" ht="15" customHeight="1" s="5">
      <c r="M581" s="7" t="n"/>
      <c r="N581" s="7" t="n"/>
    </row>
    <row r="582" ht="15" customHeight="1" s="5">
      <c r="M582" s="7" t="n"/>
      <c r="N582" s="7" t="n"/>
    </row>
    <row r="583" ht="15" customHeight="1" s="5">
      <c r="M583" s="7" t="n"/>
      <c r="N583" s="7" t="n"/>
    </row>
    <row r="584" ht="15" customHeight="1" s="5">
      <c r="M584" s="7" t="n"/>
      <c r="N584" s="7" t="n"/>
    </row>
    <row r="585" ht="15" customHeight="1" s="5">
      <c r="M585" s="7" t="n"/>
      <c r="N585" s="7" t="n"/>
    </row>
    <row r="586" ht="15" customHeight="1" s="5">
      <c r="M586" s="7" t="n"/>
      <c r="N586" s="7" t="n"/>
    </row>
    <row r="587" ht="15" customHeight="1" s="5">
      <c r="M587" s="7" t="n"/>
      <c r="N587" s="7" t="n"/>
    </row>
    <row r="588" ht="15" customHeight="1" s="5">
      <c r="M588" s="7" t="n"/>
      <c r="N588" s="7" t="n"/>
    </row>
    <row r="589" ht="15" customHeight="1" s="5">
      <c r="M589" s="7" t="n"/>
      <c r="N589" s="7" t="n"/>
    </row>
    <row r="590" ht="15" customHeight="1" s="5">
      <c r="M590" s="7" t="n"/>
      <c r="N590" s="7" t="n"/>
    </row>
    <row r="591" ht="15" customHeight="1" s="5">
      <c r="M591" s="7" t="n"/>
      <c r="N591" s="7" t="n"/>
    </row>
    <row r="592" ht="15" customHeight="1" s="5">
      <c r="M592" s="7" t="n"/>
      <c r="N592" s="7" t="n"/>
    </row>
    <row r="593" ht="15" customHeight="1" s="5">
      <c r="M593" s="7" t="n"/>
      <c r="N593" s="7" t="n"/>
    </row>
    <row r="594" ht="15" customHeight="1" s="5">
      <c r="M594" s="7" t="n"/>
      <c r="N594" s="7" t="n"/>
    </row>
    <row r="595" ht="15" customHeight="1" s="5">
      <c r="M595" s="7" t="n"/>
      <c r="N595" s="7" t="n"/>
    </row>
    <row r="596" ht="15" customHeight="1" s="5">
      <c r="M596" s="7" t="n"/>
      <c r="N596" s="7" t="n"/>
    </row>
    <row r="597" ht="15" customHeight="1" s="5">
      <c r="M597" s="7" t="n"/>
      <c r="N597" s="7" t="n"/>
    </row>
    <row r="598" ht="15" customHeight="1" s="5">
      <c r="M598" s="7" t="n"/>
      <c r="N598" s="7" t="n"/>
    </row>
    <row r="599" ht="15" customHeight="1" s="5">
      <c r="M599" s="7" t="n"/>
      <c r="N599" s="7" t="n"/>
    </row>
    <row r="600" ht="15" customHeight="1" s="5">
      <c r="M600" s="7" t="n"/>
      <c r="N600" s="7" t="n"/>
    </row>
    <row r="601" ht="15" customHeight="1" s="5">
      <c r="M601" s="7" t="n"/>
      <c r="N601" s="7" t="n"/>
    </row>
    <row r="602" ht="15" customHeight="1" s="5">
      <c r="M602" s="7" t="n"/>
      <c r="N602" s="7" t="n"/>
    </row>
    <row r="603" ht="15" customHeight="1" s="5">
      <c r="M603" s="7" t="n"/>
      <c r="N603" s="7" t="n"/>
    </row>
    <row r="604" ht="15" customHeight="1" s="5">
      <c r="M604" s="7" t="n"/>
      <c r="N604" s="7" t="n"/>
    </row>
    <row r="605" ht="15" customHeight="1" s="5">
      <c r="M605" s="7" t="n"/>
      <c r="N605" s="7" t="n"/>
    </row>
    <row r="606" ht="15" customHeight="1" s="5">
      <c r="M606" s="7" t="n"/>
      <c r="N606" s="7" t="n"/>
    </row>
    <row r="607" ht="15" customHeight="1" s="5">
      <c r="M607" s="7" t="n"/>
      <c r="N607" s="7" t="n"/>
    </row>
    <row r="608" ht="15" customHeight="1" s="5">
      <c r="M608" s="7" t="n"/>
      <c r="N608" s="7" t="n"/>
    </row>
    <row r="609" ht="15" customHeight="1" s="5">
      <c r="M609" s="7" t="n"/>
      <c r="N609" s="7" t="n"/>
    </row>
    <row r="610" ht="15" customHeight="1" s="5">
      <c r="M610" s="7" t="n"/>
      <c r="N610" s="7" t="n"/>
    </row>
    <row r="611" ht="15" customHeight="1" s="5">
      <c r="M611" s="7" t="n"/>
      <c r="N611" s="7" t="n"/>
    </row>
    <row r="612" ht="15" customHeight="1" s="5">
      <c r="M612" s="7" t="n"/>
      <c r="N612" s="7" t="n"/>
    </row>
    <row r="613" ht="15" customHeight="1" s="5">
      <c r="M613" s="7" t="n"/>
      <c r="N613" s="7" t="n"/>
    </row>
    <row r="614" ht="15" customHeight="1" s="5">
      <c r="M614" s="7" t="n"/>
      <c r="N614" s="7" t="n"/>
    </row>
    <row r="615" ht="15" customHeight="1" s="5">
      <c r="M615" s="7" t="n"/>
      <c r="N615" s="7" t="n"/>
    </row>
    <row r="616" ht="15" customHeight="1" s="5">
      <c r="M616" s="7" t="n"/>
      <c r="N616" s="7" t="n"/>
    </row>
    <row r="617" ht="15" customHeight="1" s="5">
      <c r="M617" s="7" t="n"/>
      <c r="N617" s="7" t="n"/>
    </row>
    <row r="618" ht="15" customHeight="1" s="5">
      <c r="M618" s="7" t="n"/>
      <c r="N618" s="7" t="n"/>
    </row>
    <row r="619" ht="15" customHeight="1" s="5">
      <c r="M619" s="7" t="n"/>
      <c r="N619" s="7" t="n"/>
    </row>
    <row r="620" ht="15" customHeight="1" s="5">
      <c r="M620" s="7" t="n"/>
      <c r="N620" s="7" t="n"/>
    </row>
    <row r="621" ht="15" customHeight="1" s="5">
      <c r="M621" s="7" t="n"/>
      <c r="N621" s="7" t="n"/>
    </row>
    <row r="622" ht="15" customHeight="1" s="5">
      <c r="M622" s="7" t="n"/>
      <c r="N622" s="7" t="n"/>
    </row>
    <row r="623" ht="15" customHeight="1" s="5">
      <c r="M623" s="7" t="n"/>
      <c r="N623" s="7" t="n"/>
    </row>
    <row r="624" ht="15" customHeight="1" s="5">
      <c r="M624" s="7" t="n"/>
      <c r="N624" s="7" t="n"/>
    </row>
    <row r="625" ht="15" customHeight="1" s="5">
      <c r="M625" s="7" t="n"/>
      <c r="N625" s="7" t="n"/>
    </row>
    <row r="626" ht="15" customHeight="1" s="5">
      <c r="M626" s="7" t="n"/>
      <c r="N626" s="7" t="n"/>
    </row>
    <row r="627" ht="15" customHeight="1" s="5">
      <c r="M627" s="7" t="n"/>
      <c r="N627" s="7" t="n"/>
    </row>
    <row r="628" ht="15" customHeight="1" s="5">
      <c r="M628" s="7" t="n"/>
      <c r="N628" s="7" t="n"/>
    </row>
    <row r="629" ht="15" customHeight="1" s="5">
      <c r="M629" s="7" t="n"/>
      <c r="N629" s="7" t="n"/>
    </row>
    <row r="630" ht="15" customHeight="1" s="5">
      <c r="M630" s="7" t="n"/>
      <c r="N630" s="7" t="n"/>
    </row>
    <row r="631" ht="15" customHeight="1" s="5">
      <c r="M631" s="7" t="n"/>
      <c r="N631" s="7" t="n"/>
    </row>
    <row r="632" ht="15" customHeight="1" s="5">
      <c r="M632" s="7" t="n"/>
      <c r="N632" s="7" t="n"/>
    </row>
    <row r="633" ht="15" customHeight="1" s="5">
      <c r="M633" s="7" t="n"/>
      <c r="N633" s="7" t="n"/>
    </row>
    <row r="634" ht="15" customHeight="1" s="5">
      <c r="M634" s="7" t="n"/>
      <c r="N634" s="7" t="n"/>
    </row>
    <row r="635" ht="15" customHeight="1" s="5">
      <c r="M635" s="7" t="n"/>
      <c r="N635" s="7" t="n"/>
    </row>
    <row r="636" ht="15" customHeight="1" s="5">
      <c r="M636" s="7" t="n"/>
      <c r="N636" s="7" t="n"/>
    </row>
    <row r="637" ht="15" customHeight="1" s="5">
      <c r="M637" s="7" t="n"/>
      <c r="N637" s="7" t="n"/>
    </row>
    <row r="638" ht="15" customHeight="1" s="5">
      <c r="M638" s="7" t="n"/>
      <c r="N638" s="7" t="n"/>
    </row>
    <row r="639" ht="15" customHeight="1" s="5">
      <c r="M639" s="7" t="n"/>
      <c r="N639" s="7" t="n"/>
    </row>
    <row r="640" ht="15" customHeight="1" s="5">
      <c r="M640" s="7" t="n"/>
      <c r="N640" s="7" t="n"/>
    </row>
    <row r="641" ht="15" customHeight="1" s="5">
      <c r="M641" s="7" t="n"/>
      <c r="N641" s="7" t="n"/>
    </row>
    <row r="642" ht="15" customHeight="1" s="5">
      <c r="M642" s="7" t="n"/>
      <c r="N642" s="7" t="n"/>
    </row>
    <row r="643" ht="15" customHeight="1" s="5">
      <c r="M643" s="7" t="n"/>
      <c r="N643" s="7" t="n"/>
    </row>
    <row r="644" ht="15" customHeight="1" s="5">
      <c r="M644" s="7" t="n"/>
      <c r="N644" s="7" t="n"/>
    </row>
    <row r="645" ht="15" customHeight="1" s="5">
      <c r="M645" s="7" t="n"/>
      <c r="N645" s="7" t="n"/>
    </row>
    <row r="646" ht="15" customHeight="1" s="5">
      <c r="M646" s="7" t="n"/>
      <c r="N646" s="7" t="n"/>
    </row>
    <row r="647" ht="15" customHeight="1" s="5">
      <c r="M647" s="7" t="n"/>
      <c r="N647" s="7" t="n"/>
    </row>
    <row r="648" ht="15" customHeight="1" s="5">
      <c r="M648" s="7" t="n"/>
      <c r="N648" s="7" t="n"/>
    </row>
    <row r="649" ht="15" customHeight="1" s="5">
      <c r="M649" s="7" t="n"/>
      <c r="N649" s="7" t="n"/>
    </row>
    <row r="650" ht="15" customHeight="1" s="5">
      <c r="M650" s="7" t="n"/>
      <c r="N650" s="7" t="n"/>
    </row>
    <row r="651" ht="15" customHeight="1" s="5">
      <c r="M651" s="7" t="n"/>
      <c r="N651" s="7" t="n"/>
    </row>
    <row r="652" ht="15" customHeight="1" s="5">
      <c r="M652" s="7" t="n"/>
      <c r="N652" s="7" t="n"/>
    </row>
    <row r="653" ht="15" customHeight="1" s="5">
      <c r="M653" s="7" t="n"/>
      <c r="N653" s="7" t="n"/>
    </row>
    <row r="654" ht="15" customHeight="1" s="5">
      <c r="M654" s="7" t="n"/>
      <c r="N654" s="7" t="n"/>
    </row>
    <row r="655" ht="15" customHeight="1" s="5">
      <c r="M655" s="7" t="n"/>
      <c r="N655" s="7" t="n"/>
    </row>
    <row r="656" ht="15" customHeight="1" s="5">
      <c r="M656" s="7" t="n"/>
      <c r="N656" s="7" t="n"/>
    </row>
    <row r="657" ht="15" customHeight="1" s="5">
      <c r="M657" s="7" t="n"/>
      <c r="N657" s="7" t="n"/>
    </row>
    <row r="658" ht="15" customHeight="1" s="5">
      <c r="M658" s="7" t="n"/>
      <c r="N658" s="7" t="n"/>
    </row>
    <row r="659" ht="15" customHeight="1" s="5">
      <c r="M659" s="7" t="n"/>
      <c r="N659" s="7" t="n"/>
    </row>
    <row r="660" ht="15" customHeight="1" s="5">
      <c r="M660" s="7" t="n"/>
      <c r="N660" s="7" t="n"/>
    </row>
    <row r="661" ht="15" customHeight="1" s="5">
      <c r="M661" s="7" t="n"/>
      <c r="N661" s="7" t="n"/>
    </row>
    <row r="662" ht="15" customHeight="1" s="5">
      <c r="M662" s="7" t="n"/>
      <c r="N662" s="7" t="n"/>
    </row>
    <row r="663" ht="15" customHeight="1" s="5">
      <c r="M663" s="7" t="n"/>
      <c r="N663" s="7" t="n"/>
    </row>
    <row r="664" ht="15" customHeight="1" s="5">
      <c r="M664" s="7" t="n"/>
      <c r="N664" s="7" t="n"/>
    </row>
    <row r="665" ht="15" customHeight="1" s="5">
      <c r="M665" s="7" t="n"/>
      <c r="N665" s="7" t="n"/>
    </row>
    <row r="666" ht="15" customHeight="1" s="5">
      <c r="M666" s="7" t="n"/>
      <c r="N666" s="7" t="n"/>
    </row>
    <row r="667" ht="15" customHeight="1" s="5">
      <c r="M667" s="7" t="n"/>
      <c r="N667" s="7" t="n"/>
    </row>
    <row r="668" ht="15" customHeight="1" s="5">
      <c r="M668" s="7" t="n"/>
      <c r="N668" s="7" t="n"/>
    </row>
    <row r="669" ht="15" customHeight="1" s="5">
      <c r="M669" s="7" t="n"/>
      <c r="N669" s="7" t="n"/>
    </row>
    <row r="670" ht="15" customHeight="1" s="5">
      <c r="M670" s="7" t="n"/>
      <c r="N670" s="7" t="n"/>
    </row>
    <row r="671" ht="15" customHeight="1" s="5">
      <c r="M671" s="7" t="n"/>
      <c r="N671" s="7" t="n"/>
    </row>
    <row r="672" ht="15" customHeight="1" s="5">
      <c r="M672" s="7" t="n"/>
      <c r="N672" s="7" t="n"/>
    </row>
    <row r="673" ht="15" customHeight="1" s="5">
      <c r="M673" s="7" t="n"/>
      <c r="N673" s="7" t="n"/>
    </row>
    <row r="674" ht="15" customHeight="1" s="5">
      <c r="M674" s="7" t="n"/>
      <c r="N674" s="7" t="n"/>
    </row>
    <row r="675" ht="15" customHeight="1" s="5">
      <c r="M675" s="7" t="n"/>
      <c r="N675" s="7" t="n"/>
    </row>
    <row r="676" ht="15" customHeight="1" s="5">
      <c r="M676" s="7" t="n"/>
      <c r="N676" s="7" t="n"/>
    </row>
    <row r="677" ht="15" customHeight="1" s="5">
      <c r="M677" s="7" t="n"/>
      <c r="N677" s="7" t="n"/>
    </row>
    <row r="678" ht="15" customHeight="1" s="5">
      <c r="M678" s="7" t="n"/>
      <c r="N678" s="7" t="n"/>
    </row>
    <row r="679" ht="15" customHeight="1" s="5">
      <c r="M679" s="7" t="n"/>
      <c r="N679" s="7" t="n"/>
    </row>
    <row r="680" ht="15" customHeight="1" s="5">
      <c r="M680" s="7" t="n"/>
      <c r="N680" s="7" t="n"/>
    </row>
    <row r="681" ht="15" customHeight="1" s="5">
      <c r="M681" s="7" t="n"/>
      <c r="N681" s="7" t="n"/>
    </row>
    <row r="682" ht="15" customHeight="1" s="5">
      <c r="M682" s="7" t="n"/>
      <c r="N682" s="7" t="n"/>
    </row>
    <row r="683" ht="15" customHeight="1" s="5">
      <c r="M683" s="7" t="n"/>
      <c r="N683" s="7" t="n"/>
    </row>
    <row r="684" ht="15" customHeight="1" s="5">
      <c r="M684" s="7" t="n"/>
      <c r="N684" s="7" t="n"/>
    </row>
    <row r="685" ht="15" customHeight="1" s="5">
      <c r="M685" s="7" t="n"/>
      <c r="N685" s="7" t="n"/>
    </row>
    <row r="686" ht="15" customHeight="1" s="5">
      <c r="M686" s="7" t="n"/>
      <c r="N686" s="7" t="n"/>
    </row>
    <row r="687" ht="15" customHeight="1" s="5">
      <c r="M687" s="7" t="n"/>
      <c r="N687" s="7" t="n"/>
    </row>
    <row r="688" ht="15" customHeight="1" s="5">
      <c r="M688" s="7" t="n"/>
      <c r="N688" s="7" t="n"/>
    </row>
    <row r="689" ht="15" customHeight="1" s="5">
      <c r="M689" s="7" t="n"/>
      <c r="N689" s="7" t="n"/>
    </row>
    <row r="690" ht="15" customHeight="1" s="5">
      <c r="M690" s="7" t="n"/>
      <c r="N690" s="7" t="n"/>
    </row>
    <row r="691" ht="15" customHeight="1" s="5">
      <c r="M691" s="7" t="n"/>
      <c r="N691" s="7" t="n"/>
    </row>
    <row r="692" ht="15" customHeight="1" s="5">
      <c r="M692" s="7" t="n"/>
      <c r="N692" s="7" t="n"/>
    </row>
    <row r="693" ht="15" customHeight="1" s="5">
      <c r="M693" s="7" t="n"/>
      <c r="N693" s="7" t="n"/>
    </row>
    <row r="694" ht="15" customHeight="1" s="5">
      <c r="M694" s="7" t="n"/>
      <c r="N694" s="7" t="n"/>
    </row>
    <row r="695" ht="15" customHeight="1" s="5">
      <c r="M695" s="7" t="n"/>
      <c r="N695" s="7" t="n"/>
    </row>
    <row r="696" ht="15" customHeight="1" s="5">
      <c r="M696" s="7" t="n"/>
      <c r="N696" s="7" t="n"/>
    </row>
    <row r="697" ht="15" customHeight="1" s="5">
      <c r="M697" s="7" t="n"/>
      <c r="N697" s="7" t="n"/>
    </row>
    <row r="698" ht="15" customHeight="1" s="5">
      <c r="M698" s="7" t="n"/>
      <c r="N698" s="7" t="n"/>
    </row>
    <row r="699" ht="15" customHeight="1" s="5">
      <c r="M699" s="7" t="n"/>
      <c r="N699" s="7" t="n"/>
    </row>
    <row r="700" ht="15" customHeight="1" s="5">
      <c r="M700" s="7" t="n"/>
      <c r="N700" s="7" t="n"/>
    </row>
    <row r="701" ht="15" customHeight="1" s="5">
      <c r="M701" s="7" t="n"/>
      <c r="N701" s="7" t="n"/>
    </row>
  </sheetData>
  <dataValidations count="4">
    <dataValidation sqref="M2:M701" showDropDown="0" showInputMessage="0" showErrorMessage="0" allowBlank="1" errorTitle="Not in Config list" error="Value not in Config; will still be saved." promptTitle="Benefit Type" prompt="Pick from Config → Benefit Type" type="list" errorStyle="warning" operator="between">
      <formula1>"Recurring,One-Off"</formula1>
      <formula2>0</formula2>
    </dataValidation>
    <dataValidation sqref="N2:N701" showDropDown="0" showInputMessage="0" showErrorMessage="0" allowBlank="1" errorTitle="Not in Config list" error="Value not in Config; will still be saved." promptTitle="Benefit Category" prompt="Pick from Config → Benefit Category" type="list" errorStyle="warning" operator="between">
      <formula1>"Cost Savings,Revenue Uplift,Productivity,Risk Avoidance,Compliance"</formula1>
      <formula2>0</formula2>
    </dataValidation>
    <dataValidation sqref="M2:M1201" showDropDown="0" showInputMessage="0" showErrorMessage="0" allowBlank="1" errorTitle="Not in Config list" error="Value not in Config; will still be saved." promptTitle="Benefit Type" prompt="Pick from Config → Benefit Type" type="list" errorStyle="warning">
      <formula1>"Recurring,One-Off"</formula1>
    </dataValidation>
    <dataValidation sqref="N2:N1201" showDropDown="0" showInputMessage="0" showErrorMessage="0" allowBlank="1" errorTitle="Not in Config list" error="Value not in Config; will still be saved." promptTitle="Benefit Category" prompt="Pick from Config → Benefit Category" type="list" errorStyle="warning">
      <formula1>"Cost Savings,Revenue Uplift,Productivity,Risk Avoidance,Compliance"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M58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Benefit ID</t>
        </is>
      </c>
      <c r="B1" s="6" t="inlineStr">
        <is>
          <t>Project ID</t>
        </is>
      </c>
      <c r="C1" s="6" t="inlineStr">
        <is>
          <t>Project Name</t>
        </is>
      </c>
      <c r="D1" s="6" t="inlineStr">
        <is>
          <t>Description</t>
        </is>
      </c>
      <c r="E1" s="6" t="inlineStr">
        <is>
          <t>Category</t>
        </is>
      </c>
      <c r="F1" s="6" t="inlineStr">
        <is>
          <t>Target Value</t>
        </is>
      </c>
      <c r="G1" s="6" t="inlineStr">
        <is>
          <t>Realised Value</t>
        </is>
      </c>
      <c r="H1" s="6" t="inlineStr">
        <is>
          <t>Benefits Remaining</t>
        </is>
      </c>
      <c r="I1" s="6" t="inlineStr">
        <is>
          <t>Realisation %</t>
        </is>
      </c>
      <c r="J1" s="6" t="inlineStr">
        <is>
          <t>Owner</t>
        </is>
      </c>
      <c r="K1" s="6" t="inlineStr">
        <is>
          <t>Start Date</t>
        </is>
      </c>
      <c r="L1" s="6" t="inlineStr">
        <is>
          <t>End Date</t>
        </is>
      </c>
      <c r="M1" s="6" t="inlineStr">
        <is>
          <t>Status</t>
        </is>
      </c>
    </row>
    <row r="2" ht="15" customHeight="1" s="5">
      <c r="A2" s="7" t="inlineStr">
        <is>
          <t>BEN001</t>
        </is>
      </c>
      <c r="B2" s="7" t="inlineStr">
        <is>
          <t>PRJ001</t>
        </is>
      </c>
      <c r="C2" s="7">
        <f>IFERROR(VLOOKUP(B2,Projects!$A:$AK,2,FALSE()),"")</f>
        <v/>
      </c>
      <c r="D2" s="7" t="inlineStr">
        <is>
          <t>Process cycle-time reduction</t>
        </is>
      </c>
      <c r="E2" s="7" t="inlineStr">
        <is>
          <t>Cost Reduction</t>
        </is>
      </c>
      <c r="F2" s="7" t="n">
        <v>569626</v>
      </c>
      <c r="G2" s="7" t="n">
        <v>250989</v>
      </c>
      <c r="H2" s="7">
        <f>F2-G2</f>
        <v/>
      </c>
      <c r="I2" s="7">
        <f>IFERROR(G2/F2,0)</f>
        <v/>
      </c>
      <c r="J2" s="7" t="inlineStr">
        <is>
          <t>Carlos Diaz</t>
        </is>
      </c>
      <c r="K2" s="8">
        <f>IFERROR(VLOOKUP(B2,Projects!$A:$AK,16,FALSE()),"")</f>
        <v/>
      </c>
      <c r="L2" s="8">
        <f>IFERROR(VLOOKUP(B2,Projects!$A:$AK,17,FALSE()),"")</f>
        <v/>
      </c>
      <c r="M2" s="7" t="inlineStr">
        <is>
          <t>At Risk</t>
        </is>
      </c>
    </row>
    <row r="3" ht="15" customHeight="1" s="5">
      <c r="A3" s="7" t="inlineStr">
        <is>
          <t>BEN002</t>
        </is>
      </c>
      <c r="B3" s="7" t="inlineStr">
        <is>
          <t>PRJ001</t>
        </is>
      </c>
      <c r="C3" s="7">
        <f>IFERROR(VLOOKUP(B3,Projects!$A:$AK,2,FALSE()),"")</f>
        <v/>
      </c>
      <c r="D3" s="7" t="inlineStr">
        <is>
          <t>Risk loss avoidance</t>
        </is>
      </c>
      <c r="E3" s="7" t="inlineStr">
        <is>
          <t>Compliance</t>
        </is>
      </c>
      <c r="F3" s="7" t="n">
        <v>497551</v>
      </c>
      <c r="G3" s="7" t="n">
        <v>28353</v>
      </c>
      <c r="H3" s="7">
        <f>F3-G3</f>
        <v/>
      </c>
      <c r="I3" s="7">
        <f>IFERROR(G3/F3,0)</f>
        <v/>
      </c>
      <c r="J3" s="7" t="inlineStr">
        <is>
          <t>Alex Brown</t>
        </is>
      </c>
      <c r="K3" s="8">
        <f>IFERROR(VLOOKUP(B3,Projects!$A:$AK,16,FALSE()),"")</f>
        <v/>
      </c>
      <c r="L3" s="8">
        <f>IFERROR(VLOOKUP(B3,Projects!$A:$AK,17,FALSE()),"")</f>
        <v/>
      </c>
      <c r="M3" s="7" t="inlineStr">
        <is>
          <t>At Risk</t>
        </is>
      </c>
    </row>
    <row r="4" ht="15" customHeight="1" s="5">
      <c r="A4" s="7" t="inlineStr">
        <is>
          <t>BEN003</t>
        </is>
      </c>
      <c r="B4" s="7" t="inlineStr">
        <is>
          <t>PRJ002</t>
        </is>
      </c>
      <c r="C4" s="7">
        <f>IFERROR(VLOOKUP(B4,Projects!$A:$AK,2,FALSE()),"")</f>
        <v/>
      </c>
      <c r="D4" s="7" t="inlineStr">
        <is>
          <t>Regulatory compliance achievement</t>
        </is>
      </c>
      <c r="E4" s="7" t="inlineStr">
        <is>
          <t>Customer Experience</t>
        </is>
      </c>
      <c r="F4" s="7" t="n">
        <v>1527159</v>
      </c>
      <c r="G4" s="7" t="n">
        <v>400095</v>
      </c>
      <c r="H4" s="7">
        <f>F4-G4</f>
        <v/>
      </c>
      <c r="I4" s="7">
        <f>IFERROR(G4/F4,0)</f>
        <v/>
      </c>
      <c r="J4" s="7" t="inlineStr">
        <is>
          <t>Jane Doe</t>
        </is>
      </c>
      <c r="K4" s="8">
        <f>IFERROR(VLOOKUP(B4,Projects!$A:$AK,16,FALSE()),"")</f>
        <v/>
      </c>
      <c r="L4" s="8">
        <f>IFERROR(VLOOKUP(B4,Projects!$A:$AK,17,FALSE()),"")</f>
        <v/>
      </c>
      <c r="M4" s="7" t="inlineStr">
        <is>
          <t>Realised</t>
        </is>
      </c>
    </row>
    <row r="5" ht="15" customHeight="1" s="5">
      <c r="A5" s="7" t="inlineStr">
        <is>
          <t>BEN004</t>
        </is>
      </c>
      <c r="B5" s="7" t="inlineStr">
        <is>
          <t>PRJ002</t>
        </is>
      </c>
      <c r="C5" s="7">
        <f>IFERROR(VLOOKUP(B5,Projects!$A:$AK,2,FALSE()),"")</f>
        <v/>
      </c>
      <c r="D5" s="7" t="inlineStr">
        <is>
          <t>Risk loss avoidance</t>
        </is>
      </c>
      <c r="E5" s="7" t="inlineStr">
        <is>
          <t>Customer Experience</t>
        </is>
      </c>
      <c r="F5" s="7" t="n">
        <v>1098404</v>
      </c>
      <c r="G5" s="7" t="n">
        <v>371599</v>
      </c>
      <c r="H5" s="7">
        <f>F5-G5</f>
        <v/>
      </c>
      <c r="I5" s="7">
        <f>IFERROR(G5/F5,0)</f>
        <v/>
      </c>
      <c r="J5" s="7" t="inlineStr">
        <is>
          <t>Mike Johnson</t>
        </is>
      </c>
      <c r="K5" s="8">
        <f>IFERROR(VLOOKUP(B5,Projects!$A:$AK,16,FALSE()),"")</f>
        <v/>
      </c>
      <c r="L5" s="8">
        <f>IFERROR(VLOOKUP(B5,Projects!$A:$AK,17,FALSE()),"")</f>
        <v/>
      </c>
      <c r="M5" s="7" t="inlineStr">
        <is>
          <t>Planned</t>
        </is>
      </c>
    </row>
    <row r="6" ht="15" customHeight="1" s="5">
      <c r="A6" s="7" t="inlineStr">
        <is>
          <t>BEN005</t>
        </is>
      </c>
      <c r="B6" s="7" t="inlineStr">
        <is>
          <t>PRJ002</t>
        </is>
      </c>
      <c r="C6" s="7">
        <f>IFERROR(VLOOKUP(B6,Projects!$A:$AK,2,FALSE()),"")</f>
        <v/>
      </c>
      <c r="D6" s="7" t="inlineStr">
        <is>
          <t>Risk loss avoidance</t>
        </is>
      </c>
      <c r="E6" s="7" t="inlineStr">
        <is>
          <t>Cost Reduction</t>
        </is>
      </c>
      <c r="F6" s="7" t="n">
        <v>493679</v>
      </c>
      <c r="G6" s="7" t="n">
        <v>309250</v>
      </c>
      <c r="H6" s="7">
        <f>F6-G6</f>
        <v/>
      </c>
      <c r="I6" s="7">
        <f>IFERROR(G6/F6,0)</f>
        <v/>
      </c>
      <c r="J6" s="7" t="inlineStr">
        <is>
          <t>Sarah Lee</t>
        </is>
      </c>
      <c r="K6" s="8">
        <f>IFERROR(VLOOKUP(B6,Projects!$A:$AK,16,FALSE()),"")</f>
        <v/>
      </c>
      <c r="L6" s="8">
        <f>IFERROR(VLOOKUP(B6,Projects!$A:$AK,17,FALSE()),"")</f>
        <v/>
      </c>
      <c r="M6" s="7" t="inlineStr">
        <is>
          <t>At Risk</t>
        </is>
      </c>
    </row>
    <row r="7" ht="15" customHeight="1" s="5">
      <c r="A7" s="7" t="inlineStr">
        <is>
          <t>BEN006</t>
        </is>
      </c>
      <c r="B7" s="7" t="inlineStr">
        <is>
          <t>PRJ003</t>
        </is>
      </c>
      <c r="C7" s="7">
        <f>IFERROR(VLOOKUP(B7,Projects!$A:$AK,2,FALSE()),"")</f>
        <v/>
      </c>
      <c r="D7" s="7" t="inlineStr">
        <is>
          <t>Process cycle-time reduction</t>
        </is>
      </c>
      <c r="E7" s="7" t="inlineStr">
        <is>
          <t>Productivity Improvement</t>
        </is>
      </c>
      <c r="F7" s="7" t="n">
        <v>1185604</v>
      </c>
      <c r="G7" s="7" t="n">
        <v>776392</v>
      </c>
      <c r="H7" s="7">
        <f>F7-G7</f>
        <v/>
      </c>
      <c r="I7" s="7">
        <f>IFERROR(G7/F7,0)</f>
        <v/>
      </c>
      <c r="J7" s="7" t="inlineStr">
        <is>
          <t>Alex Brown</t>
        </is>
      </c>
      <c r="K7" s="8">
        <f>IFERROR(VLOOKUP(B7,Projects!$A:$AK,16,FALSE()),"")</f>
        <v/>
      </c>
      <c r="L7" s="8">
        <f>IFERROR(VLOOKUP(B7,Projects!$A:$AK,17,FALSE()),"")</f>
        <v/>
      </c>
      <c r="M7" s="7" t="inlineStr">
        <is>
          <t>Planned</t>
        </is>
      </c>
    </row>
    <row r="8" ht="15" customHeight="1" s="5">
      <c r="A8" s="7" t="inlineStr">
        <is>
          <t>BEN007</t>
        </is>
      </c>
      <c r="B8" s="7" t="inlineStr">
        <is>
          <t>PRJ003</t>
        </is>
      </c>
      <c r="C8" s="7">
        <f>IFERROR(VLOOKUP(B8,Projects!$A:$AK,2,FALSE()),"")</f>
        <v/>
      </c>
      <c r="D8" s="7" t="inlineStr">
        <is>
          <t>Revenue growth from new channel</t>
        </is>
      </c>
      <c r="E8" s="7" t="inlineStr">
        <is>
          <t>Risk Reduction</t>
        </is>
      </c>
      <c r="F8" s="7" t="n">
        <v>660591</v>
      </c>
      <c r="G8" s="7" t="n">
        <v>239910</v>
      </c>
      <c r="H8" s="7">
        <f>F8-G8</f>
        <v/>
      </c>
      <c r="I8" s="7">
        <f>IFERROR(G8/F8,0)</f>
        <v/>
      </c>
      <c r="J8" s="7" t="inlineStr">
        <is>
          <t>John Smith</t>
        </is>
      </c>
      <c r="K8" s="8">
        <f>IFERROR(VLOOKUP(B8,Projects!$A:$AK,16,FALSE()),"")</f>
        <v/>
      </c>
      <c r="L8" s="8">
        <f>IFERROR(VLOOKUP(B8,Projects!$A:$AK,17,FALSE()),"")</f>
        <v/>
      </c>
      <c r="M8" s="7" t="inlineStr">
        <is>
          <t>Realised</t>
        </is>
      </c>
    </row>
    <row r="9" ht="15" customHeight="1" s="5">
      <c r="A9" s="7" t="inlineStr">
        <is>
          <t>BEN008</t>
        </is>
      </c>
      <c r="B9" s="7" t="inlineStr">
        <is>
          <t>PRJ004</t>
        </is>
      </c>
      <c r="C9" s="7">
        <f>IFERROR(VLOOKUP(B9,Projects!$A:$AK,2,FALSE()),"")</f>
        <v/>
      </c>
      <c r="D9" s="7" t="inlineStr">
        <is>
          <t>Process cycle-time reduction</t>
        </is>
      </c>
      <c r="E9" s="7" t="inlineStr">
        <is>
          <t>Customer Experience</t>
        </is>
      </c>
      <c r="F9" s="7" t="n">
        <v>957187</v>
      </c>
      <c r="G9" s="7" t="n">
        <v>289792</v>
      </c>
      <c r="H9" s="7">
        <f>F9-G9</f>
        <v/>
      </c>
      <c r="I9" s="7">
        <f>IFERROR(G9/F9,0)</f>
        <v/>
      </c>
      <c r="J9" s="7" t="inlineStr">
        <is>
          <t>Mike Johnson</t>
        </is>
      </c>
      <c r="K9" s="8">
        <f>IFERROR(VLOOKUP(B9,Projects!$A:$AK,16,FALSE()),"")</f>
        <v/>
      </c>
      <c r="L9" s="8">
        <f>IFERROR(VLOOKUP(B9,Projects!$A:$AK,17,FALSE()),"")</f>
        <v/>
      </c>
      <c r="M9" s="7" t="inlineStr">
        <is>
          <t>Planned</t>
        </is>
      </c>
    </row>
    <row r="10" ht="15" customHeight="1" s="5">
      <c r="A10" s="7" t="inlineStr">
        <is>
          <t>BEN009</t>
        </is>
      </c>
      <c r="B10" s="7" t="inlineStr">
        <is>
          <t>PRJ004</t>
        </is>
      </c>
      <c r="C10" s="7">
        <f>IFERROR(VLOOKUP(B10,Projects!$A:$AK,2,FALSE()),"")</f>
        <v/>
      </c>
      <c r="D10" s="7" t="inlineStr">
        <is>
          <t>Customer NPS uplift</t>
        </is>
      </c>
      <c r="E10" s="7" t="inlineStr">
        <is>
          <t>Revenue Increase</t>
        </is>
      </c>
      <c r="F10" s="7" t="n">
        <v>441175</v>
      </c>
      <c r="G10" s="7" t="n">
        <v>72200</v>
      </c>
      <c r="H10" s="7">
        <f>F10-G10</f>
        <v/>
      </c>
      <c r="I10" s="7">
        <f>IFERROR(G10/F10,0)</f>
        <v/>
      </c>
      <c r="J10" s="7" t="inlineStr">
        <is>
          <t>Mike Johnson</t>
        </is>
      </c>
      <c r="K10" s="8">
        <f>IFERROR(VLOOKUP(B10,Projects!$A:$AK,16,FALSE()),"")</f>
        <v/>
      </c>
      <c r="L10" s="8">
        <f>IFERROR(VLOOKUP(B10,Projects!$A:$AK,17,FALSE()),"")</f>
        <v/>
      </c>
      <c r="M10" s="7" t="inlineStr">
        <is>
          <t>Planned</t>
        </is>
      </c>
    </row>
    <row r="11" ht="15" customHeight="1" s="5">
      <c r="A11" s="7" t="inlineStr">
        <is>
          <t>BEN010</t>
        </is>
      </c>
      <c r="B11" s="7" t="inlineStr">
        <is>
          <t>PRJ005</t>
        </is>
      </c>
      <c r="C11" s="7">
        <f>IFERROR(VLOOKUP(B11,Projects!$A:$AK,2,FALSE()),"")</f>
        <v/>
      </c>
      <c r="D11" s="7" t="inlineStr">
        <is>
          <t>Headcount cost avoidance</t>
        </is>
      </c>
      <c r="E11" s="7" t="inlineStr">
        <is>
          <t>Productivity Improvement</t>
        </is>
      </c>
      <c r="F11" s="7" t="n">
        <v>1860551</v>
      </c>
      <c r="G11" s="7" t="n">
        <v>128167</v>
      </c>
      <c r="H11" s="7">
        <f>F11-G11</f>
        <v/>
      </c>
      <c r="I11" s="7">
        <f>IFERROR(G11/F11,0)</f>
        <v/>
      </c>
      <c r="J11" s="7" t="inlineStr">
        <is>
          <t>John Smith</t>
        </is>
      </c>
      <c r="K11" s="8">
        <f>IFERROR(VLOOKUP(B11,Projects!$A:$AK,16,FALSE()),"")</f>
        <v/>
      </c>
      <c r="L11" s="8">
        <f>IFERROR(VLOOKUP(B11,Projects!$A:$AK,17,FALSE()),"")</f>
        <v/>
      </c>
      <c r="M11" s="7" t="inlineStr">
        <is>
          <t>Realised</t>
        </is>
      </c>
    </row>
    <row r="12" ht="15" customHeight="1" s="5">
      <c r="A12" s="7" t="inlineStr">
        <is>
          <t>BEN011</t>
        </is>
      </c>
      <c r="B12" s="7" t="inlineStr">
        <is>
          <t>PRJ005</t>
        </is>
      </c>
      <c r="C12" s="7">
        <f>IFERROR(VLOOKUP(B12,Projects!$A:$AK,2,FALSE()),"")</f>
        <v/>
      </c>
      <c r="D12" s="7" t="inlineStr">
        <is>
          <t>Process cycle-time reduction</t>
        </is>
      </c>
      <c r="E12" s="7" t="inlineStr">
        <is>
          <t>Compliance</t>
        </is>
      </c>
      <c r="F12" s="7" t="n">
        <v>473628</v>
      </c>
      <c r="G12" s="7" t="n">
        <v>109157</v>
      </c>
      <c r="H12" s="7">
        <f>F12-G12</f>
        <v/>
      </c>
      <c r="I12" s="7">
        <f>IFERROR(G12/F12,0)</f>
        <v/>
      </c>
      <c r="J12" s="7" t="inlineStr">
        <is>
          <t>Carlos Diaz</t>
        </is>
      </c>
      <c r="K12" s="8">
        <f>IFERROR(VLOOKUP(B12,Projects!$A:$AK,16,FALSE()),"")</f>
        <v/>
      </c>
      <c r="L12" s="8">
        <f>IFERROR(VLOOKUP(B12,Projects!$A:$AK,17,FALSE()),"")</f>
        <v/>
      </c>
      <c r="M12" s="7" t="inlineStr">
        <is>
          <t>In Progress</t>
        </is>
      </c>
    </row>
    <row r="13" ht="15" customHeight="1" s="5">
      <c r="A13" s="7" t="inlineStr">
        <is>
          <t>BEN012</t>
        </is>
      </c>
      <c r="B13" s="7" t="inlineStr">
        <is>
          <t>PRJ006</t>
        </is>
      </c>
      <c r="C13" s="7">
        <f>IFERROR(VLOOKUP(B13,Projects!$A:$AK,2,FALSE()),"")</f>
        <v/>
      </c>
      <c r="D13" s="7" t="inlineStr">
        <is>
          <t>Customer NPS uplift</t>
        </is>
      </c>
      <c r="E13" s="7" t="inlineStr">
        <is>
          <t>Compliance</t>
        </is>
      </c>
      <c r="F13" s="7" t="n">
        <v>1247665</v>
      </c>
      <c r="G13" s="7" t="n">
        <v>120407</v>
      </c>
      <c r="H13" s="7">
        <f>F13-G13</f>
        <v/>
      </c>
      <c r="I13" s="7">
        <f>IFERROR(G13/F13,0)</f>
        <v/>
      </c>
      <c r="J13" s="7" t="inlineStr">
        <is>
          <t>Alex Brown</t>
        </is>
      </c>
      <c r="K13" s="8">
        <f>IFERROR(VLOOKUP(B13,Projects!$A:$AK,16,FALSE()),"")</f>
        <v/>
      </c>
      <c r="L13" s="8">
        <f>IFERROR(VLOOKUP(B13,Projects!$A:$AK,17,FALSE()),"")</f>
        <v/>
      </c>
      <c r="M13" s="7" t="inlineStr">
        <is>
          <t>Realised</t>
        </is>
      </c>
    </row>
    <row r="14" ht="15" customHeight="1" s="5">
      <c r="A14" s="7" t="inlineStr">
        <is>
          <t>BEN013</t>
        </is>
      </c>
      <c r="B14" s="7" t="inlineStr">
        <is>
          <t>PRJ006</t>
        </is>
      </c>
      <c r="C14" s="7">
        <f>IFERROR(VLOOKUP(B14,Projects!$A:$AK,2,FALSE()),"")</f>
        <v/>
      </c>
      <c r="D14" s="7" t="inlineStr">
        <is>
          <t>Risk loss avoidance</t>
        </is>
      </c>
      <c r="E14" s="7" t="inlineStr">
        <is>
          <t>Customer Experience</t>
        </is>
      </c>
      <c r="F14" s="7" t="n">
        <v>635506</v>
      </c>
      <c r="G14" s="7" t="n">
        <v>154201</v>
      </c>
      <c r="H14" s="7">
        <f>F14-G14</f>
        <v/>
      </c>
      <c r="I14" s="7">
        <f>IFERROR(G14/F14,0)</f>
        <v/>
      </c>
      <c r="J14" s="7" t="inlineStr">
        <is>
          <t>Carlos Diaz</t>
        </is>
      </c>
      <c r="K14" s="8">
        <f>IFERROR(VLOOKUP(B14,Projects!$A:$AK,16,FALSE()),"")</f>
        <v/>
      </c>
      <c r="L14" s="8">
        <f>IFERROR(VLOOKUP(B14,Projects!$A:$AK,17,FALSE()),"")</f>
        <v/>
      </c>
      <c r="M14" s="7" t="inlineStr">
        <is>
          <t>Planned</t>
        </is>
      </c>
    </row>
    <row r="15" ht="15" customHeight="1" s="5">
      <c r="A15" s="7" t="inlineStr">
        <is>
          <t>BEN014</t>
        </is>
      </c>
      <c r="B15" s="7" t="inlineStr">
        <is>
          <t>PRJ006</t>
        </is>
      </c>
      <c r="C15" s="7">
        <f>IFERROR(VLOOKUP(B15,Projects!$A:$AK,2,FALSE()),"")</f>
        <v/>
      </c>
      <c r="D15" s="7" t="inlineStr">
        <is>
          <t>Revenue growth from new channel</t>
        </is>
      </c>
      <c r="E15" s="7" t="inlineStr">
        <is>
          <t>Customer Experience</t>
        </is>
      </c>
      <c r="F15" s="7" t="n">
        <v>996808</v>
      </c>
      <c r="G15" s="7" t="n">
        <v>357707</v>
      </c>
      <c r="H15" s="7">
        <f>F15-G15</f>
        <v/>
      </c>
      <c r="I15" s="7">
        <f>IFERROR(G15/F15,0)</f>
        <v/>
      </c>
      <c r="J15" s="7" t="inlineStr">
        <is>
          <t>Jane Doe</t>
        </is>
      </c>
      <c r="K15" s="8">
        <f>IFERROR(VLOOKUP(B15,Projects!$A:$AK,16,FALSE()),"")</f>
        <v/>
      </c>
      <c r="L15" s="8">
        <f>IFERROR(VLOOKUP(B15,Projects!$A:$AK,17,FALSE()),"")</f>
        <v/>
      </c>
      <c r="M15" s="7" t="inlineStr">
        <is>
          <t>At Risk</t>
        </is>
      </c>
    </row>
    <row r="16" ht="15" customHeight="1" s="5">
      <c r="A16" s="7" t="inlineStr">
        <is>
          <t>BEN015</t>
        </is>
      </c>
      <c r="B16" s="7" t="inlineStr">
        <is>
          <t>PRJ007</t>
        </is>
      </c>
      <c r="C16" s="7">
        <f>IFERROR(VLOOKUP(B16,Projects!$A:$AK,2,FALSE()),"")</f>
        <v/>
      </c>
      <c r="D16" s="7" t="inlineStr">
        <is>
          <t>Risk loss avoidance</t>
        </is>
      </c>
      <c r="E16" s="7" t="inlineStr">
        <is>
          <t>Compliance</t>
        </is>
      </c>
      <c r="F16" s="7" t="n">
        <v>1080068</v>
      </c>
      <c r="G16" s="7" t="n">
        <v>594234</v>
      </c>
      <c r="H16" s="7">
        <f>F16-G16</f>
        <v/>
      </c>
      <c r="I16" s="7">
        <f>IFERROR(G16/F16,0)</f>
        <v/>
      </c>
      <c r="J16" s="7" t="inlineStr">
        <is>
          <t>Carlos Diaz</t>
        </is>
      </c>
      <c r="K16" s="8">
        <f>IFERROR(VLOOKUP(B16,Projects!$A:$AK,16,FALSE()),"")</f>
        <v/>
      </c>
      <c r="L16" s="8">
        <f>IFERROR(VLOOKUP(B16,Projects!$A:$AK,17,FALSE()),"")</f>
        <v/>
      </c>
      <c r="M16" s="7" t="inlineStr">
        <is>
          <t>Planned</t>
        </is>
      </c>
    </row>
    <row r="17" ht="15" customHeight="1" s="5">
      <c r="A17" s="7" t="inlineStr">
        <is>
          <t>BEN016</t>
        </is>
      </c>
      <c r="B17" s="7" t="inlineStr">
        <is>
          <t>PRJ008</t>
        </is>
      </c>
      <c r="C17" s="7">
        <f>IFERROR(VLOOKUP(B17,Projects!$A:$AK,2,FALSE()),"")</f>
        <v/>
      </c>
      <c r="D17" s="7" t="inlineStr">
        <is>
          <t>Customer NPS uplift</t>
        </is>
      </c>
      <c r="E17" s="7" t="inlineStr">
        <is>
          <t>Customer Experience</t>
        </is>
      </c>
      <c r="F17" s="7" t="n">
        <v>1707023</v>
      </c>
      <c r="G17" s="7" t="n">
        <v>512372</v>
      </c>
      <c r="H17" s="7">
        <f>F17-G17</f>
        <v/>
      </c>
      <c r="I17" s="7">
        <f>IFERROR(G17/F17,0)</f>
        <v/>
      </c>
      <c r="J17" s="7" t="inlineStr">
        <is>
          <t>Jane Doe</t>
        </is>
      </c>
      <c r="K17" s="8">
        <f>IFERROR(VLOOKUP(B17,Projects!$A:$AK,16,FALSE()),"")</f>
        <v/>
      </c>
      <c r="L17" s="8">
        <f>IFERROR(VLOOKUP(B17,Projects!$A:$AK,17,FALSE()),"")</f>
        <v/>
      </c>
      <c r="M17" s="7" t="inlineStr">
        <is>
          <t>Planned</t>
        </is>
      </c>
    </row>
    <row r="18" ht="15" customHeight="1" s="5">
      <c r="A18" s="7" t="inlineStr">
        <is>
          <t>BEN017</t>
        </is>
      </c>
      <c r="B18" s="7" t="inlineStr">
        <is>
          <t>PRJ008</t>
        </is>
      </c>
      <c r="C18" s="7">
        <f>IFERROR(VLOOKUP(B18,Projects!$A:$AK,2,FALSE()),"")</f>
        <v/>
      </c>
      <c r="D18" s="7" t="inlineStr">
        <is>
          <t>Revenue growth from new channel</t>
        </is>
      </c>
      <c r="E18" s="7" t="inlineStr">
        <is>
          <t>Productivity Improvement</t>
        </is>
      </c>
      <c r="F18" s="7" t="n">
        <v>811930</v>
      </c>
      <c r="G18" s="7" t="n">
        <v>328228</v>
      </c>
      <c r="H18" s="7">
        <f>F18-G18</f>
        <v/>
      </c>
      <c r="I18" s="7">
        <f>IFERROR(G18/F18,0)</f>
        <v/>
      </c>
      <c r="J18" s="7" t="inlineStr">
        <is>
          <t>Priya Patel</t>
        </is>
      </c>
      <c r="K18" s="8">
        <f>IFERROR(VLOOKUP(B18,Projects!$A:$AK,16,FALSE()),"")</f>
        <v/>
      </c>
      <c r="L18" s="8">
        <f>IFERROR(VLOOKUP(B18,Projects!$A:$AK,17,FALSE()),"")</f>
        <v/>
      </c>
      <c r="M18" s="7" t="inlineStr">
        <is>
          <t>Realised</t>
        </is>
      </c>
    </row>
    <row r="19" ht="15" customHeight="1" s="5">
      <c r="A19" s="7" t="inlineStr">
        <is>
          <t>BEN018</t>
        </is>
      </c>
      <c r="B19" s="7" t="inlineStr">
        <is>
          <t>PRJ009</t>
        </is>
      </c>
      <c r="C19" s="7">
        <f>IFERROR(VLOOKUP(B19,Projects!$A:$AK,2,FALSE()),"")</f>
        <v/>
      </c>
      <c r="D19" s="7" t="inlineStr">
        <is>
          <t>Risk loss avoidance</t>
        </is>
      </c>
      <c r="E19" s="7" t="inlineStr">
        <is>
          <t>Compliance</t>
        </is>
      </c>
      <c r="F19" s="7" t="n">
        <v>528432</v>
      </c>
      <c r="G19" s="7" t="n">
        <v>157475</v>
      </c>
      <c r="H19" s="7">
        <f>F19-G19</f>
        <v/>
      </c>
      <c r="I19" s="7">
        <f>IFERROR(G19/F19,0)</f>
        <v/>
      </c>
      <c r="J19" s="7" t="inlineStr">
        <is>
          <t>Alex Brown</t>
        </is>
      </c>
      <c r="K19" s="8">
        <f>IFERROR(VLOOKUP(B19,Projects!$A:$AK,16,FALSE()),"")</f>
        <v/>
      </c>
      <c r="L19" s="8">
        <f>IFERROR(VLOOKUP(B19,Projects!$A:$AK,17,FALSE()),"")</f>
        <v/>
      </c>
      <c r="M19" s="7" t="inlineStr">
        <is>
          <t>Planned</t>
        </is>
      </c>
    </row>
    <row r="20" ht="15" customHeight="1" s="5">
      <c r="A20" s="7" t="inlineStr">
        <is>
          <t>BEN019</t>
        </is>
      </c>
      <c r="B20" s="7" t="inlineStr">
        <is>
          <t>PRJ009</t>
        </is>
      </c>
      <c r="C20" s="7">
        <f>IFERROR(VLOOKUP(B20,Projects!$A:$AK,2,FALSE()),"")</f>
        <v/>
      </c>
      <c r="D20" s="7" t="inlineStr">
        <is>
          <t>Revenue growth from new channel</t>
        </is>
      </c>
      <c r="E20" s="7" t="inlineStr">
        <is>
          <t>Cost Reduction</t>
        </is>
      </c>
      <c r="F20" s="7" t="n">
        <v>1178397</v>
      </c>
      <c r="G20" s="7" t="n">
        <v>26568</v>
      </c>
      <c r="H20" s="7">
        <f>F20-G20</f>
        <v/>
      </c>
      <c r="I20" s="7">
        <f>IFERROR(G20/F20,0)</f>
        <v/>
      </c>
      <c r="J20" s="7" t="inlineStr">
        <is>
          <t>Mike Johnson</t>
        </is>
      </c>
      <c r="K20" s="8">
        <f>IFERROR(VLOOKUP(B20,Projects!$A:$AK,16,FALSE()),"")</f>
        <v/>
      </c>
      <c r="L20" s="8">
        <f>IFERROR(VLOOKUP(B20,Projects!$A:$AK,17,FALSE()),"")</f>
        <v/>
      </c>
      <c r="M20" s="7" t="inlineStr">
        <is>
          <t>At Risk</t>
        </is>
      </c>
    </row>
    <row r="21" ht="15" customHeight="1" s="5">
      <c r="A21" s="7" t="inlineStr">
        <is>
          <t>BEN020</t>
        </is>
      </c>
      <c r="B21" s="7" t="inlineStr">
        <is>
          <t>PRJ010</t>
        </is>
      </c>
      <c r="C21" s="7">
        <f>IFERROR(VLOOKUP(B21,Projects!$A:$AK,2,FALSE()),"")</f>
        <v/>
      </c>
      <c r="D21" s="7" t="inlineStr">
        <is>
          <t>Regulatory compliance achievement</t>
        </is>
      </c>
      <c r="E21" s="7" t="inlineStr">
        <is>
          <t>Customer Experience</t>
        </is>
      </c>
      <c r="F21" s="7" t="n">
        <v>487989</v>
      </c>
      <c r="G21" s="7" t="n">
        <v>133438</v>
      </c>
      <c r="H21" s="7">
        <f>F21-G21</f>
        <v/>
      </c>
      <c r="I21" s="7">
        <f>IFERROR(G21/F21,0)</f>
        <v/>
      </c>
      <c r="J21" s="7" t="inlineStr">
        <is>
          <t>Jane Doe</t>
        </is>
      </c>
      <c r="K21" s="8">
        <f>IFERROR(VLOOKUP(B21,Projects!$A:$AK,16,FALSE()),"")</f>
        <v/>
      </c>
      <c r="L21" s="8">
        <f>IFERROR(VLOOKUP(B21,Projects!$A:$AK,17,FALSE()),"")</f>
        <v/>
      </c>
      <c r="M21" s="7" t="inlineStr">
        <is>
          <t>Realised</t>
        </is>
      </c>
    </row>
    <row r="22" ht="15" customHeight="1" s="5">
      <c r="A22" s="7" t="inlineStr">
        <is>
          <t>BEN021</t>
        </is>
      </c>
      <c r="B22" s="7" t="inlineStr">
        <is>
          <t>PRJ010</t>
        </is>
      </c>
      <c r="C22" s="7">
        <f>IFERROR(VLOOKUP(B22,Projects!$A:$AK,2,FALSE()),"")</f>
        <v/>
      </c>
      <c r="D22" s="7" t="inlineStr">
        <is>
          <t>Process cycle-time reduction</t>
        </is>
      </c>
      <c r="E22" s="7" t="inlineStr">
        <is>
          <t>Revenue Increase</t>
        </is>
      </c>
      <c r="F22" s="7" t="n">
        <v>1182079</v>
      </c>
      <c r="G22" s="7" t="n">
        <v>373625</v>
      </c>
      <c r="H22" s="7">
        <f>F22-G22</f>
        <v/>
      </c>
      <c r="I22" s="7">
        <f>IFERROR(G22/F22,0)</f>
        <v/>
      </c>
      <c r="J22" s="7" t="inlineStr">
        <is>
          <t>Jane Doe</t>
        </is>
      </c>
      <c r="K22" s="8">
        <f>IFERROR(VLOOKUP(B22,Projects!$A:$AK,16,FALSE()),"")</f>
        <v/>
      </c>
      <c r="L22" s="8">
        <f>IFERROR(VLOOKUP(B22,Projects!$A:$AK,17,FALSE()),"")</f>
        <v/>
      </c>
      <c r="M22" s="7" t="inlineStr">
        <is>
          <t>In Progress</t>
        </is>
      </c>
    </row>
    <row r="23" ht="15" customHeight="1" s="5">
      <c r="A23" s="7" t="inlineStr">
        <is>
          <t>BEN022</t>
        </is>
      </c>
      <c r="B23" s="7" t="inlineStr">
        <is>
          <t>PRJ011</t>
        </is>
      </c>
      <c r="C23" s="7">
        <f>IFERROR(VLOOKUP(B23,Projects!$A:$AK,2,FALSE()),"")</f>
        <v/>
      </c>
      <c r="D23" s="7" t="inlineStr">
        <is>
          <t>Headcount cost avoidance</t>
        </is>
      </c>
      <c r="E23" s="7" t="inlineStr">
        <is>
          <t>Cost Reduction</t>
        </is>
      </c>
      <c r="F23" s="7" t="n">
        <v>1670302</v>
      </c>
      <c r="G23" s="7" t="n">
        <v>705460</v>
      </c>
      <c r="H23" s="7">
        <f>F23-G23</f>
        <v/>
      </c>
      <c r="I23" s="7">
        <f>IFERROR(G23/F23,0)</f>
        <v/>
      </c>
      <c r="J23" s="7" t="inlineStr">
        <is>
          <t>Jane Doe</t>
        </is>
      </c>
      <c r="K23" s="8">
        <f>IFERROR(VLOOKUP(B23,Projects!$A:$AK,16,FALSE()),"")</f>
        <v/>
      </c>
      <c r="L23" s="8">
        <f>IFERROR(VLOOKUP(B23,Projects!$A:$AK,17,FALSE()),"")</f>
        <v/>
      </c>
      <c r="M23" s="7" t="inlineStr">
        <is>
          <t>Realised</t>
        </is>
      </c>
    </row>
    <row r="24" ht="15" customHeight="1" s="5">
      <c r="A24" s="7" t="inlineStr">
        <is>
          <t>BEN023</t>
        </is>
      </c>
      <c r="B24" s="7" t="inlineStr">
        <is>
          <t>PRJ012</t>
        </is>
      </c>
      <c r="C24" s="7">
        <f>IFERROR(VLOOKUP(B24,Projects!$A:$AK,2,FALSE()),"")</f>
        <v/>
      </c>
      <c r="D24" s="7" t="inlineStr">
        <is>
          <t>Headcount cost avoidance</t>
        </is>
      </c>
      <c r="E24" s="7" t="inlineStr">
        <is>
          <t>Customer Experience</t>
        </is>
      </c>
      <c r="F24" s="7" t="n">
        <v>542775</v>
      </c>
      <c r="G24" s="7" t="n">
        <v>250599</v>
      </c>
      <c r="H24" s="7">
        <f>F24-G24</f>
        <v/>
      </c>
      <c r="I24" s="7">
        <f>IFERROR(G24/F24,0)</f>
        <v/>
      </c>
      <c r="J24" s="7" t="inlineStr">
        <is>
          <t>John Smith</t>
        </is>
      </c>
      <c r="K24" s="8">
        <f>IFERROR(VLOOKUP(B24,Projects!$A:$AK,16,FALSE()),"")</f>
        <v/>
      </c>
      <c r="L24" s="8">
        <f>IFERROR(VLOOKUP(B24,Projects!$A:$AK,17,FALSE()),"")</f>
        <v/>
      </c>
      <c r="M24" s="7" t="inlineStr">
        <is>
          <t>Planned</t>
        </is>
      </c>
    </row>
    <row r="25" ht="15" customHeight="1" s="5">
      <c r="A25" s="7" t="inlineStr">
        <is>
          <t>BEN024</t>
        </is>
      </c>
      <c r="B25" s="7" t="inlineStr">
        <is>
          <t>PRJ013</t>
        </is>
      </c>
      <c r="C25" s="7">
        <f>IFERROR(VLOOKUP(B25,Projects!$A:$AK,2,FALSE()),"")</f>
        <v/>
      </c>
      <c r="D25" s="7" t="inlineStr">
        <is>
          <t>Risk loss avoidance</t>
        </is>
      </c>
      <c r="E25" s="7" t="inlineStr">
        <is>
          <t>Cost Reduction</t>
        </is>
      </c>
      <c r="F25" s="7" t="n">
        <v>720867</v>
      </c>
      <c r="G25" s="7" t="n">
        <v>459098</v>
      </c>
      <c r="H25" s="7">
        <f>F25-G25</f>
        <v/>
      </c>
      <c r="I25" s="7">
        <f>IFERROR(G25/F25,0)</f>
        <v/>
      </c>
      <c r="J25" s="7" t="inlineStr">
        <is>
          <t>John Smith</t>
        </is>
      </c>
      <c r="K25" s="8">
        <f>IFERROR(VLOOKUP(B25,Projects!$A:$AK,16,FALSE()),"")</f>
        <v/>
      </c>
      <c r="L25" s="8">
        <f>IFERROR(VLOOKUP(B25,Projects!$A:$AK,17,FALSE()),"")</f>
        <v/>
      </c>
      <c r="M25" s="7" t="inlineStr">
        <is>
          <t>At Risk</t>
        </is>
      </c>
    </row>
    <row r="26" ht="15" customHeight="1" s="5">
      <c r="A26" s="7" t="inlineStr">
        <is>
          <t>BEN025</t>
        </is>
      </c>
      <c r="B26" s="7" t="inlineStr">
        <is>
          <t>PRJ014</t>
        </is>
      </c>
      <c r="C26" s="7">
        <f>IFERROR(VLOOKUP(B26,Projects!$A:$AK,2,FALSE()),"")</f>
        <v/>
      </c>
      <c r="D26" s="7" t="inlineStr">
        <is>
          <t>Revenue growth from new channel</t>
        </is>
      </c>
      <c r="E26" s="7" t="inlineStr">
        <is>
          <t>Cost Reduction</t>
        </is>
      </c>
      <c r="F26" s="7" t="n">
        <v>1511971</v>
      </c>
      <c r="G26" s="7" t="n">
        <v>411702</v>
      </c>
      <c r="H26" s="7">
        <f>F26-G26</f>
        <v/>
      </c>
      <c r="I26" s="7">
        <f>IFERROR(G26/F26,0)</f>
        <v/>
      </c>
      <c r="J26" s="7" t="inlineStr">
        <is>
          <t>Carlos Diaz</t>
        </is>
      </c>
      <c r="K26" s="8">
        <f>IFERROR(VLOOKUP(B26,Projects!$A:$AK,16,FALSE()),"")</f>
        <v/>
      </c>
      <c r="L26" s="8">
        <f>IFERROR(VLOOKUP(B26,Projects!$A:$AK,17,FALSE()),"")</f>
        <v/>
      </c>
      <c r="M26" s="7" t="inlineStr">
        <is>
          <t>At Risk</t>
        </is>
      </c>
    </row>
    <row r="27" ht="15" customHeight="1" s="5">
      <c r="A27" s="7" t="inlineStr">
        <is>
          <t>BEN026</t>
        </is>
      </c>
      <c r="B27" s="7" t="inlineStr">
        <is>
          <t>PRJ014</t>
        </is>
      </c>
      <c r="C27" s="7">
        <f>IFERROR(VLOOKUP(B27,Projects!$A:$AK,2,FALSE()),"")</f>
        <v/>
      </c>
      <c r="D27" s="7" t="inlineStr">
        <is>
          <t>Revenue growth from new channel</t>
        </is>
      </c>
      <c r="E27" s="7" t="inlineStr">
        <is>
          <t>Risk Reduction</t>
        </is>
      </c>
      <c r="F27" s="7" t="n">
        <v>1654003</v>
      </c>
      <c r="G27" s="7" t="n">
        <v>769698</v>
      </c>
      <c r="H27" s="7">
        <f>F27-G27</f>
        <v/>
      </c>
      <c r="I27" s="7">
        <f>IFERROR(G27/F27,0)</f>
        <v/>
      </c>
      <c r="J27" s="7" t="inlineStr">
        <is>
          <t>Alex Brown</t>
        </is>
      </c>
      <c r="K27" s="8">
        <f>IFERROR(VLOOKUP(B27,Projects!$A:$AK,16,FALSE()),"")</f>
        <v/>
      </c>
      <c r="L27" s="8">
        <f>IFERROR(VLOOKUP(B27,Projects!$A:$AK,17,FALSE()),"")</f>
        <v/>
      </c>
      <c r="M27" s="7" t="inlineStr">
        <is>
          <t>In Progress</t>
        </is>
      </c>
    </row>
    <row r="28" ht="15" customHeight="1" s="5">
      <c r="A28" s="7" t="inlineStr">
        <is>
          <t>BEN027</t>
        </is>
      </c>
      <c r="B28" s="7" t="inlineStr">
        <is>
          <t>PRJ015</t>
        </is>
      </c>
      <c r="C28" s="7">
        <f>IFERROR(VLOOKUP(B28,Projects!$A:$AK,2,FALSE()),"")</f>
        <v/>
      </c>
      <c r="D28" s="7" t="inlineStr">
        <is>
          <t>Revenue growth from new channel</t>
        </is>
      </c>
      <c r="E28" s="7" t="inlineStr">
        <is>
          <t>Revenue Increase</t>
        </is>
      </c>
      <c r="F28" s="7" t="n">
        <v>1461867</v>
      </c>
      <c r="G28" s="7" t="n">
        <v>469653</v>
      </c>
      <c r="H28" s="7">
        <f>F28-G28</f>
        <v/>
      </c>
      <c r="I28" s="7">
        <f>IFERROR(G28/F28,0)</f>
        <v/>
      </c>
      <c r="J28" s="7" t="inlineStr">
        <is>
          <t>Jane Doe</t>
        </is>
      </c>
      <c r="K28" s="8">
        <f>IFERROR(VLOOKUP(B28,Projects!$A:$AK,16,FALSE()),"")</f>
        <v/>
      </c>
      <c r="L28" s="8">
        <f>IFERROR(VLOOKUP(B28,Projects!$A:$AK,17,FALSE()),"")</f>
        <v/>
      </c>
      <c r="M28" s="7" t="inlineStr">
        <is>
          <t>At Risk</t>
        </is>
      </c>
    </row>
    <row r="29" ht="15" customHeight="1" s="5">
      <c r="A29" s="7" t="inlineStr">
        <is>
          <t>BEN028</t>
        </is>
      </c>
      <c r="B29" s="7" t="inlineStr">
        <is>
          <t>PRJ015</t>
        </is>
      </c>
      <c r="C29" s="7">
        <f>IFERROR(VLOOKUP(B29,Projects!$A:$AK,2,FALSE()),"")</f>
        <v/>
      </c>
      <c r="D29" s="7" t="inlineStr">
        <is>
          <t>Process cycle-time reduction</t>
        </is>
      </c>
      <c r="E29" s="7" t="inlineStr">
        <is>
          <t>Risk Reduction</t>
        </is>
      </c>
      <c r="F29" s="7" t="n">
        <v>1249212</v>
      </c>
      <c r="G29" s="7" t="n">
        <v>215849</v>
      </c>
      <c r="H29" s="7">
        <f>F29-G29</f>
        <v/>
      </c>
      <c r="I29" s="7">
        <f>IFERROR(G29/F29,0)</f>
        <v/>
      </c>
      <c r="J29" s="7" t="inlineStr">
        <is>
          <t>Sarah Lee</t>
        </is>
      </c>
      <c r="K29" s="8">
        <f>IFERROR(VLOOKUP(B29,Projects!$A:$AK,16,FALSE()),"")</f>
        <v/>
      </c>
      <c r="L29" s="8">
        <f>IFERROR(VLOOKUP(B29,Projects!$A:$AK,17,FALSE()),"")</f>
        <v/>
      </c>
      <c r="M29" s="7" t="inlineStr">
        <is>
          <t>Planned</t>
        </is>
      </c>
    </row>
    <row r="30" ht="15" customHeight="1" s="5">
      <c r="A30" s="7" t="inlineStr">
        <is>
          <t>BEN029</t>
        </is>
      </c>
      <c r="B30" s="7" t="inlineStr">
        <is>
          <t>PRJ015</t>
        </is>
      </c>
      <c r="C30" s="7">
        <f>IFERROR(VLOOKUP(B30,Projects!$A:$AK,2,FALSE()),"")</f>
        <v/>
      </c>
      <c r="D30" s="7" t="inlineStr">
        <is>
          <t>Risk loss avoidance</t>
        </is>
      </c>
      <c r="E30" s="7" t="inlineStr">
        <is>
          <t>Productivity Improvement</t>
        </is>
      </c>
      <c r="F30" s="7" t="n">
        <v>1500852</v>
      </c>
      <c r="G30" s="7" t="n">
        <v>302479</v>
      </c>
      <c r="H30" s="7">
        <f>F30-G30</f>
        <v/>
      </c>
      <c r="I30" s="7">
        <f>IFERROR(G30/F30,0)</f>
        <v/>
      </c>
      <c r="J30" s="7" t="inlineStr">
        <is>
          <t>Priya Patel</t>
        </is>
      </c>
      <c r="K30" s="8">
        <f>IFERROR(VLOOKUP(B30,Projects!$A:$AK,16,FALSE()),"")</f>
        <v/>
      </c>
      <c r="L30" s="8">
        <f>IFERROR(VLOOKUP(B30,Projects!$A:$AK,17,FALSE()),"")</f>
        <v/>
      </c>
      <c r="M30" s="7" t="inlineStr">
        <is>
          <t>In Progress</t>
        </is>
      </c>
    </row>
    <row r="31" ht="15" customHeight="1" s="5">
      <c r="A31" s="7" t="inlineStr">
        <is>
          <t>BEN030</t>
        </is>
      </c>
      <c r="B31" s="7" t="inlineStr">
        <is>
          <t>PRJ016</t>
        </is>
      </c>
      <c r="C31" s="7">
        <f>IFERROR(VLOOKUP(B31,Projects!$A:$AK,2,FALSE()),"")</f>
        <v/>
      </c>
      <c r="D31" s="7" t="inlineStr">
        <is>
          <t>Customer NPS uplift</t>
        </is>
      </c>
      <c r="E31" s="7" t="inlineStr">
        <is>
          <t>Customer Experience</t>
        </is>
      </c>
      <c r="F31" s="7" t="n">
        <v>573356</v>
      </c>
      <c r="G31" s="7" t="n">
        <v>361200</v>
      </c>
      <c r="H31" s="7">
        <f>F31-G31</f>
        <v/>
      </c>
      <c r="I31" s="7">
        <f>IFERROR(G31/F31,0)</f>
        <v/>
      </c>
      <c r="J31" s="7" t="inlineStr">
        <is>
          <t>Sarah Lee</t>
        </is>
      </c>
      <c r="K31" s="8">
        <f>IFERROR(VLOOKUP(B31,Projects!$A:$AK,16,FALSE()),"")</f>
        <v/>
      </c>
      <c r="L31" s="8">
        <f>IFERROR(VLOOKUP(B31,Projects!$A:$AK,17,FALSE()),"")</f>
        <v/>
      </c>
      <c r="M31" s="7" t="inlineStr">
        <is>
          <t>In Progress</t>
        </is>
      </c>
    </row>
    <row r="32" ht="15" customHeight="1" s="5">
      <c r="A32" s="7" t="inlineStr">
        <is>
          <t>BEN031</t>
        </is>
      </c>
      <c r="B32" s="7" t="inlineStr">
        <is>
          <t>PRJ016</t>
        </is>
      </c>
      <c r="C32" s="7">
        <f>IFERROR(VLOOKUP(B32,Projects!$A:$AK,2,FALSE()),"")</f>
        <v/>
      </c>
      <c r="D32" s="7" t="inlineStr">
        <is>
          <t>Customer NPS uplift</t>
        </is>
      </c>
      <c r="E32" s="7" t="inlineStr">
        <is>
          <t>Revenue Increase</t>
        </is>
      </c>
      <c r="F32" s="7" t="n">
        <v>1427192</v>
      </c>
      <c r="G32" s="7" t="n">
        <v>95442</v>
      </c>
      <c r="H32" s="7">
        <f>F32-G32</f>
        <v/>
      </c>
      <c r="I32" s="7">
        <f>IFERROR(G32/F32,0)</f>
        <v/>
      </c>
      <c r="J32" s="7" t="inlineStr">
        <is>
          <t>Jane Doe</t>
        </is>
      </c>
      <c r="K32" s="8">
        <f>IFERROR(VLOOKUP(B32,Projects!$A:$AK,16,FALSE()),"")</f>
        <v/>
      </c>
      <c r="L32" s="8">
        <f>IFERROR(VLOOKUP(B32,Projects!$A:$AK,17,FALSE()),"")</f>
        <v/>
      </c>
      <c r="M32" s="7" t="inlineStr">
        <is>
          <t>Realised</t>
        </is>
      </c>
    </row>
    <row r="33" ht="15" customHeight="1" s="5">
      <c r="A33" s="7" t="inlineStr">
        <is>
          <t>BEN032</t>
        </is>
      </c>
      <c r="B33" s="7" t="inlineStr">
        <is>
          <t>PRJ017</t>
        </is>
      </c>
      <c r="C33" s="7">
        <f>IFERROR(VLOOKUP(B33,Projects!$A:$AK,2,FALSE()),"")</f>
        <v/>
      </c>
      <c r="D33" s="7" t="inlineStr">
        <is>
          <t>Customer NPS uplift</t>
        </is>
      </c>
      <c r="E33" s="7" t="inlineStr">
        <is>
          <t>Cost Reduction</t>
        </is>
      </c>
      <c r="F33" s="7" t="n">
        <v>1840963</v>
      </c>
      <c r="G33" s="7" t="n">
        <v>899551</v>
      </c>
      <c r="H33" s="7">
        <f>F33-G33</f>
        <v/>
      </c>
      <c r="I33" s="7">
        <f>IFERROR(G33/F33,0)</f>
        <v/>
      </c>
      <c r="J33" s="7" t="inlineStr">
        <is>
          <t>Sarah Lee</t>
        </is>
      </c>
      <c r="K33" s="8">
        <f>IFERROR(VLOOKUP(B33,Projects!$A:$AK,16,FALSE()),"")</f>
        <v/>
      </c>
      <c r="L33" s="8">
        <f>IFERROR(VLOOKUP(B33,Projects!$A:$AK,17,FALSE()),"")</f>
        <v/>
      </c>
      <c r="M33" s="7" t="inlineStr">
        <is>
          <t>Planned</t>
        </is>
      </c>
    </row>
    <row r="34" ht="15" customHeight="1" s="5">
      <c r="A34" s="7" t="inlineStr">
        <is>
          <t>BEN033</t>
        </is>
      </c>
      <c r="B34" s="7" t="inlineStr">
        <is>
          <t>PRJ017</t>
        </is>
      </c>
      <c r="C34" s="7">
        <f>IFERROR(VLOOKUP(B34,Projects!$A:$AK,2,FALSE()),"")</f>
        <v/>
      </c>
      <c r="D34" s="7" t="inlineStr">
        <is>
          <t>Headcount cost avoidance</t>
        </is>
      </c>
      <c r="E34" s="7" t="inlineStr">
        <is>
          <t>Risk Reduction</t>
        </is>
      </c>
      <c r="F34" s="7" t="n">
        <v>1991101</v>
      </c>
      <c r="G34" s="7" t="n">
        <v>106670</v>
      </c>
      <c r="H34" s="7">
        <f>F34-G34</f>
        <v/>
      </c>
      <c r="I34" s="7">
        <f>IFERROR(G34/F34,0)</f>
        <v/>
      </c>
      <c r="J34" s="7" t="inlineStr">
        <is>
          <t>Carlos Diaz</t>
        </is>
      </c>
      <c r="K34" s="8">
        <f>IFERROR(VLOOKUP(B34,Projects!$A:$AK,16,FALSE()),"")</f>
        <v/>
      </c>
      <c r="L34" s="8">
        <f>IFERROR(VLOOKUP(B34,Projects!$A:$AK,17,FALSE()),"")</f>
        <v/>
      </c>
      <c r="M34" s="7" t="inlineStr">
        <is>
          <t>At Risk</t>
        </is>
      </c>
    </row>
    <row r="35" ht="15" customHeight="1" s="5">
      <c r="A35" s="7" t="inlineStr">
        <is>
          <t>BEN034</t>
        </is>
      </c>
      <c r="B35" s="7" t="inlineStr">
        <is>
          <t>PRJ017</t>
        </is>
      </c>
      <c r="C35" s="7">
        <f>IFERROR(VLOOKUP(B35,Projects!$A:$AK,2,FALSE()),"")</f>
        <v/>
      </c>
      <c r="D35" s="7" t="inlineStr">
        <is>
          <t>Headcount cost avoidance</t>
        </is>
      </c>
      <c r="E35" s="7" t="inlineStr">
        <is>
          <t>Customer Experience</t>
        </is>
      </c>
      <c r="F35" s="7" t="n">
        <v>413194</v>
      </c>
      <c r="G35" s="7" t="n">
        <v>59979</v>
      </c>
      <c r="H35" s="7">
        <f>F35-G35</f>
        <v/>
      </c>
      <c r="I35" s="7">
        <f>IFERROR(G35/F35,0)</f>
        <v/>
      </c>
      <c r="J35" s="7" t="inlineStr">
        <is>
          <t>John Smith</t>
        </is>
      </c>
      <c r="K35" s="8">
        <f>IFERROR(VLOOKUP(B35,Projects!$A:$AK,16,FALSE()),"")</f>
        <v/>
      </c>
      <c r="L35" s="8">
        <f>IFERROR(VLOOKUP(B35,Projects!$A:$AK,17,FALSE()),"")</f>
        <v/>
      </c>
      <c r="M35" s="7" t="inlineStr">
        <is>
          <t>At Risk</t>
        </is>
      </c>
    </row>
    <row r="36" ht="15" customHeight="1" s="5">
      <c r="A36" s="7" t="inlineStr">
        <is>
          <t>BEN035</t>
        </is>
      </c>
      <c r="B36" s="7" t="inlineStr">
        <is>
          <t>PRJ018</t>
        </is>
      </c>
      <c r="C36" s="7">
        <f>IFERROR(VLOOKUP(B36,Projects!$A:$AK,2,FALSE()),"")</f>
        <v/>
      </c>
      <c r="D36" s="7" t="inlineStr">
        <is>
          <t>Revenue growth from new channel</t>
        </is>
      </c>
      <c r="E36" s="7" t="inlineStr">
        <is>
          <t>Customer Experience</t>
        </is>
      </c>
      <c r="F36" s="7" t="n">
        <v>752950</v>
      </c>
      <c r="G36" s="7" t="n">
        <v>210479</v>
      </c>
      <c r="H36" s="7">
        <f>F36-G36</f>
        <v/>
      </c>
      <c r="I36" s="7">
        <f>IFERROR(G36/F36,0)</f>
        <v/>
      </c>
      <c r="J36" s="7" t="inlineStr">
        <is>
          <t>John Smith</t>
        </is>
      </c>
      <c r="K36" s="8">
        <f>IFERROR(VLOOKUP(B36,Projects!$A:$AK,16,FALSE()),"")</f>
        <v/>
      </c>
      <c r="L36" s="8">
        <f>IFERROR(VLOOKUP(B36,Projects!$A:$AK,17,FALSE()),"")</f>
        <v/>
      </c>
      <c r="M36" s="7" t="inlineStr">
        <is>
          <t>Planned</t>
        </is>
      </c>
    </row>
    <row r="37" ht="15" customHeight="1" s="5">
      <c r="A37" s="7" t="inlineStr">
        <is>
          <t>BEN036</t>
        </is>
      </c>
      <c r="B37" s="7" t="inlineStr">
        <is>
          <t>PRJ018</t>
        </is>
      </c>
      <c r="C37" s="7">
        <f>IFERROR(VLOOKUP(B37,Projects!$A:$AK,2,FALSE()),"")</f>
        <v/>
      </c>
      <c r="D37" s="7" t="inlineStr">
        <is>
          <t>Customer NPS uplift</t>
        </is>
      </c>
      <c r="E37" s="7" t="inlineStr">
        <is>
          <t>Compliance</t>
        </is>
      </c>
      <c r="F37" s="7" t="n">
        <v>1447289</v>
      </c>
      <c r="G37" s="7" t="n">
        <v>138269</v>
      </c>
      <c r="H37" s="7">
        <f>F37-G37</f>
        <v/>
      </c>
      <c r="I37" s="7">
        <f>IFERROR(G37/F37,0)</f>
        <v/>
      </c>
      <c r="J37" s="7" t="inlineStr">
        <is>
          <t>Sarah Lee</t>
        </is>
      </c>
      <c r="K37" s="8">
        <f>IFERROR(VLOOKUP(B37,Projects!$A:$AK,16,FALSE()),"")</f>
        <v/>
      </c>
      <c r="L37" s="8">
        <f>IFERROR(VLOOKUP(B37,Projects!$A:$AK,17,FALSE()),"")</f>
        <v/>
      </c>
      <c r="M37" s="7" t="inlineStr">
        <is>
          <t>Planned</t>
        </is>
      </c>
    </row>
    <row r="38" ht="15" customHeight="1" s="5">
      <c r="A38" s="7" t="inlineStr">
        <is>
          <t>BEN037</t>
        </is>
      </c>
      <c r="B38" s="7" t="inlineStr">
        <is>
          <t>PRJ019</t>
        </is>
      </c>
      <c r="C38" s="7">
        <f>IFERROR(VLOOKUP(B38,Projects!$A:$AK,2,FALSE()),"")</f>
        <v/>
      </c>
      <c r="D38" s="7" t="inlineStr">
        <is>
          <t>Risk loss avoidance</t>
        </is>
      </c>
      <c r="E38" s="7" t="inlineStr">
        <is>
          <t>Cost Reduction</t>
        </is>
      </c>
      <c r="F38" s="7" t="n">
        <v>1142014</v>
      </c>
      <c r="G38" s="7" t="n">
        <v>193692</v>
      </c>
      <c r="H38" s="7">
        <f>F38-G38</f>
        <v/>
      </c>
      <c r="I38" s="7">
        <f>IFERROR(G38/F38,0)</f>
        <v/>
      </c>
      <c r="J38" s="7" t="inlineStr">
        <is>
          <t>Sarah Lee</t>
        </is>
      </c>
      <c r="K38" s="8">
        <f>IFERROR(VLOOKUP(B38,Projects!$A:$AK,16,FALSE()),"")</f>
        <v/>
      </c>
      <c r="L38" s="8">
        <f>IFERROR(VLOOKUP(B38,Projects!$A:$AK,17,FALSE()),"")</f>
        <v/>
      </c>
      <c r="M38" s="7" t="inlineStr">
        <is>
          <t>In Progress</t>
        </is>
      </c>
    </row>
    <row r="39" ht="15" customHeight="1" s="5">
      <c r="A39" s="7" t="inlineStr">
        <is>
          <t>BEN038</t>
        </is>
      </c>
      <c r="B39" s="7" t="inlineStr">
        <is>
          <t>PRJ020</t>
        </is>
      </c>
      <c r="C39" s="7">
        <f>IFERROR(VLOOKUP(B39,Projects!$A:$AK,2,FALSE()),"")</f>
        <v/>
      </c>
      <c r="D39" s="7" t="inlineStr">
        <is>
          <t>Headcount cost avoidance</t>
        </is>
      </c>
      <c r="E39" s="7" t="inlineStr">
        <is>
          <t>Risk Reduction</t>
        </is>
      </c>
      <c r="F39" s="7" t="n">
        <v>1253278</v>
      </c>
      <c r="G39" s="7" t="n">
        <v>155489</v>
      </c>
      <c r="H39" s="7">
        <f>F39-G39</f>
        <v/>
      </c>
      <c r="I39" s="7">
        <f>IFERROR(G39/F39,0)</f>
        <v/>
      </c>
      <c r="J39" s="7" t="inlineStr">
        <is>
          <t>Priya Patel</t>
        </is>
      </c>
      <c r="K39" s="8">
        <f>IFERROR(VLOOKUP(B39,Projects!$A:$AK,16,FALSE()),"")</f>
        <v/>
      </c>
      <c r="L39" s="8">
        <f>IFERROR(VLOOKUP(B39,Projects!$A:$AK,17,FALSE()),"")</f>
        <v/>
      </c>
      <c r="M39" s="7" t="inlineStr">
        <is>
          <t>Planned</t>
        </is>
      </c>
    </row>
    <row r="40" ht="15" customHeight="1" s="5">
      <c r="A40" s="7" t="inlineStr">
        <is>
          <t>BEN039</t>
        </is>
      </c>
      <c r="B40" s="7" t="inlineStr">
        <is>
          <t>PRJ021</t>
        </is>
      </c>
      <c r="C40" s="7">
        <f>IFERROR(VLOOKUP(B40,Projects!$A:$AK,2,FALSE()),"")</f>
        <v/>
      </c>
      <c r="D40" s="7" t="inlineStr">
        <is>
          <t>Revenue growth from new channel</t>
        </is>
      </c>
      <c r="E40" s="7" t="inlineStr">
        <is>
          <t>Customer Experience</t>
        </is>
      </c>
      <c r="F40" s="7" t="n">
        <v>1550819</v>
      </c>
      <c r="G40" s="7" t="n">
        <v>735349</v>
      </c>
      <c r="H40" s="7">
        <f>F40-G40</f>
        <v/>
      </c>
      <c r="I40" s="7">
        <f>IFERROR(G40/F40,0)</f>
        <v/>
      </c>
      <c r="J40" s="7" t="inlineStr">
        <is>
          <t>Mike Johnson</t>
        </is>
      </c>
      <c r="K40" s="8">
        <f>IFERROR(VLOOKUP(B40,Projects!$A:$AK,16,FALSE()),"")</f>
        <v/>
      </c>
      <c r="L40" s="8">
        <f>IFERROR(VLOOKUP(B40,Projects!$A:$AK,17,FALSE()),"")</f>
        <v/>
      </c>
      <c r="M40" s="7" t="inlineStr">
        <is>
          <t>Planned</t>
        </is>
      </c>
    </row>
    <row r="41" ht="15" customHeight="1" s="5">
      <c r="A41" s="7" t="inlineStr">
        <is>
          <t>BEN040</t>
        </is>
      </c>
      <c r="B41" s="7" t="inlineStr">
        <is>
          <t>PRJ021</t>
        </is>
      </c>
      <c r="C41" s="7">
        <f>IFERROR(VLOOKUP(B41,Projects!$A:$AK,2,FALSE()),"")</f>
        <v/>
      </c>
      <c r="D41" s="7" t="inlineStr">
        <is>
          <t>Risk loss avoidance</t>
        </is>
      </c>
      <c r="E41" s="7" t="inlineStr">
        <is>
          <t>Compliance</t>
        </is>
      </c>
      <c r="F41" s="7" t="n">
        <v>1796107</v>
      </c>
      <c r="G41" s="7" t="n">
        <v>669246</v>
      </c>
      <c r="H41" s="7">
        <f>F41-G41</f>
        <v/>
      </c>
      <c r="I41" s="7">
        <f>IFERROR(G41/F41,0)</f>
        <v/>
      </c>
      <c r="J41" s="7" t="inlineStr">
        <is>
          <t>John Smith</t>
        </is>
      </c>
      <c r="K41" s="8">
        <f>IFERROR(VLOOKUP(B41,Projects!$A:$AK,16,FALSE()),"")</f>
        <v/>
      </c>
      <c r="L41" s="8">
        <f>IFERROR(VLOOKUP(B41,Projects!$A:$AK,17,FALSE()),"")</f>
        <v/>
      </c>
      <c r="M41" s="7" t="inlineStr">
        <is>
          <t>Planned</t>
        </is>
      </c>
    </row>
    <row r="42" ht="15" customHeight="1" s="5">
      <c r="A42" s="7" t="inlineStr">
        <is>
          <t>BEN041</t>
        </is>
      </c>
      <c r="B42" s="7" t="inlineStr">
        <is>
          <t>PRJ021</t>
        </is>
      </c>
      <c r="C42" s="7">
        <f>IFERROR(VLOOKUP(B42,Projects!$A:$AK,2,FALSE()),"")</f>
        <v/>
      </c>
      <c r="D42" s="7" t="inlineStr">
        <is>
          <t>Headcount cost avoidance</t>
        </is>
      </c>
      <c r="E42" s="7" t="inlineStr">
        <is>
          <t>Risk Reduction</t>
        </is>
      </c>
      <c r="F42" s="7" t="n">
        <v>842175</v>
      </c>
      <c r="G42" s="7" t="n">
        <v>181764</v>
      </c>
      <c r="H42" s="7">
        <f>F42-G42</f>
        <v/>
      </c>
      <c r="I42" s="7">
        <f>IFERROR(G42/F42,0)</f>
        <v/>
      </c>
      <c r="J42" s="7" t="inlineStr">
        <is>
          <t>John Smith</t>
        </is>
      </c>
      <c r="K42" s="8">
        <f>IFERROR(VLOOKUP(B42,Projects!$A:$AK,16,FALSE()),"")</f>
        <v/>
      </c>
      <c r="L42" s="8">
        <f>IFERROR(VLOOKUP(B42,Projects!$A:$AK,17,FALSE()),"")</f>
        <v/>
      </c>
      <c r="M42" s="7" t="inlineStr">
        <is>
          <t>In Progress</t>
        </is>
      </c>
    </row>
    <row r="43" ht="15" customHeight="1" s="5">
      <c r="A43" s="7" t="inlineStr">
        <is>
          <t>BEN042</t>
        </is>
      </c>
      <c r="B43" s="7" t="inlineStr">
        <is>
          <t>PRJ022</t>
        </is>
      </c>
      <c r="C43" s="7">
        <f>IFERROR(VLOOKUP(B43,Projects!$A:$AK,2,FALSE()),"")</f>
        <v/>
      </c>
      <c r="D43" s="7" t="inlineStr">
        <is>
          <t>Headcount cost avoidance</t>
        </is>
      </c>
      <c r="E43" s="7" t="inlineStr">
        <is>
          <t>Revenue Increase</t>
        </is>
      </c>
      <c r="F43" s="7" t="n">
        <v>811825</v>
      </c>
      <c r="G43" s="7" t="n">
        <v>135557</v>
      </c>
      <c r="H43" s="7">
        <f>F43-G43</f>
        <v/>
      </c>
      <c r="I43" s="7">
        <f>IFERROR(G43/F43,0)</f>
        <v/>
      </c>
      <c r="J43" s="7" t="inlineStr">
        <is>
          <t>Sarah Lee</t>
        </is>
      </c>
      <c r="K43" s="8">
        <f>IFERROR(VLOOKUP(B43,Projects!$A:$AK,16,FALSE()),"")</f>
        <v/>
      </c>
      <c r="L43" s="8">
        <f>IFERROR(VLOOKUP(B43,Projects!$A:$AK,17,FALSE()),"")</f>
        <v/>
      </c>
      <c r="M43" s="7" t="inlineStr">
        <is>
          <t>Realised</t>
        </is>
      </c>
    </row>
    <row r="44" ht="15" customHeight="1" s="5">
      <c r="A44" s="7" t="inlineStr">
        <is>
          <t>BEN043</t>
        </is>
      </c>
      <c r="B44" s="7" t="inlineStr">
        <is>
          <t>PRJ023</t>
        </is>
      </c>
      <c r="C44" s="7">
        <f>IFERROR(VLOOKUP(B44,Projects!$A:$AK,2,FALSE()),"")</f>
        <v/>
      </c>
      <c r="D44" s="7" t="inlineStr">
        <is>
          <t>Headcount cost avoidance</t>
        </is>
      </c>
      <c r="E44" s="7" t="inlineStr">
        <is>
          <t>Compliance</t>
        </is>
      </c>
      <c r="F44" s="7" t="n">
        <v>1391923</v>
      </c>
      <c r="G44" s="7" t="n">
        <v>61551</v>
      </c>
      <c r="H44" s="7">
        <f>F44-G44</f>
        <v/>
      </c>
      <c r="I44" s="7">
        <f>IFERROR(G44/F44,0)</f>
        <v/>
      </c>
      <c r="J44" s="7" t="inlineStr">
        <is>
          <t>Jane Doe</t>
        </is>
      </c>
      <c r="K44" s="8">
        <f>IFERROR(VLOOKUP(B44,Projects!$A:$AK,16,FALSE()),"")</f>
        <v/>
      </c>
      <c r="L44" s="8">
        <f>IFERROR(VLOOKUP(B44,Projects!$A:$AK,17,FALSE()),"")</f>
        <v/>
      </c>
      <c r="M44" s="7" t="inlineStr">
        <is>
          <t>At Risk</t>
        </is>
      </c>
    </row>
    <row r="45" ht="15" customHeight="1" s="5">
      <c r="A45" s="7" t="inlineStr">
        <is>
          <t>BEN044</t>
        </is>
      </c>
      <c r="B45" s="7" t="inlineStr">
        <is>
          <t>PRJ024</t>
        </is>
      </c>
      <c r="C45" s="7">
        <f>IFERROR(VLOOKUP(B45,Projects!$A:$AK,2,FALSE()),"")</f>
        <v/>
      </c>
      <c r="D45" s="7" t="inlineStr">
        <is>
          <t>Regulatory compliance achievement</t>
        </is>
      </c>
      <c r="E45" s="7" t="inlineStr">
        <is>
          <t>Compliance</t>
        </is>
      </c>
      <c r="F45" s="7" t="n">
        <v>304599</v>
      </c>
      <c r="G45" s="7" t="n">
        <v>69753</v>
      </c>
      <c r="H45" s="7">
        <f>F45-G45</f>
        <v/>
      </c>
      <c r="I45" s="7">
        <f>IFERROR(G45/F45,0)</f>
        <v/>
      </c>
      <c r="J45" s="7" t="inlineStr">
        <is>
          <t>Jane Doe</t>
        </is>
      </c>
      <c r="K45" s="8">
        <f>IFERROR(VLOOKUP(B45,Projects!$A:$AK,16,FALSE()),"")</f>
        <v/>
      </c>
      <c r="L45" s="8">
        <f>IFERROR(VLOOKUP(B45,Projects!$A:$AK,17,FALSE()),"")</f>
        <v/>
      </c>
      <c r="M45" s="7" t="inlineStr">
        <is>
          <t>At Risk</t>
        </is>
      </c>
    </row>
    <row r="46" ht="15" customHeight="1" s="5">
      <c r="A46" s="7" t="inlineStr">
        <is>
          <t>BEN045</t>
        </is>
      </c>
      <c r="B46" s="7" t="inlineStr">
        <is>
          <t>PRJ024</t>
        </is>
      </c>
      <c r="C46" s="7">
        <f>IFERROR(VLOOKUP(B46,Projects!$A:$AK,2,FALSE()),"")</f>
        <v/>
      </c>
      <c r="D46" s="7" t="inlineStr">
        <is>
          <t>Revenue growth from new channel</t>
        </is>
      </c>
      <c r="E46" s="7" t="inlineStr">
        <is>
          <t>Revenue Increase</t>
        </is>
      </c>
      <c r="F46" s="7" t="n">
        <v>1883954</v>
      </c>
      <c r="G46" s="7" t="n">
        <v>159312</v>
      </c>
      <c r="H46" s="7">
        <f>F46-G46</f>
        <v/>
      </c>
      <c r="I46" s="7">
        <f>IFERROR(G46/F46,0)</f>
        <v/>
      </c>
      <c r="J46" s="7" t="inlineStr">
        <is>
          <t>Mike Johnson</t>
        </is>
      </c>
      <c r="K46" s="8">
        <f>IFERROR(VLOOKUP(B46,Projects!$A:$AK,16,FALSE()),"")</f>
        <v/>
      </c>
      <c r="L46" s="8">
        <f>IFERROR(VLOOKUP(B46,Projects!$A:$AK,17,FALSE()),"")</f>
        <v/>
      </c>
      <c r="M46" s="7" t="inlineStr">
        <is>
          <t>Planned</t>
        </is>
      </c>
    </row>
    <row r="47" ht="15" customHeight="1" s="5">
      <c r="A47" s="7" t="inlineStr">
        <is>
          <t>BEN046</t>
        </is>
      </c>
      <c r="B47" s="7" t="inlineStr">
        <is>
          <t>PRJ024</t>
        </is>
      </c>
      <c r="C47" s="7">
        <f>IFERROR(VLOOKUP(B47,Projects!$A:$AK,2,FALSE()),"")</f>
        <v/>
      </c>
      <c r="D47" s="7" t="inlineStr">
        <is>
          <t>Risk loss avoidance</t>
        </is>
      </c>
      <c r="E47" s="7" t="inlineStr">
        <is>
          <t>Cost Reduction</t>
        </is>
      </c>
      <c r="F47" s="7" t="n">
        <v>864065</v>
      </c>
      <c r="G47" s="7" t="n">
        <v>191276</v>
      </c>
      <c r="H47" s="7">
        <f>F47-G47</f>
        <v/>
      </c>
      <c r="I47" s="7">
        <f>IFERROR(G47/F47,0)</f>
        <v/>
      </c>
      <c r="J47" s="7" t="inlineStr">
        <is>
          <t>Sarah Lee</t>
        </is>
      </c>
      <c r="K47" s="8">
        <f>IFERROR(VLOOKUP(B47,Projects!$A:$AK,16,FALSE()),"")</f>
        <v/>
      </c>
      <c r="L47" s="8">
        <f>IFERROR(VLOOKUP(B47,Projects!$A:$AK,17,FALSE()),"")</f>
        <v/>
      </c>
      <c r="M47" s="7" t="inlineStr">
        <is>
          <t>Realised</t>
        </is>
      </c>
    </row>
    <row r="48" ht="15" customHeight="1" s="5">
      <c r="A48" s="7" t="inlineStr">
        <is>
          <t>BEN047</t>
        </is>
      </c>
      <c r="B48" s="7" t="inlineStr">
        <is>
          <t>PRJ025</t>
        </is>
      </c>
      <c r="C48" s="7">
        <f>IFERROR(VLOOKUP(B48,Projects!$A:$AK,2,FALSE()),"")</f>
        <v/>
      </c>
      <c r="D48" s="7" t="inlineStr">
        <is>
          <t>Revenue growth from new channel</t>
        </is>
      </c>
      <c r="E48" s="7" t="inlineStr">
        <is>
          <t>Customer Experience</t>
        </is>
      </c>
      <c r="F48" s="7" t="n">
        <v>1285428</v>
      </c>
      <c r="G48" s="7" t="n">
        <v>39536</v>
      </c>
      <c r="H48" s="7">
        <f>F48-G48</f>
        <v/>
      </c>
      <c r="I48" s="7">
        <f>IFERROR(G48/F48,0)</f>
        <v/>
      </c>
      <c r="J48" s="7" t="inlineStr">
        <is>
          <t>Mike Johnson</t>
        </is>
      </c>
      <c r="K48" s="8">
        <f>IFERROR(VLOOKUP(B48,Projects!$A:$AK,16,FALSE()),"")</f>
        <v/>
      </c>
      <c r="L48" s="8">
        <f>IFERROR(VLOOKUP(B48,Projects!$A:$AK,17,FALSE()),"")</f>
        <v/>
      </c>
      <c r="M48" s="7" t="inlineStr">
        <is>
          <t>Planned</t>
        </is>
      </c>
    </row>
    <row r="49" ht="15" customHeight="1" s="5">
      <c r="A49" s="7" t="inlineStr">
        <is>
          <t>BEN048</t>
        </is>
      </c>
      <c r="B49" s="7" t="inlineStr">
        <is>
          <t>PRJ025</t>
        </is>
      </c>
      <c r="C49" s="7">
        <f>IFERROR(VLOOKUP(B49,Projects!$A:$AK,2,FALSE()),"")</f>
        <v/>
      </c>
      <c r="D49" s="7" t="inlineStr">
        <is>
          <t>Regulatory compliance achievement</t>
        </is>
      </c>
      <c r="E49" s="7" t="inlineStr">
        <is>
          <t>Cost Reduction</t>
        </is>
      </c>
      <c r="F49" s="7" t="n">
        <v>1453809</v>
      </c>
      <c r="G49" s="7" t="n">
        <v>805238</v>
      </c>
      <c r="H49" s="7">
        <f>F49-G49</f>
        <v/>
      </c>
      <c r="I49" s="7">
        <f>IFERROR(G49/F49,0)</f>
        <v/>
      </c>
      <c r="J49" s="7" t="inlineStr">
        <is>
          <t>Mike Johnson</t>
        </is>
      </c>
      <c r="K49" s="8">
        <f>IFERROR(VLOOKUP(B49,Projects!$A:$AK,16,FALSE()),"")</f>
        <v/>
      </c>
      <c r="L49" s="8">
        <f>IFERROR(VLOOKUP(B49,Projects!$A:$AK,17,FALSE()),"")</f>
        <v/>
      </c>
      <c r="M49" s="7" t="inlineStr">
        <is>
          <t>Realised</t>
        </is>
      </c>
    </row>
    <row r="50" ht="15" customHeight="1" s="5">
      <c r="A50" s="7" t="inlineStr">
        <is>
          <t>BEN049</t>
        </is>
      </c>
      <c r="B50" s="7" t="inlineStr">
        <is>
          <t>PRJ025</t>
        </is>
      </c>
      <c r="C50" s="7">
        <f>IFERROR(VLOOKUP(B50,Projects!$A:$AK,2,FALSE()),"")</f>
        <v/>
      </c>
      <c r="D50" s="7" t="inlineStr">
        <is>
          <t>Customer NPS uplift</t>
        </is>
      </c>
      <c r="E50" s="7" t="inlineStr">
        <is>
          <t>Compliance</t>
        </is>
      </c>
      <c r="F50" s="7" t="n">
        <v>1964690</v>
      </c>
      <c r="G50" s="7" t="n">
        <v>957631</v>
      </c>
      <c r="H50" s="7">
        <f>F50-G50</f>
        <v/>
      </c>
      <c r="I50" s="7">
        <f>IFERROR(G50/F50,0)</f>
        <v/>
      </c>
      <c r="J50" s="7" t="inlineStr">
        <is>
          <t>Jane Doe</t>
        </is>
      </c>
      <c r="K50" s="8">
        <f>IFERROR(VLOOKUP(B50,Projects!$A:$AK,16,FALSE()),"")</f>
        <v/>
      </c>
      <c r="L50" s="8">
        <f>IFERROR(VLOOKUP(B50,Projects!$A:$AK,17,FALSE()),"")</f>
        <v/>
      </c>
      <c r="M50" s="7" t="inlineStr">
        <is>
          <t>Realised</t>
        </is>
      </c>
    </row>
    <row r="51" ht="15" customHeight="1" s="5">
      <c r="A51" s="7" t="inlineStr">
        <is>
          <t>BEN050</t>
        </is>
      </c>
      <c r="B51" s="7" t="inlineStr">
        <is>
          <t>PRJ026</t>
        </is>
      </c>
      <c r="C51" s="7">
        <f>IFERROR(VLOOKUP(B51,Projects!$A:$AK,2,FALSE()),"")</f>
        <v/>
      </c>
      <c r="D51" s="7" t="inlineStr">
        <is>
          <t>Regulatory compliance achievement</t>
        </is>
      </c>
      <c r="E51" s="7" t="inlineStr">
        <is>
          <t>Risk Reduction</t>
        </is>
      </c>
      <c r="F51" s="7" t="n">
        <v>1016048</v>
      </c>
      <c r="G51" s="7" t="n">
        <v>238338</v>
      </c>
      <c r="H51" s="7">
        <f>F51-G51</f>
        <v/>
      </c>
      <c r="I51" s="7">
        <f>IFERROR(G51/F51,0)</f>
        <v/>
      </c>
      <c r="J51" s="7" t="inlineStr">
        <is>
          <t>Sarah Lee</t>
        </is>
      </c>
      <c r="K51" s="8">
        <f>IFERROR(VLOOKUP(B51,Projects!$A:$AK,16,FALSE()),"")</f>
        <v/>
      </c>
      <c r="L51" s="8">
        <f>IFERROR(VLOOKUP(B51,Projects!$A:$AK,17,FALSE()),"")</f>
        <v/>
      </c>
      <c r="M51" s="7" t="inlineStr">
        <is>
          <t>In Progress</t>
        </is>
      </c>
    </row>
    <row r="52" ht="15" customHeight="1" s="5">
      <c r="A52" s="7" t="inlineStr">
        <is>
          <t>BEN051</t>
        </is>
      </c>
      <c r="B52" s="7" t="inlineStr">
        <is>
          <t>PRJ026</t>
        </is>
      </c>
      <c r="C52" s="7">
        <f>IFERROR(VLOOKUP(B52,Projects!$A:$AK,2,FALSE()),"")</f>
        <v/>
      </c>
      <c r="D52" s="7" t="inlineStr">
        <is>
          <t>Headcount cost avoidance</t>
        </is>
      </c>
      <c r="E52" s="7" t="inlineStr">
        <is>
          <t>Cost Reduction</t>
        </is>
      </c>
      <c r="F52" s="7" t="n">
        <v>1056498</v>
      </c>
      <c r="G52" s="7" t="n">
        <v>521107</v>
      </c>
      <c r="H52" s="7">
        <f>F52-G52</f>
        <v/>
      </c>
      <c r="I52" s="7">
        <f>IFERROR(G52/F52,0)</f>
        <v/>
      </c>
      <c r="J52" s="7" t="inlineStr">
        <is>
          <t>John Smith</t>
        </is>
      </c>
      <c r="K52" s="8">
        <f>IFERROR(VLOOKUP(B52,Projects!$A:$AK,16,FALSE()),"")</f>
        <v/>
      </c>
      <c r="L52" s="8">
        <f>IFERROR(VLOOKUP(B52,Projects!$A:$AK,17,FALSE()),"")</f>
        <v/>
      </c>
      <c r="M52" s="7" t="inlineStr">
        <is>
          <t>Realised</t>
        </is>
      </c>
    </row>
    <row r="53" ht="15" customHeight="1" s="5">
      <c r="A53" s="7" t="inlineStr">
        <is>
          <t>BEN052</t>
        </is>
      </c>
      <c r="B53" s="7" t="inlineStr">
        <is>
          <t>PRJ026</t>
        </is>
      </c>
      <c r="C53" s="7">
        <f>IFERROR(VLOOKUP(B53,Projects!$A:$AK,2,FALSE()),"")</f>
        <v/>
      </c>
      <c r="D53" s="7" t="inlineStr">
        <is>
          <t>Revenue growth from new channel</t>
        </is>
      </c>
      <c r="E53" s="7" t="inlineStr">
        <is>
          <t>Risk Reduction</t>
        </is>
      </c>
      <c r="F53" s="7" t="n">
        <v>549153</v>
      </c>
      <c r="G53" s="7" t="n">
        <v>164718</v>
      </c>
      <c r="H53" s="7">
        <f>F53-G53</f>
        <v/>
      </c>
      <c r="I53" s="7">
        <f>IFERROR(G53/F53,0)</f>
        <v/>
      </c>
      <c r="J53" s="7" t="inlineStr">
        <is>
          <t>John Smith</t>
        </is>
      </c>
      <c r="K53" s="8">
        <f>IFERROR(VLOOKUP(B53,Projects!$A:$AK,16,FALSE()),"")</f>
        <v/>
      </c>
      <c r="L53" s="8">
        <f>IFERROR(VLOOKUP(B53,Projects!$A:$AK,17,FALSE()),"")</f>
        <v/>
      </c>
      <c r="M53" s="7" t="inlineStr">
        <is>
          <t>Realised</t>
        </is>
      </c>
    </row>
    <row r="54" ht="15" customHeight="1" s="5">
      <c r="A54" s="7" t="inlineStr">
        <is>
          <t>BEN053</t>
        </is>
      </c>
      <c r="B54" s="7" t="inlineStr">
        <is>
          <t>PRJ027</t>
        </is>
      </c>
      <c r="C54" s="7">
        <f>IFERROR(VLOOKUP(B54,Projects!$A:$AK,2,FALSE()),"")</f>
        <v/>
      </c>
      <c r="D54" s="7" t="inlineStr">
        <is>
          <t>Revenue growth from new channel</t>
        </is>
      </c>
      <c r="E54" s="7" t="inlineStr">
        <is>
          <t>Compliance</t>
        </is>
      </c>
      <c r="F54" s="7" t="n">
        <v>663568</v>
      </c>
      <c r="G54" s="7" t="n">
        <v>70451</v>
      </c>
      <c r="H54" s="7">
        <f>F54-G54</f>
        <v/>
      </c>
      <c r="I54" s="7">
        <f>IFERROR(G54/F54,0)</f>
        <v/>
      </c>
      <c r="J54" s="7" t="inlineStr">
        <is>
          <t>John Smith</t>
        </is>
      </c>
      <c r="K54" s="8">
        <f>IFERROR(VLOOKUP(B54,Projects!$A:$AK,16,FALSE()),"")</f>
        <v/>
      </c>
      <c r="L54" s="8">
        <f>IFERROR(VLOOKUP(B54,Projects!$A:$AK,17,FALSE()),"")</f>
        <v/>
      </c>
      <c r="M54" s="7" t="inlineStr">
        <is>
          <t>At Risk</t>
        </is>
      </c>
    </row>
    <row r="55" ht="15" customHeight="1" s="5">
      <c r="A55" s="7" t="inlineStr">
        <is>
          <t>BEN054</t>
        </is>
      </c>
      <c r="B55" s="7" t="inlineStr">
        <is>
          <t>PRJ027</t>
        </is>
      </c>
      <c r="C55" s="7">
        <f>IFERROR(VLOOKUP(B55,Projects!$A:$AK,2,FALSE()),"")</f>
        <v/>
      </c>
      <c r="D55" s="7" t="inlineStr">
        <is>
          <t>Process cycle-time reduction</t>
        </is>
      </c>
      <c r="E55" s="7" t="inlineStr">
        <is>
          <t>Productivity Improvement</t>
        </is>
      </c>
      <c r="F55" s="7" t="n">
        <v>1504586</v>
      </c>
      <c r="G55" s="7" t="n">
        <v>346180</v>
      </c>
      <c r="H55" s="7">
        <f>F55-G55</f>
        <v/>
      </c>
      <c r="I55" s="7">
        <f>IFERROR(G55/F55,0)</f>
        <v/>
      </c>
      <c r="J55" s="7" t="inlineStr">
        <is>
          <t>Priya Patel</t>
        </is>
      </c>
      <c r="K55" s="8">
        <f>IFERROR(VLOOKUP(B55,Projects!$A:$AK,16,FALSE()),"")</f>
        <v/>
      </c>
      <c r="L55" s="8">
        <f>IFERROR(VLOOKUP(B55,Projects!$A:$AK,17,FALSE()),"")</f>
        <v/>
      </c>
      <c r="M55" s="7" t="inlineStr">
        <is>
          <t>At Risk</t>
        </is>
      </c>
    </row>
    <row r="56" ht="15" customHeight="1" s="5">
      <c r="A56" s="7" t="inlineStr">
        <is>
          <t>BEN055</t>
        </is>
      </c>
      <c r="B56" s="7" t="inlineStr">
        <is>
          <t>PRJ028</t>
        </is>
      </c>
      <c r="C56" s="7">
        <f>IFERROR(VLOOKUP(B56,Projects!$A:$AK,2,FALSE()),"")</f>
        <v/>
      </c>
      <c r="D56" s="7" t="inlineStr">
        <is>
          <t>Revenue growth from new channel</t>
        </is>
      </c>
      <c r="E56" s="7" t="inlineStr">
        <is>
          <t>Compliance</t>
        </is>
      </c>
      <c r="F56" s="7" t="n">
        <v>1644150</v>
      </c>
      <c r="G56" s="7" t="n">
        <v>863813</v>
      </c>
      <c r="H56" s="7">
        <f>F56-G56</f>
        <v/>
      </c>
      <c r="I56" s="7">
        <f>IFERROR(G56/F56,0)</f>
        <v/>
      </c>
      <c r="J56" s="7" t="inlineStr">
        <is>
          <t>Mike Johnson</t>
        </is>
      </c>
      <c r="K56" s="8">
        <f>IFERROR(VLOOKUP(B56,Projects!$A:$AK,16,FALSE()),"")</f>
        <v/>
      </c>
      <c r="L56" s="8">
        <f>IFERROR(VLOOKUP(B56,Projects!$A:$AK,17,FALSE()),"")</f>
        <v/>
      </c>
      <c r="M56" s="7" t="inlineStr">
        <is>
          <t>In Progress</t>
        </is>
      </c>
    </row>
    <row r="57" ht="15" customHeight="1" s="5">
      <c r="A57" s="7" t="inlineStr">
        <is>
          <t>BEN056</t>
        </is>
      </c>
      <c r="B57" s="7" t="inlineStr">
        <is>
          <t>PRJ028</t>
        </is>
      </c>
      <c r="C57" s="7">
        <f>IFERROR(VLOOKUP(B57,Projects!$A:$AK,2,FALSE()),"")</f>
        <v/>
      </c>
      <c r="D57" s="7" t="inlineStr">
        <is>
          <t>Customer NPS uplift</t>
        </is>
      </c>
      <c r="E57" s="7" t="inlineStr">
        <is>
          <t>Cost Reduction</t>
        </is>
      </c>
      <c r="F57" s="7" t="n">
        <v>1124692</v>
      </c>
      <c r="G57" s="7" t="n">
        <v>713777</v>
      </c>
      <c r="H57" s="7">
        <f>F57-G57</f>
        <v/>
      </c>
      <c r="I57" s="7">
        <f>IFERROR(G57/F57,0)</f>
        <v/>
      </c>
      <c r="J57" s="7" t="inlineStr">
        <is>
          <t>Carlos Diaz</t>
        </is>
      </c>
      <c r="K57" s="8">
        <f>IFERROR(VLOOKUP(B57,Projects!$A:$AK,16,FALSE()),"")</f>
        <v/>
      </c>
      <c r="L57" s="8">
        <f>IFERROR(VLOOKUP(B57,Projects!$A:$AK,17,FALSE()),"")</f>
        <v/>
      </c>
      <c r="M57" s="7" t="inlineStr">
        <is>
          <t>In Progress</t>
        </is>
      </c>
    </row>
    <row r="58" ht="15" customHeight="1" s="5">
      <c r="A58" s="7" t="inlineStr">
        <is>
          <t>BEN057</t>
        </is>
      </c>
      <c r="B58" s="7" t="inlineStr">
        <is>
          <t>PRJ028</t>
        </is>
      </c>
      <c r="C58" s="7">
        <f>IFERROR(VLOOKUP(B58,Projects!$A:$AK,2,FALSE()),"")</f>
        <v/>
      </c>
      <c r="D58" s="7" t="inlineStr">
        <is>
          <t>Process cycle-time reduction</t>
        </is>
      </c>
      <c r="E58" s="7" t="inlineStr">
        <is>
          <t>Cost Reduction</t>
        </is>
      </c>
      <c r="F58" s="7" t="n">
        <v>1255320</v>
      </c>
      <c r="G58" s="7" t="n">
        <v>335221</v>
      </c>
      <c r="H58" s="7">
        <f>F58-G58</f>
        <v/>
      </c>
      <c r="I58" s="7">
        <f>IFERROR(G58/F58,0)</f>
        <v/>
      </c>
      <c r="J58" s="7" t="inlineStr">
        <is>
          <t>Sarah Lee</t>
        </is>
      </c>
      <c r="K58" s="8">
        <f>IFERROR(VLOOKUP(B58,Projects!$A:$AK,16,FALSE()),"")</f>
        <v/>
      </c>
      <c r="L58" s="8">
        <f>IFERROR(VLOOKUP(B58,Projects!$A:$AK,17,FALSE()),"")</f>
        <v/>
      </c>
      <c r="M58" s="7" t="inlineStr">
        <is>
          <t>Planned</t>
        </is>
      </c>
    </row>
    <row r="59" ht="15" customHeight="1" s="5">
      <c r="A59" s="7" t="inlineStr">
        <is>
          <t>BEN058</t>
        </is>
      </c>
      <c r="B59" s="7" t="inlineStr">
        <is>
          <t>PRJ029</t>
        </is>
      </c>
      <c r="C59" s="7">
        <f>IFERROR(VLOOKUP(B59,Projects!$A:$AK,2,FALSE()),"")</f>
        <v/>
      </c>
      <c r="D59" s="7" t="inlineStr">
        <is>
          <t>Customer NPS uplift</t>
        </is>
      </c>
      <c r="E59" s="7" t="inlineStr">
        <is>
          <t>Cost Reduction</t>
        </is>
      </c>
      <c r="F59" s="7" t="n">
        <v>232971</v>
      </c>
      <c r="G59" s="7" t="n">
        <v>31387</v>
      </c>
      <c r="H59" s="7">
        <f>F59-G59</f>
        <v/>
      </c>
      <c r="I59" s="7">
        <f>IFERROR(G59/F59,0)</f>
        <v/>
      </c>
      <c r="J59" s="7" t="inlineStr">
        <is>
          <t>Jane Doe</t>
        </is>
      </c>
      <c r="K59" s="8">
        <f>IFERROR(VLOOKUP(B59,Projects!$A:$AK,16,FALSE()),"")</f>
        <v/>
      </c>
      <c r="L59" s="8">
        <f>IFERROR(VLOOKUP(B59,Projects!$A:$AK,17,FALSE()),"")</f>
        <v/>
      </c>
      <c r="M59" s="7" t="inlineStr">
        <is>
          <t>In Progress</t>
        </is>
      </c>
    </row>
    <row r="60" ht="15" customHeight="1" s="5">
      <c r="A60" s="7" t="inlineStr">
        <is>
          <t>BEN059</t>
        </is>
      </c>
      <c r="B60" s="7" t="inlineStr">
        <is>
          <t>PRJ029</t>
        </is>
      </c>
      <c r="C60" s="7">
        <f>IFERROR(VLOOKUP(B60,Projects!$A:$AK,2,FALSE()),"")</f>
        <v/>
      </c>
      <c r="D60" s="7" t="inlineStr">
        <is>
          <t>Revenue growth from new channel</t>
        </is>
      </c>
      <c r="E60" s="7" t="inlineStr">
        <is>
          <t>Cost Reduction</t>
        </is>
      </c>
      <c r="F60" s="7" t="n">
        <v>1225998</v>
      </c>
      <c r="G60" s="7" t="n">
        <v>713353</v>
      </c>
      <c r="H60" s="7">
        <f>F60-G60</f>
        <v/>
      </c>
      <c r="I60" s="7">
        <f>IFERROR(G60/F60,0)</f>
        <v/>
      </c>
      <c r="J60" s="7" t="inlineStr">
        <is>
          <t>Alex Brown</t>
        </is>
      </c>
      <c r="K60" s="8">
        <f>IFERROR(VLOOKUP(B60,Projects!$A:$AK,16,FALSE()),"")</f>
        <v/>
      </c>
      <c r="L60" s="8">
        <f>IFERROR(VLOOKUP(B60,Projects!$A:$AK,17,FALSE()),"")</f>
        <v/>
      </c>
      <c r="M60" s="7" t="inlineStr">
        <is>
          <t>At Risk</t>
        </is>
      </c>
    </row>
    <row r="61" ht="15" customHeight="1" s="5">
      <c r="A61" s="7" t="inlineStr">
        <is>
          <t>BEN060</t>
        </is>
      </c>
      <c r="B61" s="7" t="inlineStr">
        <is>
          <t>PRJ030</t>
        </is>
      </c>
      <c r="C61" s="7">
        <f>IFERROR(VLOOKUP(B61,Projects!$A:$AK,2,FALSE()),"")</f>
        <v/>
      </c>
      <c r="D61" s="7" t="inlineStr">
        <is>
          <t>Risk loss avoidance</t>
        </is>
      </c>
      <c r="E61" s="7" t="inlineStr">
        <is>
          <t>Cost Reduction</t>
        </is>
      </c>
      <c r="F61" s="7" t="n">
        <v>411902</v>
      </c>
      <c r="G61" s="7" t="n">
        <v>56956</v>
      </c>
      <c r="H61" s="7">
        <f>F61-G61</f>
        <v/>
      </c>
      <c r="I61" s="7">
        <f>IFERROR(G61/F61,0)</f>
        <v/>
      </c>
      <c r="J61" s="7" t="inlineStr">
        <is>
          <t>Alex Brown</t>
        </is>
      </c>
      <c r="K61" s="8">
        <f>IFERROR(VLOOKUP(B61,Projects!$A:$AK,16,FALSE()),"")</f>
        <v/>
      </c>
      <c r="L61" s="8">
        <f>IFERROR(VLOOKUP(B61,Projects!$A:$AK,17,FALSE()),"")</f>
        <v/>
      </c>
      <c r="M61" s="7" t="inlineStr">
        <is>
          <t>Realised</t>
        </is>
      </c>
    </row>
    <row r="62" ht="15" customHeight="1" s="5">
      <c r="A62" s="7" t="inlineStr">
        <is>
          <t>BEN061</t>
        </is>
      </c>
      <c r="B62" s="7" t="inlineStr">
        <is>
          <t>PRJ030</t>
        </is>
      </c>
      <c r="C62" s="7">
        <f>IFERROR(VLOOKUP(B62,Projects!$A:$AK,2,FALSE()),"")</f>
        <v/>
      </c>
      <c r="D62" s="7" t="inlineStr">
        <is>
          <t>Revenue growth from new channel</t>
        </is>
      </c>
      <c r="E62" s="7" t="inlineStr">
        <is>
          <t>Productivity Improvement</t>
        </is>
      </c>
      <c r="F62" s="7" t="n">
        <v>1195201</v>
      </c>
      <c r="G62" s="7" t="n">
        <v>809639</v>
      </c>
      <c r="H62" s="7">
        <f>F62-G62</f>
        <v/>
      </c>
      <c r="I62" s="7">
        <f>IFERROR(G62/F62,0)</f>
        <v/>
      </c>
      <c r="J62" s="7" t="inlineStr">
        <is>
          <t>Carlos Diaz</t>
        </is>
      </c>
      <c r="K62" s="8">
        <f>IFERROR(VLOOKUP(B62,Projects!$A:$AK,16,FALSE()),"")</f>
        <v/>
      </c>
      <c r="L62" s="8">
        <f>IFERROR(VLOOKUP(B62,Projects!$A:$AK,17,FALSE()),"")</f>
        <v/>
      </c>
      <c r="M62" s="7" t="inlineStr">
        <is>
          <t>Realised</t>
        </is>
      </c>
    </row>
    <row r="63" ht="15" customHeight="1" s="5">
      <c r="A63" s="7" t="inlineStr">
        <is>
          <t>BEN062</t>
        </is>
      </c>
      <c r="B63" s="7" t="inlineStr">
        <is>
          <t>PRJ031</t>
        </is>
      </c>
      <c r="C63" s="7">
        <f>IFERROR(VLOOKUP(B63,Projects!$A:$AK,2,FALSE()),"")</f>
        <v/>
      </c>
      <c r="D63" s="7" t="inlineStr">
        <is>
          <t>Risk loss avoidance</t>
        </is>
      </c>
      <c r="E63" s="7" t="inlineStr">
        <is>
          <t>Risk Reduction</t>
        </is>
      </c>
      <c r="F63" s="7" t="n">
        <v>817663</v>
      </c>
      <c r="G63" s="7" t="n">
        <v>269419</v>
      </c>
      <c r="H63" s="7">
        <f>F63-G63</f>
        <v/>
      </c>
      <c r="I63" s="7">
        <f>IFERROR(G63/F63,0)</f>
        <v/>
      </c>
      <c r="J63" s="7" t="inlineStr">
        <is>
          <t>Alex Brown</t>
        </is>
      </c>
      <c r="K63" s="8">
        <f>IFERROR(VLOOKUP(B63,Projects!$A:$AK,16,FALSE()),"")</f>
        <v/>
      </c>
      <c r="L63" s="8">
        <f>IFERROR(VLOOKUP(B63,Projects!$A:$AK,17,FALSE()),"")</f>
        <v/>
      </c>
      <c r="M63" s="7" t="inlineStr">
        <is>
          <t>At Risk</t>
        </is>
      </c>
    </row>
    <row r="64" ht="15" customHeight="1" s="5">
      <c r="A64" s="7" t="inlineStr">
        <is>
          <t>BEN063</t>
        </is>
      </c>
      <c r="B64" s="7" t="inlineStr">
        <is>
          <t>PRJ031</t>
        </is>
      </c>
      <c r="C64" s="7">
        <f>IFERROR(VLOOKUP(B64,Projects!$A:$AK,2,FALSE()),"")</f>
        <v/>
      </c>
      <c r="D64" s="7" t="inlineStr">
        <is>
          <t>Headcount cost avoidance</t>
        </is>
      </c>
      <c r="E64" s="7" t="inlineStr">
        <is>
          <t>Productivity Improvement</t>
        </is>
      </c>
      <c r="F64" s="7" t="n">
        <v>137641</v>
      </c>
      <c r="G64" s="7" t="n">
        <v>36749</v>
      </c>
      <c r="H64" s="7">
        <f>F64-G64</f>
        <v/>
      </c>
      <c r="I64" s="7">
        <f>IFERROR(G64/F64,0)</f>
        <v/>
      </c>
      <c r="J64" s="7" t="inlineStr">
        <is>
          <t>Alex Brown</t>
        </is>
      </c>
      <c r="K64" s="8">
        <f>IFERROR(VLOOKUP(B64,Projects!$A:$AK,16,FALSE()),"")</f>
        <v/>
      </c>
      <c r="L64" s="8">
        <f>IFERROR(VLOOKUP(B64,Projects!$A:$AK,17,FALSE()),"")</f>
        <v/>
      </c>
      <c r="M64" s="7" t="inlineStr">
        <is>
          <t>In Progress</t>
        </is>
      </c>
    </row>
    <row r="65" ht="15" customHeight="1" s="5">
      <c r="A65" s="7" t="inlineStr">
        <is>
          <t>BEN064</t>
        </is>
      </c>
      <c r="B65" s="7" t="inlineStr">
        <is>
          <t>PRJ032</t>
        </is>
      </c>
      <c r="C65" s="7">
        <f>IFERROR(VLOOKUP(B65,Projects!$A:$AK,2,FALSE()),"")</f>
        <v/>
      </c>
      <c r="D65" s="7" t="inlineStr">
        <is>
          <t>Process cycle-time reduction</t>
        </is>
      </c>
      <c r="E65" s="7" t="inlineStr">
        <is>
          <t>Customer Experience</t>
        </is>
      </c>
      <c r="F65" s="7" t="n">
        <v>822855</v>
      </c>
      <c r="G65" s="7" t="n">
        <v>176168</v>
      </c>
      <c r="H65" s="7">
        <f>F65-G65</f>
        <v/>
      </c>
      <c r="I65" s="7">
        <f>IFERROR(G65/F65,0)</f>
        <v/>
      </c>
      <c r="J65" s="7" t="inlineStr">
        <is>
          <t>Alex Brown</t>
        </is>
      </c>
      <c r="K65" s="8">
        <f>IFERROR(VLOOKUP(B65,Projects!$A:$AK,16,FALSE()),"")</f>
        <v/>
      </c>
      <c r="L65" s="8">
        <f>IFERROR(VLOOKUP(B65,Projects!$A:$AK,17,FALSE()),"")</f>
        <v/>
      </c>
      <c r="M65" s="7" t="inlineStr">
        <is>
          <t>Planned</t>
        </is>
      </c>
    </row>
    <row r="66" ht="15" customHeight="1" s="5">
      <c r="A66" s="7" t="inlineStr">
        <is>
          <t>BEN065</t>
        </is>
      </c>
      <c r="B66" s="7" t="inlineStr">
        <is>
          <t>PRJ032</t>
        </is>
      </c>
      <c r="C66" s="7">
        <f>IFERROR(VLOOKUP(B66,Projects!$A:$AK,2,FALSE()),"")</f>
        <v/>
      </c>
      <c r="D66" s="7" t="inlineStr">
        <is>
          <t>Revenue growth from new channel</t>
        </is>
      </c>
      <c r="E66" s="7" t="inlineStr">
        <is>
          <t>Cost Reduction</t>
        </is>
      </c>
      <c r="F66" s="7" t="n">
        <v>733145</v>
      </c>
      <c r="G66" s="7" t="n">
        <v>366869</v>
      </c>
      <c r="H66" s="7">
        <f>F66-G66</f>
        <v/>
      </c>
      <c r="I66" s="7">
        <f>IFERROR(G66/F66,0)</f>
        <v/>
      </c>
      <c r="J66" s="7" t="inlineStr">
        <is>
          <t>Jane Doe</t>
        </is>
      </c>
      <c r="K66" s="8">
        <f>IFERROR(VLOOKUP(B66,Projects!$A:$AK,16,FALSE()),"")</f>
        <v/>
      </c>
      <c r="L66" s="8">
        <f>IFERROR(VLOOKUP(B66,Projects!$A:$AK,17,FALSE()),"")</f>
        <v/>
      </c>
      <c r="M66" s="7" t="inlineStr">
        <is>
          <t>Realised</t>
        </is>
      </c>
    </row>
    <row r="67" ht="15" customHeight="1" s="5">
      <c r="A67" s="7" t="inlineStr">
        <is>
          <t>BEN066</t>
        </is>
      </c>
      <c r="B67" s="7" t="inlineStr">
        <is>
          <t>PRJ033</t>
        </is>
      </c>
      <c r="C67" s="7">
        <f>IFERROR(VLOOKUP(B67,Projects!$A:$AK,2,FALSE()),"")</f>
        <v/>
      </c>
      <c r="D67" s="7" t="inlineStr">
        <is>
          <t>Risk loss avoidance</t>
        </is>
      </c>
      <c r="E67" s="7" t="inlineStr">
        <is>
          <t>Compliance</t>
        </is>
      </c>
      <c r="F67" s="7" t="n">
        <v>868655</v>
      </c>
      <c r="G67" s="7" t="n">
        <v>252843</v>
      </c>
      <c r="H67" s="7">
        <f>F67-G67</f>
        <v/>
      </c>
      <c r="I67" s="7">
        <f>IFERROR(G67/F67,0)</f>
        <v/>
      </c>
      <c r="J67" s="7" t="inlineStr">
        <is>
          <t>Mike Johnson</t>
        </is>
      </c>
      <c r="K67" s="8">
        <f>IFERROR(VLOOKUP(B67,Projects!$A:$AK,16,FALSE()),"")</f>
        <v/>
      </c>
      <c r="L67" s="8">
        <f>IFERROR(VLOOKUP(B67,Projects!$A:$AK,17,FALSE()),"")</f>
        <v/>
      </c>
      <c r="M67" s="7" t="inlineStr">
        <is>
          <t>Realised</t>
        </is>
      </c>
    </row>
    <row r="68" ht="15" customHeight="1" s="5">
      <c r="A68" s="7" t="inlineStr">
        <is>
          <t>BEN067</t>
        </is>
      </c>
      <c r="B68" s="7" t="inlineStr">
        <is>
          <t>PRJ033</t>
        </is>
      </c>
      <c r="C68" s="7">
        <f>IFERROR(VLOOKUP(B68,Projects!$A:$AK,2,FALSE()),"")</f>
        <v/>
      </c>
      <c r="D68" s="7" t="inlineStr">
        <is>
          <t>Risk loss avoidance</t>
        </is>
      </c>
      <c r="E68" s="7" t="inlineStr">
        <is>
          <t>Revenue Increase</t>
        </is>
      </c>
      <c r="F68" s="7" t="n">
        <v>1317993</v>
      </c>
      <c r="G68" s="7" t="n">
        <v>542771</v>
      </c>
      <c r="H68" s="7">
        <f>F68-G68</f>
        <v/>
      </c>
      <c r="I68" s="7">
        <f>IFERROR(G68/F68,0)</f>
        <v/>
      </c>
      <c r="J68" s="7" t="inlineStr">
        <is>
          <t>John Smith</t>
        </is>
      </c>
      <c r="K68" s="8">
        <f>IFERROR(VLOOKUP(B68,Projects!$A:$AK,16,FALSE()),"")</f>
        <v/>
      </c>
      <c r="L68" s="8">
        <f>IFERROR(VLOOKUP(B68,Projects!$A:$AK,17,FALSE()),"")</f>
        <v/>
      </c>
      <c r="M68" s="7" t="inlineStr">
        <is>
          <t>In Progress</t>
        </is>
      </c>
    </row>
    <row r="69" ht="15" customHeight="1" s="5">
      <c r="A69" s="7" t="inlineStr">
        <is>
          <t>BEN068</t>
        </is>
      </c>
      <c r="B69" s="7" t="inlineStr">
        <is>
          <t>PRJ034</t>
        </is>
      </c>
      <c r="C69" s="7">
        <f>IFERROR(VLOOKUP(B69,Projects!$A:$AK,2,FALSE()),"")</f>
        <v/>
      </c>
      <c r="D69" s="7" t="inlineStr">
        <is>
          <t>Customer NPS uplift</t>
        </is>
      </c>
      <c r="E69" s="7" t="inlineStr">
        <is>
          <t>Productivity Improvement</t>
        </is>
      </c>
      <c r="F69" s="7" t="n">
        <v>1549607</v>
      </c>
      <c r="G69" s="7" t="n">
        <v>1038187</v>
      </c>
      <c r="H69" s="7">
        <f>F69-G69</f>
        <v/>
      </c>
      <c r="I69" s="7">
        <f>IFERROR(G69/F69,0)</f>
        <v/>
      </c>
      <c r="J69" s="7" t="inlineStr">
        <is>
          <t>Alex Brown</t>
        </is>
      </c>
      <c r="K69" s="8">
        <f>IFERROR(VLOOKUP(B69,Projects!$A:$AK,16,FALSE()),"")</f>
        <v/>
      </c>
      <c r="L69" s="8">
        <f>IFERROR(VLOOKUP(B69,Projects!$A:$AK,17,FALSE()),"")</f>
        <v/>
      </c>
      <c r="M69" s="7" t="inlineStr">
        <is>
          <t>Realised</t>
        </is>
      </c>
    </row>
    <row r="70" ht="15" customHeight="1" s="5">
      <c r="A70" s="7" t="inlineStr">
        <is>
          <t>BEN069</t>
        </is>
      </c>
      <c r="B70" s="7" t="inlineStr">
        <is>
          <t>PRJ035</t>
        </is>
      </c>
      <c r="C70" s="7">
        <f>IFERROR(VLOOKUP(B70,Projects!$A:$AK,2,FALSE()),"")</f>
        <v/>
      </c>
      <c r="D70" s="7" t="inlineStr">
        <is>
          <t>Risk loss avoidance</t>
        </is>
      </c>
      <c r="E70" s="7" t="inlineStr">
        <is>
          <t>Compliance</t>
        </is>
      </c>
      <c r="F70" s="7" t="n">
        <v>209639</v>
      </c>
      <c r="G70" s="7" t="n">
        <v>56547</v>
      </c>
      <c r="H70" s="7">
        <f>F70-G70</f>
        <v/>
      </c>
      <c r="I70" s="7">
        <f>IFERROR(G70/F70,0)</f>
        <v/>
      </c>
      <c r="J70" s="7" t="inlineStr">
        <is>
          <t>Jane Doe</t>
        </is>
      </c>
      <c r="K70" s="8">
        <f>IFERROR(VLOOKUP(B70,Projects!$A:$AK,16,FALSE()),"")</f>
        <v/>
      </c>
      <c r="L70" s="8">
        <f>IFERROR(VLOOKUP(B70,Projects!$A:$AK,17,FALSE()),"")</f>
        <v/>
      </c>
      <c r="M70" s="7" t="inlineStr">
        <is>
          <t>Planned</t>
        </is>
      </c>
    </row>
    <row r="71" ht="15" customHeight="1" s="5">
      <c r="A71" s="7" t="inlineStr">
        <is>
          <t>BEN070</t>
        </is>
      </c>
      <c r="B71" s="7" t="inlineStr">
        <is>
          <t>PRJ035</t>
        </is>
      </c>
      <c r="C71" s="7">
        <f>IFERROR(VLOOKUP(B71,Projects!$A:$AK,2,FALSE()),"")</f>
        <v/>
      </c>
      <c r="D71" s="7" t="inlineStr">
        <is>
          <t>Customer NPS uplift</t>
        </is>
      </c>
      <c r="E71" s="7" t="inlineStr">
        <is>
          <t>Compliance</t>
        </is>
      </c>
      <c r="F71" s="7" t="n">
        <v>1850790</v>
      </c>
      <c r="G71" s="7" t="n">
        <v>468231</v>
      </c>
      <c r="H71" s="7">
        <f>F71-G71</f>
        <v/>
      </c>
      <c r="I71" s="7">
        <f>IFERROR(G71/F71,0)</f>
        <v/>
      </c>
      <c r="J71" s="7" t="inlineStr">
        <is>
          <t>John Smith</t>
        </is>
      </c>
      <c r="K71" s="8">
        <f>IFERROR(VLOOKUP(B71,Projects!$A:$AK,16,FALSE()),"")</f>
        <v/>
      </c>
      <c r="L71" s="8">
        <f>IFERROR(VLOOKUP(B71,Projects!$A:$AK,17,FALSE()),"")</f>
        <v/>
      </c>
      <c r="M71" s="7" t="inlineStr">
        <is>
          <t>In Progress</t>
        </is>
      </c>
    </row>
    <row r="72" ht="15" customHeight="1" s="5">
      <c r="A72" s="7" t="inlineStr">
        <is>
          <t>BEN071</t>
        </is>
      </c>
      <c r="B72" s="7" t="inlineStr">
        <is>
          <t>PRJ035</t>
        </is>
      </c>
      <c r="C72" s="7">
        <f>IFERROR(VLOOKUP(B72,Projects!$A:$AK,2,FALSE()),"")</f>
        <v/>
      </c>
      <c r="D72" s="7" t="inlineStr">
        <is>
          <t>Customer NPS uplift</t>
        </is>
      </c>
      <c r="E72" s="7" t="inlineStr">
        <is>
          <t>Cost Reduction</t>
        </is>
      </c>
      <c r="F72" s="7" t="n">
        <v>596528</v>
      </c>
      <c r="G72" s="7" t="n">
        <v>190191</v>
      </c>
      <c r="H72" s="7">
        <f>F72-G72</f>
        <v/>
      </c>
      <c r="I72" s="7">
        <f>IFERROR(G72/F72,0)</f>
        <v/>
      </c>
      <c r="J72" s="7" t="inlineStr">
        <is>
          <t>Mike Johnson</t>
        </is>
      </c>
      <c r="K72" s="8">
        <f>IFERROR(VLOOKUP(B72,Projects!$A:$AK,16,FALSE()),"")</f>
        <v/>
      </c>
      <c r="L72" s="8">
        <f>IFERROR(VLOOKUP(B72,Projects!$A:$AK,17,FALSE()),"")</f>
        <v/>
      </c>
      <c r="M72" s="7" t="inlineStr">
        <is>
          <t>In Progress</t>
        </is>
      </c>
    </row>
    <row r="73" ht="15" customHeight="1" s="5">
      <c r="A73" s="7" t="inlineStr">
        <is>
          <t>BEN072</t>
        </is>
      </c>
      <c r="B73" s="7" t="inlineStr">
        <is>
          <t>PRJ036</t>
        </is>
      </c>
      <c r="C73" s="7">
        <f>IFERROR(VLOOKUP(B73,Projects!$A:$AK,2,FALSE()),"")</f>
        <v/>
      </c>
      <c r="D73" s="7" t="inlineStr">
        <is>
          <t>Customer NPS uplift</t>
        </is>
      </c>
      <c r="E73" s="7" t="inlineStr">
        <is>
          <t>Customer Experience</t>
        </is>
      </c>
      <c r="F73" s="7" t="n">
        <v>321788</v>
      </c>
      <c r="G73" s="7" t="n">
        <v>20792</v>
      </c>
      <c r="H73" s="7">
        <f>F73-G73</f>
        <v/>
      </c>
      <c r="I73" s="7">
        <f>IFERROR(G73/F73,0)</f>
        <v/>
      </c>
      <c r="J73" s="7" t="inlineStr">
        <is>
          <t>Sarah Lee</t>
        </is>
      </c>
      <c r="K73" s="8">
        <f>IFERROR(VLOOKUP(B73,Projects!$A:$AK,16,FALSE()),"")</f>
        <v/>
      </c>
      <c r="L73" s="8">
        <f>IFERROR(VLOOKUP(B73,Projects!$A:$AK,17,FALSE()),"")</f>
        <v/>
      </c>
      <c r="M73" s="7" t="inlineStr">
        <is>
          <t>Planned</t>
        </is>
      </c>
    </row>
    <row r="74" ht="15" customHeight="1" s="5">
      <c r="A74" s="7" t="inlineStr">
        <is>
          <t>BEN073</t>
        </is>
      </c>
      <c r="B74" s="7" t="inlineStr">
        <is>
          <t>PRJ037</t>
        </is>
      </c>
      <c r="C74" s="7">
        <f>IFERROR(VLOOKUP(B74,Projects!$A:$AK,2,FALSE()),"")</f>
        <v/>
      </c>
      <c r="D74" s="7" t="inlineStr">
        <is>
          <t>Revenue growth from new channel</t>
        </is>
      </c>
      <c r="E74" s="7" t="inlineStr">
        <is>
          <t>Customer Experience</t>
        </is>
      </c>
      <c r="F74" s="7" t="n">
        <v>1828903</v>
      </c>
      <c r="G74" s="7" t="n">
        <v>1121491</v>
      </c>
      <c r="H74" s="7">
        <f>F74-G74</f>
        <v/>
      </c>
      <c r="I74" s="7">
        <f>IFERROR(G74/F74,0)</f>
        <v/>
      </c>
      <c r="J74" s="7" t="inlineStr">
        <is>
          <t>Mike Johnson</t>
        </is>
      </c>
      <c r="K74" s="8">
        <f>IFERROR(VLOOKUP(B74,Projects!$A:$AK,16,FALSE()),"")</f>
        <v/>
      </c>
      <c r="L74" s="8">
        <f>IFERROR(VLOOKUP(B74,Projects!$A:$AK,17,FALSE()),"")</f>
        <v/>
      </c>
      <c r="M74" s="7" t="inlineStr">
        <is>
          <t>At Risk</t>
        </is>
      </c>
    </row>
    <row r="75" ht="15" customHeight="1" s="5">
      <c r="A75" s="7" t="inlineStr">
        <is>
          <t>BEN074</t>
        </is>
      </c>
      <c r="B75" s="7" t="inlineStr">
        <is>
          <t>PRJ037</t>
        </is>
      </c>
      <c r="C75" s="7">
        <f>IFERROR(VLOOKUP(B75,Projects!$A:$AK,2,FALSE()),"")</f>
        <v/>
      </c>
      <c r="D75" s="7" t="inlineStr">
        <is>
          <t>Customer NPS uplift</t>
        </is>
      </c>
      <c r="E75" s="7" t="inlineStr">
        <is>
          <t>Revenue Increase</t>
        </is>
      </c>
      <c r="F75" s="7" t="n">
        <v>1213552</v>
      </c>
      <c r="G75" s="7" t="n">
        <v>623466</v>
      </c>
      <c r="H75" s="7">
        <f>F75-G75</f>
        <v/>
      </c>
      <c r="I75" s="7">
        <f>IFERROR(G75/F75,0)</f>
        <v/>
      </c>
      <c r="J75" s="7" t="inlineStr">
        <is>
          <t>John Smith</t>
        </is>
      </c>
      <c r="K75" s="8">
        <f>IFERROR(VLOOKUP(B75,Projects!$A:$AK,16,FALSE()),"")</f>
        <v/>
      </c>
      <c r="L75" s="8">
        <f>IFERROR(VLOOKUP(B75,Projects!$A:$AK,17,FALSE()),"")</f>
        <v/>
      </c>
      <c r="M75" s="7" t="inlineStr">
        <is>
          <t>Realised</t>
        </is>
      </c>
    </row>
    <row r="76" ht="15" customHeight="1" s="5">
      <c r="A76" s="7" t="inlineStr">
        <is>
          <t>BEN075</t>
        </is>
      </c>
      <c r="B76" s="7" t="inlineStr">
        <is>
          <t>PRJ037</t>
        </is>
      </c>
      <c r="C76" s="7">
        <f>IFERROR(VLOOKUP(B76,Projects!$A:$AK,2,FALSE()),"")</f>
        <v/>
      </c>
      <c r="D76" s="7" t="inlineStr">
        <is>
          <t>Revenue growth from new channel</t>
        </is>
      </c>
      <c r="E76" s="7" t="inlineStr">
        <is>
          <t>Compliance</t>
        </is>
      </c>
      <c r="F76" s="7" t="n">
        <v>1647033</v>
      </c>
      <c r="G76" s="7" t="n">
        <v>310161</v>
      </c>
      <c r="H76" s="7">
        <f>F76-G76</f>
        <v/>
      </c>
      <c r="I76" s="7">
        <f>IFERROR(G76/F76,0)</f>
        <v/>
      </c>
      <c r="J76" s="7" t="inlineStr">
        <is>
          <t>Sarah Lee</t>
        </is>
      </c>
      <c r="K76" s="8">
        <f>IFERROR(VLOOKUP(B76,Projects!$A:$AK,16,FALSE()),"")</f>
        <v/>
      </c>
      <c r="L76" s="8">
        <f>IFERROR(VLOOKUP(B76,Projects!$A:$AK,17,FALSE()),"")</f>
        <v/>
      </c>
      <c r="M76" s="7" t="inlineStr">
        <is>
          <t>Planned</t>
        </is>
      </c>
    </row>
    <row r="77" ht="15" customHeight="1" s="5">
      <c r="A77" s="7" t="inlineStr">
        <is>
          <t>BEN076</t>
        </is>
      </c>
      <c r="B77" s="7" t="inlineStr">
        <is>
          <t>PRJ038</t>
        </is>
      </c>
      <c r="C77" s="7">
        <f>IFERROR(VLOOKUP(B77,Projects!$A:$AK,2,FALSE()),"")</f>
        <v/>
      </c>
      <c r="D77" s="7" t="inlineStr">
        <is>
          <t>Headcount cost avoidance</t>
        </is>
      </c>
      <c r="E77" s="7" t="inlineStr">
        <is>
          <t>Compliance</t>
        </is>
      </c>
      <c r="F77" s="7" t="n">
        <v>1651140</v>
      </c>
      <c r="G77" s="7" t="n">
        <v>1825</v>
      </c>
      <c r="H77" s="7">
        <f>F77-G77</f>
        <v/>
      </c>
      <c r="I77" s="7">
        <f>IFERROR(G77/F77,0)</f>
        <v/>
      </c>
      <c r="J77" s="7" t="inlineStr">
        <is>
          <t>Sarah Lee</t>
        </is>
      </c>
      <c r="K77" s="8">
        <f>IFERROR(VLOOKUP(B77,Projects!$A:$AK,16,FALSE()),"")</f>
        <v/>
      </c>
      <c r="L77" s="8">
        <f>IFERROR(VLOOKUP(B77,Projects!$A:$AK,17,FALSE()),"")</f>
        <v/>
      </c>
      <c r="M77" s="7" t="inlineStr">
        <is>
          <t>Realised</t>
        </is>
      </c>
    </row>
    <row r="78" ht="15" customHeight="1" s="5">
      <c r="A78" s="7" t="inlineStr">
        <is>
          <t>BEN077</t>
        </is>
      </c>
      <c r="B78" s="7" t="inlineStr">
        <is>
          <t>PRJ039</t>
        </is>
      </c>
      <c r="C78" s="7">
        <f>IFERROR(VLOOKUP(B78,Projects!$A:$AK,2,FALSE()),"")</f>
        <v/>
      </c>
      <c r="D78" s="7" t="inlineStr">
        <is>
          <t>Revenue growth from new channel</t>
        </is>
      </c>
      <c r="E78" s="7" t="inlineStr">
        <is>
          <t>Compliance</t>
        </is>
      </c>
      <c r="F78" s="7" t="n">
        <v>918804</v>
      </c>
      <c r="G78" s="7" t="n">
        <v>113455</v>
      </c>
      <c r="H78" s="7">
        <f>F78-G78</f>
        <v/>
      </c>
      <c r="I78" s="7">
        <f>IFERROR(G78/F78,0)</f>
        <v/>
      </c>
      <c r="J78" s="7" t="inlineStr">
        <is>
          <t>Jane Doe</t>
        </is>
      </c>
      <c r="K78" s="8">
        <f>IFERROR(VLOOKUP(B78,Projects!$A:$AK,16,FALSE()),"")</f>
        <v/>
      </c>
      <c r="L78" s="8">
        <f>IFERROR(VLOOKUP(B78,Projects!$A:$AK,17,FALSE()),"")</f>
        <v/>
      </c>
      <c r="M78" s="7" t="inlineStr">
        <is>
          <t>In Progress</t>
        </is>
      </c>
    </row>
    <row r="79" ht="15" customHeight="1" s="5">
      <c r="A79" s="7" t="inlineStr">
        <is>
          <t>BEN078</t>
        </is>
      </c>
      <c r="B79" s="7" t="inlineStr">
        <is>
          <t>PRJ039</t>
        </is>
      </c>
      <c r="C79" s="7">
        <f>IFERROR(VLOOKUP(B79,Projects!$A:$AK,2,FALSE()),"")</f>
        <v/>
      </c>
      <c r="D79" s="7" t="inlineStr">
        <is>
          <t>Regulatory compliance achievement</t>
        </is>
      </c>
      <c r="E79" s="7" t="inlineStr">
        <is>
          <t>Cost Reduction</t>
        </is>
      </c>
      <c r="F79" s="7" t="n">
        <v>1054966</v>
      </c>
      <c r="G79" s="7" t="n">
        <v>81408</v>
      </c>
      <c r="H79" s="7">
        <f>F79-G79</f>
        <v/>
      </c>
      <c r="I79" s="7">
        <f>IFERROR(G79/F79,0)</f>
        <v/>
      </c>
      <c r="J79" s="7" t="inlineStr">
        <is>
          <t>Jane Doe</t>
        </is>
      </c>
      <c r="K79" s="8">
        <f>IFERROR(VLOOKUP(B79,Projects!$A:$AK,16,FALSE()),"")</f>
        <v/>
      </c>
      <c r="L79" s="8">
        <f>IFERROR(VLOOKUP(B79,Projects!$A:$AK,17,FALSE()),"")</f>
        <v/>
      </c>
      <c r="M79" s="7" t="inlineStr">
        <is>
          <t>In Progress</t>
        </is>
      </c>
    </row>
    <row r="80" ht="15" customHeight="1" s="5">
      <c r="A80" s="7" t="inlineStr">
        <is>
          <t>BEN079</t>
        </is>
      </c>
      <c r="B80" s="7" t="inlineStr">
        <is>
          <t>PRJ039</t>
        </is>
      </c>
      <c r="C80" s="7">
        <f>IFERROR(VLOOKUP(B80,Projects!$A:$AK,2,FALSE()),"")</f>
        <v/>
      </c>
      <c r="D80" s="7" t="inlineStr">
        <is>
          <t>Risk loss avoidance</t>
        </is>
      </c>
      <c r="E80" s="7" t="inlineStr">
        <is>
          <t>Customer Experience</t>
        </is>
      </c>
      <c r="F80" s="7" t="n">
        <v>1637439</v>
      </c>
      <c r="G80" s="7" t="n">
        <v>219940</v>
      </c>
      <c r="H80" s="7">
        <f>F80-G80</f>
        <v/>
      </c>
      <c r="I80" s="7">
        <f>IFERROR(G80/F80,0)</f>
        <v/>
      </c>
      <c r="J80" s="7" t="inlineStr">
        <is>
          <t>Priya Patel</t>
        </is>
      </c>
      <c r="K80" s="8">
        <f>IFERROR(VLOOKUP(B80,Projects!$A:$AK,16,FALSE()),"")</f>
        <v/>
      </c>
      <c r="L80" s="8">
        <f>IFERROR(VLOOKUP(B80,Projects!$A:$AK,17,FALSE()),"")</f>
        <v/>
      </c>
      <c r="M80" s="7" t="inlineStr">
        <is>
          <t>In Progress</t>
        </is>
      </c>
    </row>
    <row r="81" ht="15" customHeight="1" s="5">
      <c r="A81" s="7" t="inlineStr">
        <is>
          <t>BEN080</t>
        </is>
      </c>
      <c r="B81" s="7" t="inlineStr">
        <is>
          <t>PRJ040</t>
        </is>
      </c>
      <c r="C81" s="7">
        <f>IFERROR(VLOOKUP(B81,Projects!$A:$AK,2,FALSE()),"")</f>
        <v/>
      </c>
      <c r="D81" s="7" t="inlineStr">
        <is>
          <t>Process cycle-time reduction</t>
        </is>
      </c>
      <c r="E81" s="7" t="inlineStr">
        <is>
          <t>Revenue Increase</t>
        </is>
      </c>
      <c r="F81" s="7" t="n">
        <v>656939</v>
      </c>
      <c r="G81" s="7" t="n">
        <v>173701</v>
      </c>
      <c r="H81" s="7">
        <f>F81-G81</f>
        <v/>
      </c>
      <c r="I81" s="7">
        <f>IFERROR(G81/F81,0)</f>
        <v/>
      </c>
      <c r="J81" s="7" t="inlineStr">
        <is>
          <t>Mike Johnson</t>
        </is>
      </c>
      <c r="K81" s="8">
        <f>IFERROR(VLOOKUP(B81,Projects!$A:$AK,16,FALSE()),"")</f>
        <v/>
      </c>
      <c r="L81" s="8">
        <f>IFERROR(VLOOKUP(B81,Projects!$A:$AK,17,FALSE()),"")</f>
        <v/>
      </c>
      <c r="M81" s="7" t="inlineStr">
        <is>
          <t>In Progress</t>
        </is>
      </c>
    </row>
    <row r="82" ht="15" customHeight="1" s="5">
      <c r="E82" s="7" t="n"/>
      <c r="M82" s="7" t="n"/>
    </row>
    <row r="83" ht="15" customHeight="1" s="5">
      <c r="E83" s="7" t="n"/>
      <c r="M83" s="7" t="n"/>
    </row>
    <row r="84" ht="15" customHeight="1" s="5">
      <c r="E84" s="7" t="n"/>
      <c r="M84" s="7" t="n"/>
    </row>
    <row r="85" ht="15" customHeight="1" s="5">
      <c r="E85" s="7" t="n"/>
      <c r="M85" s="7" t="n"/>
    </row>
    <row r="86" ht="15" customHeight="1" s="5">
      <c r="E86" s="7" t="n"/>
      <c r="M86" s="7" t="n"/>
    </row>
    <row r="87" ht="15" customHeight="1" s="5">
      <c r="E87" s="7" t="n"/>
      <c r="M87" s="7" t="n"/>
    </row>
    <row r="88" ht="15" customHeight="1" s="5">
      <c r="E88" s="7" t="n"/>
      <c r="M88" s="7" t="n"/>
    </row>
    <row r="89" ht="15" customHeight="1" s="5">
      <c r="E89" s="7" t="n"/>
      <c r="M89" s="7" t="n"/>
    </row>
    <row r="90" ht="15" customHeight="1" s="5">
      <c r="E90" s="7" t="n"/>
      <c r="M90" s="7" t="n"/>
    </row>
    <row r="91" ht="15" customHeight="1" s="5">
      <c r="E91" s="7" t="n"/>
      <c r="M91" s="7" t="n"/>
    </row>
    <row r="92" ht="15" customHeight="1" s="5">
      <c r="E92" s="7" t="n"/>
      <c r="M92" s="7" t="n"/>
    </row>
    <row r="93" ht="15" customHeight="1" s="5">
      <c r="E93" s="7" t="n"/>
      <c r="M93" s="7" t="n"/>
    </row>
    <row r="94" ht="15" customHeight="1" s="5">
      <c r="E94" s="7" t="n"/>
      <c r="M94" s="7" t="n"/>
    </row>
    <row r="95" ht="15" customHeight="1" s="5">
      <c r="E95" s="7" t="n"/>
      <c r="M95" s="7" t="n"/>
    </row>
    <row r="96" ht="15" customHeight="1" s="5">
      <c r="E96" s="7" t="n"/>
      <c r="M96" s="7" t="n"/>
    </row>
    <row r="97" ht="15" customHeight="1" s="5">
      <c r="E97" s="7" t="n"/>
      <c r="M97" s="7" t="n"/>
    </row>
    <row r="98" ht="15" customHeight="1" s="5">
      <c r="E98" s="7" t="n"/>
      <c r="M98" s="7" t="n"/>
    </row>
    <row r="99" ht="15" customHeight="1" s="5">
      <c r="E99" s="7" t="n"/>
      <c r="M99" s="7" t="n"/>
    </row>
    <row r="100" ht="15" customHeight="1" s="5">
      <c r="E100" s="7" t="n"/>
      <c r="M100" s="7" t="n"/>
    </row>
    <row r="101" ht="15" customHeight="1" s="5">
      <c r="E101" s="7" t="n"/>
      <c r="M101" s="7" t="n"/>
    </row>
    <row r="102" ht="15" customHeight="1" s="5">
      <c r="E102" s="7" t="n"/>
      <c r="M102" s="7" t="n"/>
    </row>
    <row r="103" ht="15" customHeight="1" s="5">
      <c r="E103" s="7" t="n"/>
      <c r="M103" s="7" t="n"/>
    </row>
    <row r="104" ht="15" customHeight="1" s="5">
      <c r="E104" s="7" t="n"/>
      <c r="M104" s="7" t="n"/>
    </row>
    <row r="105" ht="15" customHeight="1" s="5">
      <c r="E105" s="7" t="n"/>
      <c r="M105" s="7" t="n"/>
    </row>
    <row r="106" ht="15" customHeight="1" s="5">
      <c r="E106" s="7" t="n"/>
      <c r="M106" s="7" t="n"/>
    </row>
    <row r="107" ht="15" customHeight="1" s="5">
      <c r="E107" s="7" t="n"/>
      <c r="M107" s="7" t="n"/>
    </row>
    <row r="108" ht="15" customHeight="1" s="5">
      <c r="E108" s="7" t="n"/>
      <c r="M108" s="7" t="n"/>
    </row>
    <row r="109" ht="15" customHeight="1" s="5">
      <c r="E109" s="7" t="n"/>
      <c r="M109" s="7" t="n"/>
    </row>
    <row r="110" ht="15" customHeight="1" s="5">
      <c r="E110" s="7" t="n"/>
      <c r="M110" s="7" t="n"/>
    </row>
    <row r="111" ht="15" customHeight="1" s="5">
      <c r="E111" s="7" t="n"/>
      <c r="M111" s="7" t="n"/>
    </row>
    <row r="112" ht="15" customHeight="1" s="5">
      <c r="E112" s="7" t="n"/>
      <c r="M112" s="7" t="n"/>
    </row>
    <row r="113" ht="15" customHeight="1" s="5">
      <c r="E113" s="7" t="n"/>
      <c r="M113" s="7" t="n"/>
    </row>
    <row r="114" ht="15" customHeight="1" s="5">
      <c r="E114" s="7" t="n"/>
      <c r="M114" s="7" t="n"/>
    </row>
    <row r="115" ht="15" customHeight="1" s="5">
      <c r="E115" s="7" t="n"/>
      <c r="M115" s="7" t="n"/>
    </row>
    <row r="116" ht="15" customHeight="1" s="5">
      <c r="E116" s="7" t="n"/>
      <c r="M116" s="7" t="n"/>
    </row>
    <row r="117" ht="15" customHeight="1" s="5">
      <c r="E117" s="7" t="n"/>
      <c r="M117" s="7" t="n"/>
    </row>
    <row r="118" ht="15" customHeight="1" s="5">
      <c r="E118" s="7" t="n"/>
      <c r="M118" s="7" t="n"/>
    </row>
    <row r="119" ht="15" customHeight="1" s="5">
      <c r="E119" s="7" t="n"/>
      <c r="M119" s="7" t="n"/>
    </row>
    <row r="120" ht="15" customHeight="1" s="5">
      <c r="E120" s="7" t="n"/>
      <c r="M120" s="7" t="n"/>
    </row>
    <row r="121" ht="15" customHeight="1" s="5">
      <c r="E121" s="7" t="n"/>
      <c r="M121" s="7" t="n"/>
    </row>
    <row r="122" ht="15" customHeight="1" s="5">
      <c r="E122" s="7" t="n"/>
      <c r="M122" s="7" t="n"/>
    </row>
    <row r="123" ht="15" customHeight="1" s="5">
      <c r="E123" s="7" t="n"/>
      <c r="M123" s="7" t="n"/>
    </row>
    <row r="124" ht="15" customHeight="1" s="5">
      <c r="E124" s="7" t="n"/>
      <c r="M124" s="7" t="n"/>
    </row>
    <row r="125" ht="15" customHeight="1" s="5">
      <c r="E125" s="7" t="n"/>
      <c r="M125" s="7" t="n"/>
    </row>
    <row r="126" ht="15" customHeight="1" s="5">
      <c r="E126" s="7" t="n"/>
      <c r="M126" s="7" t="n"/>
    </row>
    <row r="127" ht="15" customHeight="1" s="5">
      <c r="E127" s="7" t="n"/>
      <c r="M127" s="7" t="n"/>
    </row>
    <row r="128" ht="15" customHeight="1" s="5">
      <c r="E128" s="7" t="n"/>
      <c r="M128" s="7" t="n"/>
    </row>
    <row r="129" ht="15" customHeight="1" s="5">
      <c r="E129" s="7" t="n"/>
      <c r="M129" s="7" t="n"/>
    </row>
    <row r="130" ht="15" customHeight="1" s="5">
      <c r="E130" s="7" t="n"/>
      <c r="M130" s="7" t="n"/>
    </row>
    <row r="131" ht="15" customHeight="1" s="5">
      <c r="E131" s="7" t="n"/>
      <c r="M131" s="7" t="n"/>
    </row>
    <row r="132" ht="15" customHeight="1" s="5">
      <c r="E132" s="7" t="n"/>
      <c r="M132" s="7" t="n"/>
    </row>
    <row r="133" ht="15" customHeight="1" s="5">
      <c r="E133" s="7" t="n"/>
      <c r="M133" s="7" t="n"/>
    </row>
    <row r="134" ht="15" customHeight="1" s="5">
      <c r="E134" s="7" t="n"/>
      <c r="M134" s="7" t="n"/>
    </row>
    <row r="135" ht="15" customHeight="1" s="5">
      <c r="E135" s="7" t="n"/>
      <c r="M135" s="7" t="n"/>
    </row>
    <row r="136" ht="15" customHeight="1" s="5">
      <c r="E136" s="7" t="n"/>
      <c r="M136" s="7" t="n"/>
    </row>
    <row r="137" ht="15" customHeight="1" s="5">
      <c r="E137" s="7" t="n"/>
      <c r="M137" s="7" t="n"/>
    </row>
    <row r="138" ht="15" customHeight="1" s="5">
      <c r="E138" s="7" t="n"/>
      <c r="M138" s="7" t="n"/>
    </row>
    <row r="139" ht="15" customHeight="1" s="5">
      <c r="E139" s="7" t="n"/>
      <c r="M139" s="7" t="n"/>
    </row>
    <row r="140" ht="15" customHeight="1" s="5">
      <c r="E140" s="7" t="n"/>
      <c r="M140" s="7" t="n"/>
    </row>
    <row r="141" ht="15" customHeight="1" s="5">
      <c r="E141" s="7" t="n"/>
      <c r="M141" s="7" t="n"/>
    </row>
    <row r="142" ht="15" customHeight="1" s="5">
      <c r="E142" s="7" t="n"/>
      <c r="M142" s="7" t="n"/>
    </row>
    <row r="143" ht="15" customHeight="1" s="5">
      <c r="E143" s="7" t="n"/>
      <c r="M143" s="7" t="n"/>
    </row>
    <row r="144" ht="15" customHeight="1" s="5">
      <c r="E144" s="7" t="n"/>
      <c r="M144" s="7" t="n"/>
    </row>
    <row r="145" ht="15" customHeight="1" s="5">
      <c r="E145" s="7" t="n"/>
      <c r="M145" s="7" t="n"/>
    </row>
    <row r="146" ht="15" customHeight="1" s="5">
      <c r="E146" s="7" t="n"/>
      <c r="M146" s="7" t="n"/>
    </row>
    <row r="147" ht="15" customHeight="1" s="5">
      <c r="E147" s="7" t="n"/>
      <c r="M147" s="7" t="n"/>
    </row>
    <row r="148" ht="15" customHeight="1" s="5">
      <c r="E148" s="7" t="n"/>
      <c r="M148" s="7" t="n"/>
    </row>
    <row r="149" ht="15" customHeight="1" s="5">
      <c r="E149" s="7" t="n"/>
      <c r="M149" s="7" t="n"/>
    </row>
    <row r="150" ht="15" customHeight="1" s="5">
      <c r="E150" s="7" t="n"/>
      <c r="M150" s="7" t="n"/>
    </row>
    <row r="151" ht="15" customHeight="1" s="5">
      <c r="E151" s="7" t="n"/>
      <c r="M151" s="7" t="n"/>
    </row>
    <row r="152" ht="15" customHeight="1" s="5">
      <c r="E152" s="7" t="n"/>
      <c r="M152" s="7" t="n"/>
    </row>
    <row r="153" ht="15" customHeight="1" s="5">
      <c r="E153" s="7" t="n"/>
      <c r="M153" s="7" t="n"/>
    </row>
    <row r="154" ht="15" customHeight="1" s="5">
      <c r="E154" s="7" t="n"/>
      <c r="M154" s="7" t="n"/>
    </row>
    <row r="155" ht="15" customHeight="1" s="5">
      <c r="E155" s="7" t="n"/>
      <c r="M155" s="7" t="n"/>
    </row>
    <row r="156" ht="15" customHeight="1" s="5">
      <c r="E156" s="7" t="n"/>
      <c r="M156" s="7" t="n"/>
    </row>
    <row r="157" ht="15" customHeight="1" s="5">
      <c r="E157" s="7" t="n"/>
      <c r="M157" s="7" t="n"/>
    </row>
    <row r="158" ht="15" customHeight="1" s="5">
      <c r="E158" s="7" t="n"/>
      <c r="M158" s="7" t="n"/>
    </row>
    <row r="159" ht="15" customHeight="1" s="5">
      <c r="E159" s="7" t="n"/>
      <c r="M159" s="7" t="n"/>
    </row>
    <row r="160" ht="15" customHeight="1" s="5">
      <c r="E160" s="7" t="n"/>
      <c r="M160" s="7" t="n"/>
    </row>
    <row r="161" ht="15" customHeight="1" s="5">
      <c r="E161" s="7" t="n"/>
      <c r="M161" s="7" t="n"/>
    </row>
    <row r="162" ht="15" customHeight="1" s="5">
      <c r="E162" s="7" t="n"/>
      <c r="M162" s="7" t="n"/>
    </row>
    <row r="163" ht="15" customHeight="1" s="5">
      <c r="E163" s="7" t="n"/>
      <c r="M163" s="7" t="n"/>
    </row>
    <row r="164" ht="15" customHeight="1" s="5">
      <c r="E164" s="7" t="n"/>
      <c r="M164" s="7" t="n"/>
    </row>
    <row r="165" ht="15" customHeight="1" s="5">
      <c r="E165" s="7" t="n"/>
      <c r="M165" s="7" t="n"/>
    </row>
    <row r="166" ht="15" customHeight="1" s="5">
      <c r="E166" s="7" t="n"/>
      <c r="M166" s="7" t="n"/>
    </row>
    <row r="167" ht="15" customHeight="1" s="5">
      <c r="E167" s="7" t="n"/>
      <c r="M167" s="7" t="n"/>
    </row>
    <row r="168" ht="15" customHeight="1" s="5">
      <c r="E168" s="7" t="n"/>
      <c r="M168" s="7" t="n"/>
    </row>
    <row r="169" ht="15" customHeight="1" s="5">
      <c r="E169" s="7" t="n"/>
      <c r="M169" s="7" t="n"/>
    </row>
    <row r="170" ht="15" customHeight="1" s="5">
      <c r="E170" s="7" t="n"/>
      <c r="M170" s="7" t="n"/>
    </row>
    <row r="171" ht="15" customHeight="1" s="5">
      <c r="E171" s="7" t="n"/>
      <c r="M171" s="7" t="n"/>
    </row>
    <row r="172" ht="15" customHeight="1" s="5">
      <c r="E172" s="7" t="n"/>
      <c r="M172" s="7" t="n"/>
    </row>
    <row r="173" ht="15" customHeight="1" s="5">
      <c r="E173" s="7" t="n"/>
      <c r="M173" s="7" t="n"/>
    </row>
    <row r="174" ht="15" customHeight="1" s="5">
      <c r="E174" s="7" t="n"/>
      <c r="M174" s="7" t="n"/>
    </row>
    <row r="175" ht="15" customHeight="1" s="5">
      <c r="E175" s="7" t="n"/>
      <c r="M175" s="7" t="n"/>
    </row>
    <row r="176" ht="15" customHeight="1" s="5">
      <c r="E176" s="7" t="n"/>
      <c r="M176" s="7" t="n"/>
    </row>
    <row r="177" ht="15" customHeight="1" s="5">
      <c r="E177" s="7" t="n"/>
      <c r="M177" s="7" t="n"/>
    </row>
    <row r="178" ht="15" customHeight="1" s="5">
      <c r="E178" s="7" t="n"/>
      <c r="M178" s="7" t="n"/>
    </row>
    <row r="179" ht="15" customHeight="1" s="5">
      <c r="E179" s="7" t="n"/>
      <c r="M179" s="7" t="n"/>
    </row>
    <row r="180" ht="15" customHeight="1" s="5">
      <c r="E180" s="7" t="n"/>
      <c r="M180" s="7" t="n"/>
    </row>
    <row r="181" ht="15" customHeight="1" s="5">
      <c r="E181" s="7" t="n"/>
      <c r="M181" s="7" t="n"/>
    </row>
    <row r="182" ht="15" customHeight="1" s="5">
      <c r="E182" s="7" t="n"/>
      <c r="M182" s="7" t="n"/>
    </row>
    <row r="183" ht="15" customHeight="1" s="5">
      <c r="E183" s="7" t="n"/>
      <c r="M183" s="7" t="n"/>
    </row>
    <row r="184" ht="15" customHeight="1" s="5">
      <c r="E184" s="7" t="n"/>
      <c r="M184" s="7" t="n"/>
    </row>
    <row r="185" ht="15" customHeight="1" s="5">
      <c r="E185" s="7" t="n"/>
      <c r="M185" s="7" t="n"/>
    </row>
    <row r="186" ht="15" customHeight="1" s="5">
      <c r="E186" s="7" t="n"/>
      <c r="M186" s="7" t="n"/>
    </row>
    <row r="187" ht="15" customHeight="1" s="5">
      <c r="E187" s="7" t="n"/>
      <c r="M187" s="7" t="n"/>
    </row>
    <row r="188" ht="15" customHeight="1" s="5">
      <c r="E188" s="7" t="n"/>
      <c r="M188" s="7" t="n"/>
    </row>
    <row r="189" ht="15" customHeight="1" s="5">
      <c r="E189" s="7" t="n"/>
      <c r="M189" s="7" t="n"/>
    </row>
    <row r="190" ht="15" customHeight="1" s="5">
      <c r="E190" s="7" t="n"/>
      <c r="M190" s="7" t="n"/>
    </row>
    <row r="191" ht="15" customHeight="1" s="5">
      <c r="E191" s="7" t="n"/>
      <c r="M191" s="7" t="n"/>
    </row>
    <row r="192" ht="15" customHeight="1" s="5">
      <c r="E192" s="7" t="n"/>
      <c r="M192" s="7" t="n"/>
    </row>
    <row r="193" ht="15" customHeight="1" s="5">
      <c r="E193" s="7" t="n"/>
      <c r="M193" s="7" t="n"/>
    </row>
    <row r="194" ht="15" customHeight="1" s="5">
      <c r="E194" s="7" t="n"/>
      <c r="M194" s="7" t="n"/>
    </row>
    <row r="195" ht="15" customHeight="1" s="5">
      <c r="E195" s="7" t="n"/>
      <c r="M195" s="7" t="n"/>
    </row>
    <row r="196" ht="15" customHeight="1" s="5">
      <c r="E196" s="7" t="n"/>
      <c r="M196" s="7" t="n"/>
    </row>
    <row r="197" ht="15" customHeight="1" s="5">
      <c r="E197" s="7" t="n"/>
      <c r="M197" s="7" t="n"/>
    </row>
    <row r="198" ht="15" customHeight="1" s="5">
      <c r="E198" s="7" t="n"/>
      <c r="M198" s="7" t="n"/>
    </row>
    <row r="199" ht="15" customHeight="1" s="5">
      <c r="E199" s="7" t="n"/>
      <c r="M199" s="7" t="n"/>
    </row>
    <row r="200" ht="15" customHeight="1" s="5">
      <c r="E200" s="7" t="n"/>
      <c r="M200" s="7" t="n"/>
    </row>
    <row r="201" ht="15" customHeight="1" s="5">
      <c r="E201" s="7" t="n"/>
      <c r="M201" s="7" t="n"/>
    </row>
    <row r="202" ht="15" customHeight="1" s="5">
      <c r="E202" s="7" t="n"/>
      <c r="M202" s="7" t="n"/>
    </row>
    <row r="203" ht="15" customHeight="1" s="5">
      <c r="E203" s="7" t="n"/>
      <c r="M203" s="7" t="n"/>
    </row>
    <row r="204" ht="15" customHeight="1" s="5">
      <c r="E204" s="7" t="n"/>
      <c r="M204" s="7" t="n"/>
    </row>
    <row r="205" ht="15" customHeight="1" s="5">
      <c r="E205" s="7" t="n"/>
      <c r="M205" s="7" t="n"/>
    </row>
    <row r="206" ht="15" customHeight="1" s="5">
      <c r="E206" s="7" t="n"/>
      <c r="M206" s="7" t="n"/>
    </row>
    <row r="207" ht="15" customHeight="1" s="5">
      <c r="E207" s="7" t="n"/>
      <c r="M207" s="7" t="n"/>
    </row>
    <row r="208" ht="15" customHeight="1" s="5">
      <c r="E208" s="7" t="n"/>
      <c r="M208" s="7" t="n"/>
    </row>
    <row r="209" ht="15" customHeight="1" s="5">
      <c r="E209" s="7" t="n"/>
      <c r="M209" s="7" t="n"/>
    </row>
    <row r="210" ht="15" customHeight="1" s="5">
      <c r="E210" s="7" t="n"/>
      <c r="M210" s="7" t="n"/>
    </row>
    <row r="211" ht="15" customHeight="1" s="5">
      <c r="E211" s="7" t="n"/>
      <c r="M211" s="7" t="n"/>
    </row>
    <row r="212" ht="15" customHeight="1" s="5">
      <c r="E212" s="7" t="n"/>
      <c r="M212" s="7" t="n"/>
    </row>
    <row r="213" ht="15" customHeight="1" s="5">
      <c r="E213" s="7" t="n"/>
      <c r="M213" s="7" t="n"/>
    </row>
    <row r="214" ht="15" customHeight="1" s="5">
      <c r="E214" s="7" t="n"/>
      <c r="M214" s="7" t="n"/>
    </row>
    <row r="215" ht="15" customHeight="1" s="5">
      <c r="E215" s="7" t="n"/>
      <c r="M215" s="7" t="n"/>
    </row>
    <row r="216" ht="15" customHeight="1" s="5">
      <c r="E216" s="7" t="n"/>
      <c r="M216" s="7" t="n"/>
    </row>
    <row r="217" ht="15" customHeight="1" s="5">
      <c r="E217" s="7" t="n"/>
      <c r="M217" s="7" t="n"/>
    </row>
    <row r="218" ht="15" customHeight="1" s="5">
      <c r="E218" s="7" t="n"/>
      <c r="M218" s="7" t="n"/>
    </row>
    <row r="219" ht="15" customHeight="1" s="5">
      <c r="E219" s="7" t="n"/>
      <c r="M219" s="7" t="n"/>
    </row>
    <row r="220" ht="15" customHeight="1" s="5">
      <c r="E220" s="7" t="n"/>
      <c r="M220" s="7" t="n"/>
    </row>
    <row r="221" ht="15" customHeight="1" s="5">
      <c r="E221" s="7" t="n"/>
      <c r="M221" s="7" t="n"/>
    </row>
    <row r="222" ht="15" customHeight="1" s="5">
      <c r="E222" s="7" t="n"/>
      <c r="M222" s="7" t="n"/>
    </row>
    <row r="223" ht="15" customHeight="1" s="5">
      <c r="E223" s="7" t="n"/>
      <c r="M223" s="7" t="n"/>
    </row>
    <row r="224" ht="15" customHeight="1" s="5">
      <c r="E224" s="7" t="n"/>
      <c r="M224" s="7" t="n"/>
    </row>
    <row r="225" ht="15" customHeight="1" s="5">
      <c r="E225" s="7" t="n"/>
      <c r="M225" s="7" t="n"/>
    </row>
    <row r="226" ht="15" customHeight="1" s="5">
      <c r="E226" s="7" t="n"/>
      <c r="M226" s="7" t="n"/>
    </row>
    <row r="227" ht="15" customHeight="1" s="5">
      <c r="E227" s="7" t="n"/>
      <c r="M227" s="7" t="n"/>
    </row>
    <row r="228" ht="15" customHeight="1" s="5">
      <c r="E228" s="7" t="n"/>
      <c r="M228" s="7" t="n"/>
    </row>
    <row r="229" ht="15" customHeight="1" s="5">
      <c r="E229" s="7" t="n"/>
      <c r="M229" s="7" t="n"/>
    </row>
    <row r="230" ht="15" customHeight="1" s="5">
      <c r="E230" s="7" t="n"/>
      <c r="M230" s="7" t="n"/>
    </row>
    <row r="231" ht="15" customHeight="1" s="5">
      <c r="E231" s="7" t="n"/>
      <c r="M231" s="7" t="n"/>
    </row>
    <row r="232" ht="15" customHeight="1" s="5">
      <c r="E232" s="7" t="n"/>
      <c r="M232" s="7" t="n"/>
    </row>
    <row r="233" ht="15" customHeight="1" s="5">
      <c r="E233" s="7" t="n"/>
      <c r="M233" s="7" t="n"/>
    </row>
    <row r="234" ht="15" customHeight="1" s="5">
      <c r="E234" s="7" t="n"/>
      <c r="M234" s="7" t="n"/>
    </row>
    <row r="235" ht="15" customHeight="1" s="5">
      <c r="E235" s="7" t="n"/>
      <c r="M235" s="7" t="n"/>
    </row>
    <row r="236" ht="15" customHeight="1" s="5">
      <c r="E236" s="7" t="n"/>
      <c r="M236" s="7" t="n"/>
    </row>
    <row r="237" ht="15" customHeight="1" s="5">
      <c r="E237" s="7" t="n"/>
      <c r="M237" s="7" t="n"/>
    </row>
    <row r="238" ht="15" customHeight="1" s="5">
      <c r="E238" s="7" t="n"/>
      <c r="M238" s="7" t="n"/>
    </row>
    <row r="239" ht="15" customHeight="1" s="5">
      <c r="E239" s="7" t="n"/>
      <c r="M239" s="7" t="n"/>
    </row>
    <row r="240" ht="15" customHeight="1" s="5">
      <c r="E240" s="7" t="n"/>
      <c r="M240" s="7" t="n"/>
    </row>
    <row r="241" ht="15" customHeight="1" s="5">
      <c r="E241" s="7" t="n"/>
      <c r="M241" s="7" t="n"/>
    </row>
    <row r="242" ht="15" customHeight="1" s="5">
      <c r="E242" s="7" t="n"/>
      <c r="M242" s="7" t="n"/>
    </row>
    <row r="243" ht="15" customHeight="1" s="5">
      <c r="E243" s="7" t="n"/>
      <c r="M243" s="7" t="n"/>
    </row>
    <row r="244" ht="15" customHeight="1" s="5">
      <c r="E244" s="7" t="n"/>
      <c r="M244" s="7" t="n"/>
    </row>
    <row r="245" ht="15" customHeight="1" s="5">
      <c r="E245" s="7" t="n"/>
      <c r="M245" s="7" t="n"/>
    </row>
    <row r="246" ht="15" customHeight="1" s="5">
      <c r="E246" s="7" t="n"/>
      <c r="M246" s="7" t="n"/>
    </row>
    <row r="247" ht="15" customHeight="1" s="5">
      <c r="E247" s="7" t="n"/>
      <c r="M247" s="7" t="n"/>
    </row>
    <row r="248" ht="15" customHeight="1" s="5">
      <c r="E248" s="7" t="n"/>
      <c r="M248" s="7" t="n"/>
    </row>
    <row r="249" ht="15" customHeight="1" s="5">
      <c r="E249" s="7" t="n"/>
      <c r="M249" s="7" t="n"/>
    </row>
    <row r="250" ht="15" customHeight="1" s="5">
      <c r="E250" s="7" t="n"/>
      <c r="M250" s="7" t="n"/>
    </row>
    <row r="251" ht="15" customHeight="1" s="5">
      <c r="E251" s="7" t="n"/>
      <c r="M251" s="7" t="n"/>
    </row>
    <row r="252" ht="15" customHeight="1" s="5">
      <c r="E252" s="7" t="n"/>
      <c r="M252" s="7" t="n"/>
    </row>
    <row r="253" ht="15" customHeight="1" s="5">
      <c r="E253" s="7" t="n"/>
      <c r="M253" s="7" t="n"/>
    </row>
    <row r="254" ht="15" customHeight="1" s="5">
      <c r="E254" s="7" t="n"/>
      <c r="M254" s="7" t="n"/>
    </row>
    <row r="255" ht="15" customHeight="1" s="5">
      <c r="E255" s="7" t="n"/>
      <c r="M255" s="7" t="n"/>
    </row>
    <row r="256" ht="15" customHeight="1" s="5">
      <c r="E256" s="7" t="n"/>
      <c r="M256" s="7" t="n"/>
    </row>
    <row r="257" ht="15" customHeight="1" s="5">
      <c r="E257" s="7" t="n"/>
      <c r="M257" s="7" t="n"/>
    </row>
    <row r="258" ht="15" customHeight="1" s="5">
      <c r="E258" s="7" t="n"/>
      <c r="M258" s="7" t="n"/>
    </row>
    <row r="259" ht="15" customHeight="1" s="5">
      <c r="E259" s="7" t="n"/>
      <c r="M259" s="7" t="n"/>
    </row>
    <row r="260" ht="15" customHeight="1" s="5">
      <c r="E260" s="7" t="n"/>
      <c r="M260" s="7" t="n"/>
    </row>
    <row r="261" ht="15" customHeight="1" s="5">
      <c r="E261" s="7" t="n"/>
      <c r="M261" s="7" t="n"/>
    </row>
    <row r="262" ht="15" customHeight="1" s="5">
      <c r="E262" s="7" t="n"/>
      <c r="M262" s="7" t="n"/>
    </row>
    <row r="263" ht="15" customHeight="1" s="5">
      <c r="E263" s="7" t="n"/>
      <c r="M263" s="7" t="n"/>
    </row>
    <row r="264" ht="15" customHeight="1" s="5">
      <c r="E264" s="7" t="n"/>
      <c r="M264" s="7" t="n"/>
    </row>
    <row r="265" ht="15" customHeight="1" s="5">
      <c r="E265" s="7" t="n"/>
      <c r="M265" s="7" t="n"/>
    </row>
    <row r="266" ht="15" customHeight="1" s="5">
      <c r="E266" s="7" t="n"/>
      <c r="M266" s="7" t="n"/>
    </row>
    <row r="267" ht="15" customHeight="1" s="5">
      <c r="E267" s="7" t="n"/>
      <c r="M267" s="7" t="n"/>
    </row>
    <row r="268" ht="15" customHeight="1" s="5">
      <c r="E268" s="7" t="n"/>
      <c r="M268" s="7" t="n"/>
    </row>
    <row r="269" ht="15" customHeight="1" s="5">
      <c r="E269" s="7" t="n"/>
      <c r="M269" s="7" t="n"/>
    </row>
    <row r="270" ht="15" customHeight="1" s="5">
      <c r="E270" s="7" t="n"/>
      <c r="M270" s="7" t="n"/>
    </row>
    <row r="271" ht="15" customHeight="1" s="5">
      <c r="E271" s="7" t="n"/>
      <c r="M271" s="7" t="n"/>
    </row>
    <row r="272" ht="15" customHeight="1" s="5">
      <c r="E272" s="7" t="n"/>
      <c r="M272" s="7" t="n"/>
    </row>
    <row r="273" ht="15" customHeight="1" s="5">
      <c r="E273" s="7" t="n"/>
      <c r="M273" s="7" t="n"/>
    </row>
    <row r="274" ht="15" customHeight="1" s="5">
      <c r="E274" s="7" t="n"/>
      <c r="M274" s="7" t="n"/>
    </row>
    <row r="275" ht="15" customHeight="1" s="5">
      <c r="E275" s="7" t="n"/>
      <c r="M275" s="7" t="n"/>
    </row>
    <row r="276" ht="15" customHeight="1" s="5">
      <c r="E276" s="7" t="n"/>
      <c r="M276" s="7" t="n"/>
    </row>
    <row r="277" ht="15" customHeight="1" s="5">
      <c r="E277" s="7" t="n"/>
      <c r="M277" s="7" t="n"/>
    </row>
    <row r="278" ht="15" customHeight="1" s="5">
      <c r="E278" s="7" t="n"/>
      <c r="M278" s="7" t="n"/>
    </row>
    <row r="279" ht="15" customHeight="1" s="5">
      <c r="E279" s="7" t="n"/>
      <c r="M279" s="7" t="n"/>
    </row>
    <row r="280" ht="15" customHeight="1" s="5">
      <c r="E280" s="7" t="n"/>
      <c r="M280" s="7" t="n"/>
    </row>
    <row r="281" ht="15" customHeight="1" s="5">
      <c r="E281" s="7" t="n"/>
      <c r="M281" s="7" t="n"/>
    </row>
    <row r="282" ht="15" customHeight="1" s="5">
      <c r="E282" s="7" t="n"/>
      <c r="M282" s="7" t="n"/>
    </row>
    <row r="283" ht="15" customHeight="1" s="5">
      <c r="E283" s="7" t="n"/>
      <c r="M283" s="7" t="n"/>
    </row>
    <row r="284" ht="15" customHeight="1" s="5">
      <c r="E284" s="7" t="n"/>
      <c r="M284" s="7" t="n"/>
    </row>
    <row r="285" ht="15" customHeight="1" s="5">
      <c r="E285" s="7" t="n"/>
      <c r="M285" s="7" t="n"/>
    </row>
    <row r="286" ht="15" customHeight="1" s="5">
      <c r="E286" s="7" t="n"/>
      <c r="M286" s="7" t="n"/>
    </row>
    <row r="287" ht="15" customHeight="1" s="5">
      <c r="E287" s="7" t="n"/>
      <c r="M287" s="7" t="n"/>
    </row>
    <row r="288" ht="15" customHeight="1" s="5">
      <c r="E288" s="7" t="n"/>
      <c r="M288" s="7" t="n"/>
    </row>
    <row r="289" ht="15" customHeight="1" s="5">
      <c r="E289" s="7" t="n"/>
      <c r="M289" s="7" t="n"/>
    </row>
    <row r="290" ht="15" customHeight="1" s="5">
      <c r="E290" s="7" t="n"/>
      <c r="M290" s="7" t="n"/>
    </row>
    <row r="291" ht="15" customHeight="1" s="5">
      <c r="E291" s="7" t="n"/>
      <c r="M291" s="7" t="n"/>
    </row>
    <row r="292" ht="15" customHeight="1" s="5">
      <c r="E292" s="7" t="n"/>
      <c r="M292" s="7" t="n"/>
    </row>
    <row r="293" ht="15" customHeight="1" s="5">
      <c r="E293" s="7" t="n"/>
      <c r="M293" s="7" t="n"/>
    </row>
    <row r="294" ht="15" customHeight="1" s="5">
      <c r="E294" s="7" t="n"/>
      <c r="M294" s="7" t="n"/>
    </row>
    <row r="295" ht="15" customHeight="1" s="5">
      <c r="E295" s="7" t="n"/>
      <c r="M295" s="7" t="n"/>
    </row>
    <row r="296" ht="15" customHeight="1" s="5">
      <c r="E296" s="7" t="n"/>
      <c r="M296" s="7" t="n"/>
    </row>
    <row r="297" ht="15" customHeight="1" s="5">
      <c r="E297" s="7" t="n"/>
      <c r="M297" s="7" t="n"/>
    </row>
    <row r="298" ht="15" customHeight="1" s="5">
      <c r="E298" s="7" t="n"/>
      <c r="M298" s="7" t="n"/>
    </row>
    <row r="299" ht="15" customHeight="1" s="5">
      <c r="E299" s="7" t="n"/>
      <c r="M299" s="7" t="n"/>
    </row>
    <row r="300" ht="15" customHeight="1" s="5">
      <c r="E300" s="7" t="n"/>
      <c r="M300" s="7" t="n"/>
    </row>
    <row r="301" ht="15" customHeight="1" s="5">
      <c r="E301" s="7" t="n"/>
      <c r="M301" s="7" t="n"/>
    </row>
    <row r="302" ht="15" customHeight="1" s="5">
      <c r="E302" s="7" t="n"/>
      <c r="M302" s="7" t="n"/>
    </row>
    <row r="303" ht="15" customHeight="1" s="5">
      <c r="E303" s="7" t="n"/>
      <c r="M303" s="7" t="n"/>
    </row>
    <row r="304" ht="15" customHeight="1" s="5">
      <c r="E304" s="7" t="n"/>
      <c r="M304" s="7" t="n"/>
    </row>
    <row r="305" ht="15" customHeight="1" s="5">
      <c r="E305" s="7" t="n"/>
      <c r="M305" s="7" t="n"/>
    </row>
    <row r="306" ht="15" customHeight="1" s="5">
      <c r="E306" s="7" t="n"/>
      <c r="M306" s="7" t="n"/>
    </row>
    <row r="307" ht="15" customHeight="1" s="5">
      <c r="E307" s="7" t="n"/>
      <c r="M307" s="7" t="n"/>
    </row>
    <row r="308" ht="15" customHeight="1" s="5">
      <c r="E308" s="7" t="n"/>
      <c r="M308" s="7" t="n"/>
    </row>
    <row r="309" ht="15" customHeight="1" s="5">
      <c r="E309" s="7" t="n"/>
      <c r="M309" s="7" t="n"/>
    </row>
    <row r="310" ht="15" customHeight="1" s="5">
      <c r="E310" s="7" t="n"/>
      <c r="M310" s="7" t="n"/>
    </row>
    <row r="311" ht="15" customHeight="1" s="5">
      <c r="E311" s="7" t="n"/>
      <c r="M311" s="7" t="n"/>
    </row>
    <row r="312" ht="15" customHeight="1" s="5">
      <c r="E312" s="7" t="n"/>
      <c r="M312" s="7" t="n"/>
    </row>
    <row r="313" ht="15" customHeight="1" s="5">
      <c r="E313" s="7" t="n"/>
      <c r="M313" s="7" t="n"/>
    </row>
    <row r="314" ht="15" customHeight="1" s="5">
      <c r="E314" s="7" t="n"/>
      <c r="M314" s="7" t="n"/>
    </row>
    <row r="315" ht="15" customHeight="1" s="5">
      <c r="E315" s="7" t="n"/>
      <c r="M315" s="7" t="n"/>
    </row>
    <row r="316" ht="15" customHeight="1" s="5">
      <c r="E316" s="7" t="n"/>
      <c r="M316" s="7" t="n"/>
    </row>
    <row r="317" ht="15" customHeight="1" s="5">
      <c r="E317" s="7" t="n"/>
      <c r="M317" s="7" t="n"/>
    </row>
    <row r="318" ht="15" customHeight="1" s="5">
      <c r="E318" s="7" t="n"/>
      <c r="M318" s="7" t="n"/>
    </row>
    <row r="319" ht="15" customHeight="1" s="5">
      <c r="E319" s="7" t="n"/>
      <c r="M319" s="7" t="n"/>
    </row>
    <row r="320" ht="15" customHeight="1" s="5">
      <c r="E320" s="7" t="n"/>
      <c r="M320" s="7" t="n"/>
    </row>
    <row r="321" ht="15" customHeight="1" s="5">
      <c r="E321" s="7" t="n"/>
      <c r="M321" s="7" t="n"/>
    </row>
    <row r="322" ht="15" customHeight="1" s="5">
      <c r="E322" s="7" t="n"/>
      <c r="M322" s="7" t="n"/>
    </row>
    <row r="323" ht="15" customHeight="1" s="5">
      <c r="E323" s="7" t="n"/>
      <c r="M323" s="7" t="n"/>
    </row>
    <row r="324" ht="15" customHeight="1" s="5">
      <c r="E324" s="7" t="n"/>
      <c r="M324" s="7" t="n"/>
    </row>
    <row r="325" ht="15" customHeight="1" s="5">
      <c r="E325" s="7" t="n"/>
      <c r="M325" s="7" t="n"/>
    </row>
    <row r="326" ht="15" customHeight="1" s="5">
      <c r="E326" s="7" t="n"/>
      <c r="M326" s="7" t="n"/>
    </row>
    <row r="327" ht="15" customHeight="1" s="5">
      <c r="E327" s="7" t="n"/>
      <c r="M327" s="7" t="n"/>
    </row>
    <row r="328" ht="15" customHeight="1" s="5">
      <c r="E328" s="7" t="n"/>
      <c r="M328" s="7" t="n"/>
    </row>
    <row r="329" ht="15" customHeight="1" s="5">
      <c r="E329" s="7" t="n"/>
      <c r="M329" s="7" t="n"/>
    </row>
    <row r="330" ht="15" customHeight="1" s="5">
      <c r="E330" s="7" t="n"/>
      <c r="M330" s="7" t="n"/>
    </row>
    <row r="331" ht="15" customHeight="1" s="5">
      <c r="E331" s="7" t="n"/>
      <c r="M331" s="7" t="n"/>
    </row>
    <row r="332" ht="15" customHeight="1" s="5">
      <c r="E332" s="7" t="n"/>
      <c r="M332" s="7" t="n"/>
    </row>
    <row r="333" ht="15" customHeight="1" s="5">
      <c r="E333" s="7" t="n"/>
      <c r="M333" s="7" t="n"/>
    </row>
    <row r="334" ht="15" customHeight="1" s="5">
      <c r="E334" s="7" t="n"/>
      <c r="M334" s="7" t="n"/>
    </row>
    <row r="335" ht="15" customHeight="1" s="5">
      <c r="E335" s="7" t="n"/>
      <c r="M335" s="7" t="n"/>
    </row>
    <row r="336" ht="15" customHeight="1" s="5">
      <c r="E336" s="7" t="n"/>
      <c r="M336" s="7" t="n"/>
    </row>
    <row r="337" ht="15" customHeight="1" s="5">
      <c r="E337" s="7" t="n"/>
      <c r="M337" s="7" t="n"/>
    </row>
    <row r="338" ht="15" customHeight="1" s="5">
      <c r="E338" s="7" t="n"/>
      <c r="M338" s="7" t="n"/>
    </row>
    <row r="339" ht="15" customHeight="1" s="5">
      <c r="E339" s="7" t="n"/>
      <c r="M339" s="7" t="n"/>
    </row>
    <row r="340" ht="15" customHeight="1" s="5">
      <c r="E340" s="7" t="n"/>
      <c r="M340" s="7" t="n"/>
    </row>
    <row r="341" ht="15" customHeight="1" s="5">
      <c r="E341" s="7" t="n"/>
      <c r="M341" s="7" t="n"/>
    </row>
    <row r="342" ht="15" customHeight="1" s="5">
      <c r="E342" s="7" t="n"/>
      <c r="M342" s="7" t="n"/>
    </row>
    <row r="343" ht="15" customHeight="1" s="5">
      <c r="E343" s="7" t="n"/>
      <c r="M343" s="7" t="n"/>
    </row>
    <row r="344" ht="15" customHeight="1" s="5">
      <c r="E344" s="7" t="n"/>
      <c r="M344" s="7" t="n"/>
    </row>
    <row r="345" ht="15" customHeight="1" s="5">
      <c r="E345" s="7" t="n"/>
      <c r="M345" s="7" t="n"/>
    </row>
    <row r="346" ht="15" customHeight="1" s="5">
      <c r="E346" s="7" t="n"/>
      <c r="M346" s="7" t="n"/>
    </row>
    <row r="347" ht="15" customHeight="1" s="5">
      <c r="E347" s="7" t="n"/>
      <c r="M347" s="7" t="n"/>
    </row>
    <row r="348" ht="15" customHeight="1" s="5">
      <c r="E348" s="7" t="n"/>
      <c r="M348" s="7" t="n"/>
    </row>
    <row r="349" ht="15" customHeight="1" s="5">
      <c r="E349" s="7" t="n"/>
      <c r="M349" s="7" t="n"/>
    </row>
    <row r="350" ht="15" customHeight="1" s="5">
      <c r="E350" s="7" t="n"/>
      <c r="M350" s="7" t="n"/>
    </row>
    <row r="351" ht="15" customHeight="1" s="5">
      <c r="E351" s="7" t="n"/>
      <c r="M351" s="7" t="n"/>
    </row>
    <row r="352" ht="15" customHeight="1" s="5">
      <c r="E352" s="7" t="n"/>
      <c r="M352" s="7" t="n"/>
    </row>
    <row r="353" ht="15" customHeight="1" s="5">
      <c r="E353" s="7" t="n"/>
      <c r="M353" s="7" t="n"/>
    </row>
    <row r="354" ht="15" customHeight="1" s="5">
      <c r="E354" s="7" t="n"/>
      <c r="M354" s="7" t="n"/>
    </row>
    <row r="355" ht="15" customHeight="1" s="5">
      <c r="E355" s="7" t="n"/>
      <c r="M355" s="7" t="n"/>
    </row>
    <row r="356" ht="15" customHeight="1" s="5">
      <c r="E356" s="7" t="n"/>
      <c r="M356" s="7" t="n"/>
    </row>
    <row r="357" ht="15" customHeight="1" s="5">
      <c r="E357" s="7" t="n"/>
      <c r="M357" s="7" t="n"/>
    </row>
    <row r="358" ht="15" customHeight="1" s="5">
      <c r="E358" s="7" t="n"/>
      <c r="M358" s="7" t="n"/>
    </row>
    <row r="359" ht="15" customHeight="1" s="5">
      <c r="E359" s="7" t="n"/>
      <c r="M359" s="7" t="n"/>
    </row>
    <row r="360" ht="15" customHeight="1" s="5">
      <c r="E360" s="7" t="n"/>
      <c r="M360" s="7" t="n"/>
    </row>
    <row r="361" ht="15" customHeight="1" s="5">
      <c r="E361" s="7" t="n"/>
      <c r="M361" s="7" t="n"/>
    </row>
    <row r="362" ht="15" customHeight="1" s="5">
      <c r="E362" s="7" t="n"/>
      <c r="M362" s="7" t="n"/>
    </row>
    <row r="363" ht="15" customHeight="1" s="5">
      <c r="E363" s="7" t="n"/>
      <c r="M363" s="7" t="n"/>
    </row>
    <row r="364" ht="15" customHeight="1" s="5">
      <c r="E364" s="7" t="n"/>
      <c r="M364" s="7" t="n"/>
    </row>
    <row r="365" ht="15" customHeight="1" s="5">
      <c r="E365" s="7" t="n"/>
      <c r="M365" s="7" t="n"/>
    </row>
    <row r="366" ht="15" customHeight="1" s="5">
      <c r="E366" s="7" t="n"/>
      <c r="M366" s="7" t="n"/>
    </row>
    <row r="367" ht="15" customHeight="1" s="5">
      <c r="E367" s="7" t="n"/>
      <c r="M367" s="7" t="n"/>
    </row>
    <row r="368" ht="15" customHeight="1" s="5">
      <c r="E368" s="7" t="n"/>
      <c r="M368" s="7" t="n"/>
    </row>
    <row r="369" ht="15" customHeight="1" s="5">
      <c r="E369" s="7" t="n"/>
      <c r="M369" s="7" t="n"/>
    </row>
    <row r="370" ht="15" customHeight="1" s="5">
      <c r="E370" s="7" t="n"/>
      <c r="M370" s="7" t="n"/>
    </row>
    <row r="371" ht="15" customHeight="1" s="5">
      <c r="E371" s="7" t="n"/>
      <c r="M371" s="7" t="n"/>
    </row>
    <row r="372" ht="15" customHeight="1" s="5">
      <c r="E372" s="7" t="n"/>
      <c r="M372" s="7" t="n"/>
    </row>
    <row r="373" ht="15" customHeight="1" s="5">
      <c r="E373" s="7" t="n"/>
      <c r="M373" s="7" t="n"/>
    </row>
    <row r="374" ht="15" customHeight="1" s="5">
      <c r="E374" s="7" t="n"/>
      <c r="M374" s="7" t="n"/>
    </row>
    <row r="375" ht="15" customHeight="1" s="5">
      <c r="E375" s="7" t="n"/>
      <c r="M375" s="7" t="n"/>
    </row>
    <row r="376" ht="15" customHeight="1" s="5">
      <c r="E376" s="7" t="n"/>
      <c r="M376" s="7" t="n"/>
    </row>
    <row r="377" ht="15" customHeight="1" s="5">
      <c r="E377" s="7" t="n"/>
      <c r="M377" s="7" t="n"/>
    </row>
    <row r="378" ht="15" customHeight="1" s="5">
      <c r="E378" s="7" t="n"/>
      <c r="M378" s="7" t="n"/>
    </row>
    <row r="379" ht="15" customHeight="1" s="5">
      <c r="E379" s="7" t="n"/>
      <c r="M379" s="7" t="n"/>
    </row>
    <row r="380" ht="15" customHeight="1" s="5">
      <c r="E380" s="7" t="n"/>
      <c r="M380" s="7" t="n"/>
    </row>
    <row r="381" ht="15" customHeight="1" s="5">
      <c r="E381" s="7" t="n"/>
      <c r="M381" s="7" t="n"/>
    </row>
    <row r="382" ht="15" customHeight="1" s="5">
      <c r="E382" s="7" t="n"/>
      <c r="M382" s="7" t="n"/>
    </row>
    <row r="383" ht="15" customHeight="1" s="5">
      <c r="E383" s="7" t="n"/>
      <c r="M383" s="7" t="n"/>
    </row>
    <row r="384" ht="15" customHeight="1" s="5">
      <c r="E384" s="7" t="n"/>
      <c r="M384" s="7" t="n"/>
    </row>
    <row r="385" ht="15" customHeight="1" s="5">
      <c r="E385" s="7" t="n"/>
      <c r="M385" s="7" t="n"/>
    </row>
    <row r="386" ht="15" customHeight="1" s="5">
      <c r="E386" s="7" t="n"/>
      <c r="M386" s="7" t="n"/>
    </row>
    <row r="387" ht="15" customHeight="1" s="5">
      <c r="E387" s="7" t="n"/>
      <c r="M387" s="7" t="n"/>
    </row>
    <row r="388" ht="15" customHeight="1" s="5">
      <c r="E388" s="7" t="n"/>
      <c r="M388" s="7" t="n"/>
    </row>
    <row r="389" ht="15" customHeight="1" s="5">
      <c r="E389" s="7" t="n"/>
      <c r="M389" s="7" t="n"/>
    </row>
    <row r="390" ht="15" customHeight="1" s="5">
      <c r="E390" s="7" t="n"/>
      <c r="M390" s="7" t="n"/>
    </row>
    <row r="391" ht="15" customHeight="1" s="5">
      <c r="E391" s="7" t="n"/>
      <c r="M391" s="7" t="n"/>
    </row>
    <row r="392" ht="15" customHeight="1" s="5">
      <c r="E392" s="7" t="n"/>
      <c r="M392" s="7" t="n"/>
    </row>
    <row r="393" ht="15" customHeight="1" s="5">
      <c r="E393" s="7" t="n"/>
      <c r="M393" s="7" t="n"/>
    </row>
    <row r="394" ht="15" customHeight="1" s="5">
      <c r="E394" s="7" t="n"/>
      <c r="M394" s="7" t="n"/>
    </row>
    <row r="395" ht="15" customHeight="1" s="5">
      <c r="E395" s="7" t="n"/>
      <c r="M395" s="7" t="n"/>
    </row>
    <row r="396" ht="15" customHeight="1" s="5">
      <c r="E396" s="7" t="n"/>
      <c r="M396" s="7" t="n"/>
    </row>
    <row r="397" ht="15" customHeight="1" s="5">
      <c r="E397" s="7" t="n"/>
      <c r="M397" s="7" t="n"/>
    </row>
    <row r="398" ht="15" customHeight="1" s="5">
      <c r="E398" s="7" t="n"/>
      <c r="M398" s="7" t="n"/>
    </row>
    <row r="399" ht="15" customHeight="1" s="5">
      <c r="E399" s="7" t="n"/>
      <c r="M399" s="7" t="n"/>
    </row>
    <row r="400" ht="15" customHeight="1" s="5">
      <c r="E400" s="7" t="n"/>
      <c r="M400" s="7" t="n"/>
    </row>
    <row r="401" ht="15" customHeight="1" s="5">
      <c r="E401" s="7" t="n"/>
      <c r="M401" s="7" t="n"/>
    </row>
    <row r="402" ht="15" customHeight="1" s="5">
      <c r="E402" s="7" t="n"/>
      <c r="M402" s="7" t="n"/>
    </row>
    <row r="403" ht="15" customHeight="1" s="5">
      <c r="E403" s="7" t="n"/>
      <c r="M403" s="7" t="n"/>
    </row>
    <row r="404" ht="15" customHeight="1" s="5">
      <c r="E404" s="7" t="n"/>
      <c r="M404" s="7" t="n"/>
    </row>
    <row r="405" ht="15" customHeight="1" s="5">
      <c r="E405" s="7" t="n"/>
      <c r="M405" s="7" t="n"/>
    </row>
    <row r="406" ht="15" customHeight="1" s="5">
      <c r="E406" s="7" t="n"/>
      <c r="M406" s="7" t="n"/>
    </row>
    <row r="407" ht="15" customHeight="1" s="5">
      <c r="E407" s="7" t="n"/>
      <c r="M407" s="7" t="n"/>
    </row>
    <row r="408" ht="15" customHeight="1" s="5">
      <c r="E408" s="7" t="n"/>
      <c r="M408" s="7" t="n"/>
    </row>
    <row r="409" ht="15" customHeight="1" s="5">
      <c r="E409" s="7" t="n"/>
      <c r="M409" s="7" t="n"/>
    </row>
    <row r="410" ht="15" customHeight="1" s="5">
      <c r="E410" s="7" t="n"/>
      <c r="M410" s="7" t="n"/>
    </row>
    <row r="411" ht="15" customHeight="1" s="5">
      <c r="E411" s="7" t="n"/>
      <c r="M411" s="7" t="n"/>
    </row>
    <row r="412" ht="15" customHeight="1" s="5">
      <c r="E412" s="7" t="n"/>
      <c r="M412" s="7" t="n"/>
    </row>
    <row r="413" ht="15" customHeight="1" s="5">
      <c r="E413" s="7" t="n"/>
      <c r="M413" s="7" t="n"/>
    </row>
    <row r="414" ht="15" customHeight="1" s="5">
      <c r="E414" s="7" t="n"/>
      <c r="M414" s="7" t="n"/>
    </row>
    <row r="415" ht="15" customHeight="1" s="5">
      <c r="E415" s="7" t="n"/>
      <c r="M415" s="7" t="n"/>
    </row>
    <row r="416" ht="15" customHeight="1" s="5">
      <c r="E416" s="7" t="n"/>
      <c r="M416" s="7" t="n"/>
    </row>
    <row r="417" ht="15" customHeight="1" s="5">
      <c r="E417" s="7" t="n"/>
      <c r="M417" s="7" t="n"/>
    </row>
    <row r="418" ht="15" customHeight="1" s="5">
      <c r="E418" s="7" t="n"/>
      <c r="M418" s="7" t="n"/>
    </row>
    <row r="419" ht="15" customHeight="1" s="5">
      <c r="E419" s="7" t="n"/>
      <c r="M419" s="7" t="n"/>
    </row>
    <row r="420" ht="15" customHeight="1" s="5">
      <c r="E420" s="7" t="n"/>
      <c r="M420" s="7" t="n"/>
    </row>
    <row r="421" ht="15" customHeight="1" s="5">
      <c r="E421" s="7" t="n"/>
      <c r="M421" s="7" t="n"/>
    </row>
    <row r="422" ht="15" customHeight="1" s="5">
      <c r="E422" s="7" t="n"/>
      <c r="M422" s="7" t="n"/>
    </row>
    <row r="423" ht="15" customHeight="1" s="5">
      <c r="E423" s="7" t="n"/>
      <c r="M423" s="7" t="n"/>
    </row>
    <row r="424" ht="15" customHeight="1" s="5">
      <c r="E424" s="7" t="n"/>
      <c r="M424" s="7" t="n"/>
    </row>
    <row r="425" ht="15" customHeight="1" s="5">
      <c r="E425" s="7" t="n"/>
      <c r="M425" s="7" t="n"/>
    </row>
    <row r="426" ht="15" customHeight="1" s="5">
      <c r="E426" s="7" t="n"/>
      <c r="M426" s="7" t="n"/>
    </row>
    <row r="427" ht="15" customHeight="1" s="5">
      <c r="E427" s="7" t="n"/>
      <c r="M427" s="7" t="n"/>
    </row>
    <row r="428" ht="15" customHeight="1" s="5">
      <c r="E428" s="7" t="n"/>
      <c r="M428" s="7" t="n"/>
    </row>
    <row r="429" ht="15" customHeight="1" s="5">
      <c r="E429" s="7" t="n"/>
      <c r="M429" s="7" t="n"/>
    </row>
    <row r="430" ht="15" customHeight="1" s="5">
      <c r="E430" s="7" t="n"/>
      <c r="M430" s="7" t="n"/>
    </row>
    <row r="431" ht="15" customHeight="1" s="5">
      <c r="E431" s="7" t="n"/>
      <c r="M431" s="7" t="n"/>
    </row>
    <row r="432" ht="15" customHeight="1" s="5">
      <c r="E432" s="7" t="n"/>
      <c r="M432" s="7" t="n"/>
    </row>
    <row r="433" ht="15" customHeight="1" s="5">
      <c r="E433" s="7" t="n"/>
      <c r="M433" s="7" t="n"/>
    </row>
    <row r="434" ht="15" customHeight="1" s="5">
      <c r="E434" s="7" t="n"/>
      <c r="M434" s="7" t="n"/>
    </row>
    <row r="435" ht="15" customHeight="1" s="5">
      <c r="E435" s="7" t="n"/>
      <c r="M435" s="7" t="n"/>
    </row>
    <row r="436" ht="15" customHeight="1" s="5">
      <c r="E436" s="7" t="n"/>
      <c r="M436" s="7" t="n"/>
    </row>
    <row r="437" ht="15" customHeight="1" s="5">
      <c r="E437" s="7" t="n"/>
      <c r="M437" s="7" t="n"/>
    </row>
    <row r="438" ht="15" customHeight="1" s="5">
      <c r="E438" s="7" t="n"/>
      <c r="M438" s="7" t="n"/>
    </row>
    <row r="439" ht="15" customHeight="1" s="5">
      <c r="E439" s="7" t="n"/>
      <c r="M439" s="7" t="n"/>
    </row>
    <row r="440" ht="15" customHeight="1" s="5">
      <c r="E440" s="7" t="n"/>
      <c r="M440" s="7" t="n"/>
    </row>
    <row r="441" ht="15" customHeight="1" s="5">
      <c r="E441" s="7" t="n"/>
      <c r="M441" s="7" t="n"/>
    </row>
    <row r="442" ht="15" customHeight="1" s="5">
      <c r="E442" s="7" t="n"/>
      <c r="M442" s="7" t="n"/>
    </row>
    <row r="443" ht="15" customHeight="1" s="5">
      <c r="E443" s="7" t="n"/>
      <c r="M443" s="7" t="n"/>
    </row>
    <row r="444" ht="15" customHeight="1" s="5">
      <c r="E444" s="7" t="n"/>
      <c r="M444" s="7" t="n"/>
    </row>
    <row r="445" ht="15" customHeight="1" s="5">
      <c r="E445" s="7" t="n"/>
      <c r="M445" s="7" t="n"/>
    </row>
    <row r="446" ht="15" customHeight="1" s="5">
      <c r="E446" s="7" t="n"/>
      <c r="M446" s="7" t="n"/>
    </row>
    <row r="447" ht="15" customHeight="1" s="5">
      <c r="E447" s="7" t="n"/>
      <c r="M447" s="7" t="n"/>
    </row>
    <row r="448" ht="15" customHeight="1" s="5">
      <c r="E448" s="7" t="n"/>
      <c r="M448" s="7" t="n"/>
    </row>
    <row r="449" ht="15" customHeight="1" s="5">
      <c r="E449" s="7" t="n"/>
      <c r="M449" s="7" t="n"/>
    </row>
    <row r="450" ht="15" customHeight="1" s="5">
      <c r="E450" s="7" t="n"/>
      <c r="M450" s="7" t="n"/>
    </row>
    <row r="451" ht="15" customHeight="1" s="5">
      <c r="E451" s="7" t="n"/>
      <c r="M451" s="7" t="n"/>
    </row>
    <row r="452" ht="15" customHeight="1" s="5">
      <c r="E452" s="7" t="n"/>
      <c r="M452" s="7" t="n"/>
    </row>
    <row r="453" ht="15" customHeight="1" s="5">
      <c r="E453" s="7" t="n"/>
      <c r="M453" s="7" t="n"/>
    </row>
    <row r="454" ht="15" customHeight="1" s="5">
      <c r="E454" s="7" t="n"/>
      <c r="M454" s="7" t="n"/>
    </row>
    <row r="455" ht="15" customHeight="1" s="5">
      <c r="E455" s="7" t="n"/>
      <c r="M455" s="7" t="n"/>
    </row>
    <row r="456" ht="15" customHeight="1" s="5">
      <c r="E456" s="7" t="n"/>
      <c r="M456" s="7" t="n"/>
    </row>
    <row r="457" ht="15" customHeight="1" s="5">
      <c r="E457" s="7" t="n"/>
      <c r="M457" s="7" t="n"/>
    </row>
    <row r="458" ht="15" customHeight="1" s="5">
      <c r="E458" s="7" t="n"/>
      <c r="M458" s="7" t="n"/>
    </row>
    <row r="459" ht="15" customHeight="1" s="5">
      <c r="E459" s="7" t="n"/>
      <c r="M459" s="7" t="n"/>
    </row>
    <row r="460" ht="15" customHeight="1" s="5">
      <c r="E460" s="7" t="n"/>
      <c r="M460" s="7" t="n"/>
    </row>
    <row r="461" ht="15" customHeight="1" s="5">
      <c r="E461" s="7" t="n"/>
      <c r="M461" s="7" t="n"/>
    </row>
    <row r="462" ht="15" customHeight="1" s="5">
      <c r="E462" s="7" t="n"/>
      <c r="M462" s="7" t="n"/>
    </row>
    <row r="463" ht="15" customHeight="1" s="5">
      <c r="E463" s="7" t="n"/>
      <c r="M463" s="7" t="n"/>
    </row>
    <row r="464" ht="15" customHeight="1" s="5">
      <c r="E464" s="7" t="n"/>
      <c r="M464" s="7" t="n"/>
    </row>
    <row r="465" ht="15" customHeight="1" s="5">
      <c r="E465" s="7" t="n"/>
      <c r="M465" s="7" t="n"/>
    </row>
    <row r="466" ht="15" customHeight="1" s="5">
      <c r="E466" s="7" t="n"/>
      <c r="M466" s="7" t="n"/>
    </row>
    <row r="467" ht="15" customHeight="1" s="5">
      <c r="E467" s="7" t="n"/>
      <c r="M467" s="7" t="n"/>
    </row>
    <row r="468" ht="15" customHeight="1" s="5">
      <c r="E468" s="7" t="n"/>
      <c r="M468" s="7" t="n"/>
    </row>
    <row r="469" ht="15" customHeight="1" s="5">
      <c r="E469" s="7" t="n"/>
      <c r="M469" s="7" t="n"/>
    </row>
    <row r="470" ht="15" customHeight="1" s="5">
      <c r="E470" s="7" t="n"/>
      <c r="M470" s="7" t="n"/>
    </row>
    <row r="471" ht="15" customHeight="1" s="5">
      <c r="E471" s="7" t="n"/>
      <c r="M471" s="7" t="n"/>
    </row>
    <row r="472" ht="15" customHeight="1" s="5">
      <c r="E472" s="7" t="n"/>
      <c r="M472" s="7" t="n"/>
    </row>
    <row r="473" ht="15" customHeight="1" s="5">
      <c r="E473" s="7" t="n"/>
      <c r="M473" s="7" t="n"/>
    </row>
    <row r="474" ht="15" customHeight="1" s="5">
      <c r="E474" s="7" t="n"/>
      <c r="M474" s="7" t="n"/>
    </row>
    <row r="475" ht="15" customHeight="1" s="5">
      <c r="E475" s="7" t="n"/>
      <c r="M475" s="7" t="n"/>
    </row>
    <row r="476" ht="15" customHeight="1" s="5">
      <c r="E476" s="7" t="n"/>
      <c r="M476" s="7" t="n"/>
    </row>
    <row r="477" ht="15" customHeight="1" s="5">
      <c r="E477" s="7" t="n"/>
      <c r="M477" s="7" t="n"/>
    </row>
    <row r="478" ht="15" customHeight="1" s="5">
      <c r="E478" s="7" t="n"/>
      <c r="M478" s="7" t="n"/>
    </row>
    <row r="479" ht="15" customHeight="1" s="5">
      <c r="E479" s="7" t="n"/>
      <c r="M479" s="7" t="n"/>
    </row>
    <row r="480" ht="15" customHeight="1" s="5">
      <c r="E480" s="7" t="n"/>
      <c r="M480" s="7" t="n"/>
    </row>
    <row r="481" ht="15" customHeight="1" s="5">
      <c r="E481" s="7" t="n"/>
      <c r="M481" s="7" t="n"/>
    </row>
    <row r="482" ht="15" customHeight="1" s="5">
      <c r="E482" s="7" t="n"/>
      <c r="M482" s="7" t="n"/>
    </row>
    <row r="483" ht="15" customHeight="1" s="5">
      <c r="E483" s="7" t="n"/>
      <c r="M483" s="7" t="n"/>
    </row>
    <row r="484" ht="15" customHeight="1" s="5">
      <c r="E484" s="7" t="n"/>
      <c r="M484" s="7" t="n"/>
    </row>
    <row r="485" ht="15" customHeight="1" s="5">
      <c r="E485" s="7" t="n"/>
      <c r="M485" s="7" t="n"/>
    </row>
    <row r="486" ht="15" customHeight="1" s="5">
      <c r="E486" s="7" t="n"/>
      <c r="M486" s="7" t="n"/>
    </row>
    <row r="487" ht="15" customHeight="1" s="5">
      <c r="E487" s="7" t="n"/>
      <c r="M487" s="7" t="n"/>
    </row>
    <row r="488" ht="15" customHeight="1" s="5">
      <c r="E488" s="7" t="n"/>
      <c r="M488" s="7" t="n"/>
    </row>
    <row r="489" ht="15" customHeight="1" s="5">
      <c r="E489" s="7" t="n"/>
      <c r="M489" s="7" t="n"/>
    </row>
    <row r="490" ht="15" customHeight="1" s="5">
      <c r="E490" s="7" t="n"/>
      <c r="M490" s="7" t="n"/>
    </row>
    <row r="491" ht="15" customHeight="1" s="5">
      <c r="E491" s="7" t="n"/>
      <c r="M491" s="7" t="n"/>
    </row>
    <row r="492" ht="15" customHeight="1" s="5">
      <c r="E492" s="7" t="n"/>
      <c r="M492" s="7" t="n"/>
    </row>
    <row r="493" ht="15" customHeight="1" s="5">
      <c r="E493" s="7" t="n"/>
      <c r="M493" s="7" t="n"/>
    </row>
    <row r="494" ht="15" customHeight="1" s="5">
      <c r="E494" s="7" t="n"/>
      <c r="M494" s="7" t="n"/>
    </row>
    <row r="495" ht="15" customHeight="1" s="5">
      <c r="E495" s="7" t="n"/>
      <c r="M495" s="7" t="n"/>
    </row>
    <row r="496" ht="15" customHeight="1" s="5">
      <c r="E496" s="7" t="n"/>
      <c r="M496" s="7" t="n"/>
    </row>
    <row r="497" ht="15" customHeight="1" s="5">
      <c r="E497" s="7" t="n"/>
      <c r="M497" s="7" t="n"/>
    </row>
    <row r="498" ht="15" customHeight="1" s="5">
      <c r="E498" s="7" t="n"/>
      <c r="M498" s="7" t="n"/>
    </row>
    <row r="499" ht="15" customHeight="1" s="5">
      <c r="E499" s="7" t="n"/>
      <c r="M499" s="7" t="n"/>
    </row>
    <row r="500" ht="15" customHeight="1" s="5">
      <c r="E500" s="7" t="n"/>
      <c r="M500" s="7" t="n"/>
    </row>
    <row r="501" ht="15" customHeight="1" s="5">
      <c r="E501" s="7" t="n"/>
      <c r="M501" s="7" t="n"/>
    </row>
    <row r="502" ht="15" customHeight="1" s="5">
      <c r="E502" s="7" t="n"/>
      <c r="M502" s="7" t="n"/>
    </row>
    <row r="503" ht="15" customHeight="1" s="5">
      <c r="E503" s="7" t="n"/>
      <c r="M503" s="7" t="n"/>
    </row>
    <row r="504" ht="15" customHeight="1" s="5">
      <c r="E504" s="7" t="n"/>
      <c r="M504" s="7" t="n"/>
    </row>
    <row r="505" ht="15" customHeight="1" s="5">
      <c r="E505" s="7" t="n"/>
      <c r="M505" s="7" t="n"/>
    </row>
    <row r="506" ht="15" customHeight="1" s="5">
      <c r="E506" s="7" t="n"/>
      <c r="M506" s="7" t="n"/>
    </row>
    <row r="507" ht="15" customHeight="1" s="5">
      <c r="E507" s="7" t="n"/>
      <c r="M507" s="7" t="n"/>
    </row>
    <row r="508" ht="15" customHeight="1" s="5">
      <c r="E508" s="7" t="n"/>
      <c r="M508" s="7" t="n"/>
    </row>
    <row r="509" ht="15" customHeight="1" s="5">
      <c r="E509" s="7" t="n"/>
      <c r="M509" s="7" t="n"/>
    </row>
    <row r="510" ht="15" customHeight="1" s="5">
      <c r="E510" s="7" t="n"/>
      <c r="M510" s="7" t="n"/>
    </row>
    <row r="511" ht="15" customHeight="1" s="5">
      <c r="E511" s="7" t="n"/>
      <c r="M511" s="7" t="n"/>
    </row>
    <row r="512" ht="15" customHeight="1" s="5">
      <c r="E512" s="7" t="n"/>
      <c r="M512" s="7" t="n"/>
    </row>
    <row r="513" ht="15" customHeight="1" s="5">
      <c r="E513" s="7" t="n"/>
      <c r="M513" s="7" t="n"/>
    </row>
    <row r="514" ht="15" customHeight="1" s="5">
      <c r="E514" s="7" t="n"/>
      <c r="M514" s="7" t="n"/>
    </row>
    <row r="515" ht="15" customHeight="1" s="5">
      <c r="E515" s="7" t="n"/>
      <c r="M515" s="7" t="n"/>
    </row>
    <row r="516" ht="15" customHeight="1" s="5">
      <c r="E516" s="7" t="n"/>
      <c r="M516" s="7" t="n"/>
    </row>
    <row r="517" ht="15" customHeight="1" s="5">
      <c r="E517" s="7" t="n"/>
      <c r="M517" s="7" t="n"/>
    </row>
    <row r="518" ht="15" customHeight="1" s="5">
      <c r="E518" s="7" t="n"/>
      <c r="M518" s="7" t="n"/>
    </row>
    <row r="519" ht="15" customHeight="1" s="5">
      <c r="E519" s="7" t="n"/>
      <c r="M519" s="7" t="n"/>
    </row>
    <row r="520" ht="15" customHeight="1" s="5">
      <c r="E520" s="7" t="n"/>
      <c r="M520" s="7" t="n"/>
    </row>
    <row r="521" ht="15" customHeight="1" s="5">
      <c r="E521" s="7" t="n"/>
      <c r="M521" s="7" t="n"/>
    </row>
    <row r="522" ht="15" customHeight="1" s="5">
      <c r="E522" s="7" t="n"/>
      <c r="M522" s="7" t="n"/>
    </row>
    <row r="523" ht="15" customHeight="1" s="5">
      <c r="E523" s="7" t="n"/>
      <c r="M523" s="7" t="n"/>
    </row>
    <row r="524" ht="15" customHeight="1" s="5">
      <c r="E524" s="7" t="n"/>
      <c r="M524" s="7" t="n"/>
    </row>
    <row r="525" ht="15" customHeight="1" s="5">
      <c r="E525" s="7" t="n"/>
      <c r="M525" s="7" t="n"/>
    </row>
    <row r="526" ht="15" customHeight="1" s="5">
      <c r="E526" s="7" t="n"/>
      <c r="M526" s="7" t="n"/>
    </row>
    <row r="527" ht="15" customHeight="1" s="5">
      <c r="E527" s="7" t="n"/>
      <c r="M527" s="7" t="n"/>
    </row>
    <row r="528" ht="15" customHeight="1" s="5">
      <c r="E528" s="7" t="n"/>
      <c r="M528" s="7" t="n"/>
    </row>
    <row r="529" ht="15" customHeight="1" s="5">
      <c r="E529" s="7" t="n"/>
      <c r="M529" s="7" t="n"/>
    </row>
    <row r="530" ht="15" customHeight="1" s="5">
      <c r="E530" s="7" t="n"/>
      <c r="M530" s="7" t="n"/>
    </row>
    <row r="531" ht="15" customHeight="1" s="5">
      <c r="E531" s="7" t="n"/>
      <c r="M531" s="7" t="n"/>
    </row>
    <row r="532" ht="15" customHeight="1" s="5">
      <c r="E532" s="7" t="n"/>
      <c r="M532" s="7" t="n"/>
    </row>
    <row r="533" ht="15" customHeight="1" s="5">
      <c r="E533" s="7" t="n"/>
      <c r="M533" s="7" t="n"/>
    </row>
    <row r="534" ht="15" customHeight="1" s="5">
      <c r="E534" s="7" t="n"/>
      <c r="M534" s="7" t="n"/>
    </row>
    <row r="535" ht="15" customHeight="1" s="5">
      <c r="E535" s="7" t="n"/>
      <c r="M535" s="7" t="n"/>
    </row>
    <row r="536" ht="15" customHeight="1" s="5">
      <c r="E536" s="7" t="n"/>
      <c r="M536" s="7" t="n"/>
    </row>
    <row r="537" ht="15" customHeight="1" s="5">
      <c r="E537" s="7" t="n"/>
      <c r="M537" s="7" t="n"/>
    </row>
    <row r="538" ht="15" customHeight="1" s="5">
      <c r="E538" s="7" t="n"/>
      <c r="M538" s="7" t="n"/>
    </row>
    <row r="539" ht="15" customHeight="1" s="5">
      <c r="E539" s="7" t="n"/>
      <c r="M539" s="7" t="n"/>
    </row>
    <row r="540" ht="15" customHeight="1" s="5">
      <c r="E540" s="7" t="n"/>
      <c r="M540" s="7" t="n"/>
    </row>
    <row r="541" ht="15" customHeight="1" s="5">
      <c r="E541" s="7" t="n"/>
      <c r="M541" s="7" t="n"/>
    </row>
    <row r="542" ht="15" customHeight="1" s="5">
      <c r="E542" s="7" t="n"/>
      <c r="M542" s="7" t="n"/>
    </row>
    <row r="543" ht="15" customHeight="1" s="5">
      <c r="E543" s="7" t="n"/>
      <c r="M543" s="7" t="n"/>
    </row>
    <row r="544" ht="15" customHeight="1" s="5">
      <c r="E544" s="7" t="n"/>
      <c r="M544" s="7" t="n"/>
    </row>
    <row r="545" ht="15" customHeight="1" s="5">
      <c r="E545" s="7" t="n"/>
      <c r="M545" s="7" t="n"/>
    </row>
    <row r="546" ht="15" customHeight="1" s="5">
      <c r="E546" s="7" t="n"/>
      <c r="M546" s="7" t="n"/>
    </row>
    <row r="547" ht="15" customHeight="1" s="5">
      <c r="E547" s="7" t="n"/>
      <c r="M547" s="7" t="n"/>
    </row>
    <row r="548" ht="15" customHeight="1" s="5">
      <c r="E548" s="7" t="n"/>
      <c r="M548" s="7" t="n"/>
    </row>
    <row r="549" ht="15" customHeight="1" s="5">
      <c r="E549" s="7" t="n"/>
      <c r="M549" s="7" t="n"/>
    </row>
    <row r="550" ht="15" customHeight="1" s="5">
      <c r="E550" s="7" t="n"/>
      <c r="M550" s="7" t="n"/>
    </row>
    <row r="551" ht="15" customHeight="1" s="5">
      <c r="E551" s="7" t="n"/>
      <c r="M551" s="7" t="n"/>
    </row>
    <row r="552" ht="15" customHeight="1" s="5">
      <c r="E552" s="7" t="n"/>
      <c r="M552" s="7" t="n"/>
    </row>
    <row r="553" ht="15" customHeight="1" s="5">
      <c r="E553" s="7" t="n"/>
      <c r="M553" s="7" t="n"/>
    </row>
    <row r="554" ht="15" customHeight="1" s="5">
      <c r="E554" s="7" t="n"/>
      <c r="M554" s="7" t="n"/>
    </row>
    <row r="555" ht="15" customHeight="1" s="5">
      <c r="E555" s="7" t="n"/>
      <c r="M555" s="7" t="n"/>
    </row>
    <row r="556" ht="15" customHeight="1" s="5">
      <c r="E556" s="7" t="n"/>
      <c r="M556" s="7" t="n"/>
    </row>
    <row r="557" ht="15" customHeight="1" s="5">
      <c r="E557" s="7" t="n"/>
      <c r="M557" s="7" t="n"/>
    </row>
    <row r="558" ht="15" customHeight="1" s="5">
      <c r="E558" s="7" t="n"/>
      <c r="M558" s="7" t="n"/>
    </row>
    <row r="559" ht="15" customHeight="1" s="5">
      <c r="E559" s="7" t="n"/>
      <c r="M559" s="7" t="n"/>
    </row>
    <row r="560" ht="15" customHeight="1" s="5">
      <c r="E560" s="7" t="n"/>
      <c r="M560" s="7" t="n"/>
    </row>
    <row r="561" ht="15" customHeight="1" s="5">
      <c r="E561" s="7" t="n"/>
      <c r="M561" s="7" t="n"/>
    </row>
    <row r="562" ht="15" customHeight="1" s="5">
      <c r="E562" s="7" t="n"/>
      <c r="M562" s="7" t="n"/>
    </row>
    <row r="563" ht="15" customHeight="1" s="5">
      <c r="E563" s="7" t="n"/>
      <c r="M563" s="7" t="n"/>
    </row>
    <row r="564" ht="15" customHeight="1" s="5">
      <c r="E564" s="7" t="n"/>
      <c r="M564" s="7" t="n"/>
    </row>
    <row r="565" ht="15" customHeight="1" s="5">
      <c r="E565" s="7" t="n"/>
      <c r="M565" s="7" t="n"/>
    </row>
    <row r="566" ht="15" customHeight="1" s="5">
      <c r="E566" s="7" t="n"/>
      <c r="M566" s="7" t="n"/>
    </row>
    <row r="567" ht="15" customHeight="1" s="5">
      <c r="E567" s="7" t="n"/>
      <c r="M567" s="7" t="n"/>
    </row>
    <row r="568" ht="15" customHeight="1" s="5">
      <c r="E568" s="7" t="n"/>
      <c r="M568" s="7" t="n"/>
    </row>
    <row r="569" ht="15" customHeight="1" s="5">
      <c r="E569" s="7" t="n"/>
      <c r="M569" s="7" t="n"/>
    </row>
    <row r="570" ht="15" customHeight="1" s="5">
      <c r="E570" s="7" t="n"/>
      <c r="M570" s="7" t="n"/>
    </row>
    <row r="571" ht="15" customHeight="1" s="5">
      <c r="E571" s="7" t="n"/>
      <c r="M571" s="7" t="n"/>
    </row>
    <row r="572" ht="15" customHeight="1" s="5">
      <c r="E572" s="7" t="n"/>
      <c r="M572" s="7" t="n"/>
    </row>
    <row r="573" ht="15" customHeight="1" s="5">
      <c r="E573" s="7" t="n"/>
      <c r="M573" s="7" t="n"/>
    </row>
    <row r="574" ht="15" customHeight="1" s="5">
      <c r="E574" s="7" t="n"/>
      <c r="M574" s="7" t="n"/>
    </row>
    <row r="575" ht="15" customHeight="1" s="5">
      <c r="E575" s="7" t="n"/>
      <c r="M575" s="7" t="n"/>
    </row>
    <row r="576" ht="15" customHeight="1" s="5">
      <c r="E576" s="7" t="n"/>
      <c r="M576" s="7" t="n"/>
    </row>
    <row r="577" ht="15" customHeight="1" s="5">
      <c r="E577" s="7" t="n"/>
      <c r="M577" s="7" t="n"/>
    </row>
    <row r="578" ht="15" customHeight="1" s="5">
      <c r="E578" s="7" t="n"/>
      <c r="M578" s="7" t="n"/>
    </row>
    <row r="579" ht="15" customHeight="1" s="5">
      <c r="E579" s="7" t="n"/>
      <c r="M579" s="7" t="n"/>
    </row>
    <row r="580" ht="15" customHeight="1" s="5">
      <c r="E580" s="7" t="n"/>
      <c r="M580" s="7" t="n"/>
    </row>
    <row r="581" ht="15" customHeight="1" s="5">
      <c r="E581" s="7" t="n"/>
      <c r="M581" s="7" t="n"/>
    </row>
  </sheetData>
  <dataValidations count="4">
    <dataValidation sqref="M2:M581" showDropDown="0" showInputMessage="0" showErrorMessage="0" allowBlank="1" errorTitle="Not in Config list" error="Value not in Config; will still be saved." promptTitle="Benefit Status" prompt="Pick from Config → Benefit Status" type="list" errorStyle="warning" operator="between">
      <formula1>"Planned,In Progress,Realised,At Risk"</formula1>
      <formula2>0</formula2>
    </dataValidation>
    <dataValidation sqref="E2:E581" showDropDown="0" showInputMessage="0" showErrorMessage="0" allowBlank="1" errorTitle="Not in Config list" error="Value not in Config; will still be saved." promptTitle="Benefit Category" prompt="Pick from Config → Benefit Category" type="list" errorStyle="warning" operator="between">
      <formula1>"Cost Savings,Revenue Uplift,Productivity,Risk Avoidance,Compliance"</formula1>
      <formula2>0</formula2>
    </dataValidation>
    <dataValidation sqref="M2:M1081" showDropDown="0" showInputMessage="0" showErrorMessage="0" allowBlank="1" errorTitle="Not in Config list" error="Value not in Config; will still be saved." promptTitle="Benefit Status" prompt="Pick from Config → Benefit Status" type="list" errorStyle="warning">
      <formula1>"Planned,In Progress,Realised,At Risk"</formula1>
    </dataValidation>
    <dataValidation sqref="E2:E1081" showDropDown="0" showInputMessage="0" showErrorMessage="0" allowBlank="1" errorTitle="Not in Config list" error="Value not in Config; will still be saved." promptTitle="Benefit Category" prompt="Pick from Config → Benefit Category" type="list" errorStyle="warning">
      <formula1>"Cost Savings,Revenue Uplift,Productivity,Risk Avoidance,Compliance"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5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Decision ID</t>
        </is>
      </c>
      <c r="B1" s="6" t="inlineStr">
        <is>
          <t>Type</t>
        </is>
      </c>
      <c r="C1" s="6" t="inlineStr">
        <is>
          <t>Project ID</t>
        </is>
      </c>
      <c r="D1" s="6" t="inlineStr">
        <is>
          <t>Program</t>
        </is>
      </c>
      <c r="E1" s="6" t="inlineStr">
        <is>
          <t>Description</t>
        </is>
      </c>
      <c r="F1" s="6" t="inlineStr">
        <is>
          <t>Required By</t>
        </is>
      </c>
      <c r="G1" s="6" t="inlineStr">
        <is>
          <t>Owner</t>
        </is>
      </c>
      <c r="H1" s="6" t="inlineStr">
        <is>
          <t>Due Date</t>
        </is>
      </c>
      <c r="I1" s="6" t="inlineStr">
        <is>
          <t>Priority</t>
        </is>
      </c>
      <c r="J1" s="6" t="inlineStr">
        <is>
          <t>Status</t>
        </is>
      </c>
      <c r="K1" s="6" t="inlineStr">
        <is>
          <t>Outcome</t>
        </is>
      </c>
      <c r="L1" s="6" t="inlineStr">
        <is>
          <t>Approval Date</t>
        </is>
      </c>
    </row>
    <row r="2" ht="15" customHeight="1" s="5">
      <c r="A2" s="7" t="inlineStr">
        <is>
          <t>DEC001</t>
        </is>
      </c>
      <c r="B2" s="7" t="inlineStr">
        <is>
          <t>General</t>
        </is>
      </c>
      <c r="D2" s="7">
        <f>IFERROR(VLOOKUP(C2,Projects!$A:$AK,3,FALSE()),"")</f>
        <v/>
      </c>
      <c r="E2" s="7" t="inlineStr">
        <is>
          <t>Approve full project funding</t>
        </is>
      </c>
      <c r="F2" s="7" t="inlineStr">
        <is>
          <t>CIO</t>
        </is>
      </c>
      <c r="G2" s="7" t="inlineStr">
        <is>
          <t>Mike Johnson</t>
        </is>
      </c>
      <c r="H2" s="8" t="n">
        <v>46146</v>
      </c>
      <c r="I2" s="7">
        <f>IFERROR(VLOOKUP(C2,Projects!$A:$AK,10,FALSE()),"")</f>
        <v/>
      </c>
      <c r="J2" s="7" t="inlineStr">
        <is>
          <t>Closed</t>
        </is>
      </c>
    </row>
    <row r="3" ht="15" customHeight="1" s="5">
      <c r="A3" s="7" t="inlineStr">
        <is>
          <t>DEC002</t>
        </is>
      </c>
      <c r="B3" s="7" t="inlineStr">
        <is>
          <t>Project</t>
        </is>
      </c>
      <c r="C3" s="7" t="inlineStr">
        <is>
          <t>PRJ007</t>
        </is>
      </c>
      <c r="D3" s="7">
        <f>IFERROR(VLOOKUP(C3,Projects!$A:$AK,3,FALSE()),"")</f>
        <v/>
      </c>
      <c r="E3" s="7" t="inlineStr">
        <is>
          <t>Approve architecture pattern</t>
        </is>
      </c>
      <c r="F3" s="7" t="inlineStr">
        <is>
          <t>CIO</t>
        </is>
      </c>
      <c r="G3" s="7" t="inlineStr">
        <is>
          <t>Sarah Lee</t>
        </is>
      </c>
      <c r="H3" s="8" t="n">
        <v>46226</v>
      </c>
      <c r="I3" s="7">
        <f>IFERROR(VLOOKUP(C3,Projects!$A:$AK,10,FALSE()),"")</f>
        <v/>
      </c>
      <c r="J3" s="7" t="inlineStr">
        <is>
          <t>Closed</t>
        </is>
      </c>
    </row>
    <row r="4" ht="15" customHeight="1" s="5">
      <c r="A4" s="7" t="inlineStr">
        <is>
          <t>DEC003</t>
        </is>
      </c>
      <c r="B4" s="7" t="inlineStr">
        <is>
          <t>SteerCo</t>
        </is>
      </c>
      <c r="C4" s="7" t="inlineStr">
        <is>
          <t>PRJ032</t>
        </is>
      </c>
      <c r="D4" s="7">
        <f>IFERROR(VLOOKUP(C4,Projects!$A:$AK,3,FALSE()),"")</f>
        <v/>
      </c>
      <c r="E4" s="7" t="inlineStr">
        <is>
          <t>Defer benefits realisation date</t>
        </is>
      </c>
      <c r="F4" s="7" t="inlineStr">
        <is>
          <t>COO</t>
        </is>
      </c>
      <c r="G4" s="7" t="inlineStr">
        <is>
          <t>Alex Brown</t>
        </is>
      </c>
      <c r="H4" s="8" t="n">
        <v>46218</v>
      </c>
      <c r="I4" s="7">
        <f>IFERROR(VLOOKUP(C4,Projects!$A:$AK,10,FALSE()),"")</f>
        <v/>
      </c>
      <c r="J4" s="7" t="inlineStr">
        <is>
          <t>Approved</t>
        </is>
      </c>
    </row>
    <row r="5" ht="15" customHeight="1" s="5">
      <c r="A5" s="7" t="inlineStr">
        <is>
          <t>DEC004</t>
        </is>
      </c>
      <c r="B5" s="7" t="inlineStr">
        <is>
          <t>Architecture</t>
        </is>
      </c>
      <c r="C5" s="7" t="inlineStr">
        <is>
          <t>PRJ021</t>
        </is>
      </c>
      <c r="D5" s="7">
        <f>IFERROR(VLOOKUP(C5,Projects!$A:$AK,3,FALSE()),"")</f>
        <v/>
      </c>
      <c r="E5" s="7" t="inlineStr">
        <is>
          <t>Cut scope of MVP</t>
        </is>
      </c>
      <c r="F5" s="7" t="inlineStr">
        <is>
          <t>CMO</t>
        </is>
      </c>
      <c r="G5" s="7" t="inlineStr">
        <is>
          <t>Sarah Lee</t>
        </is>
      </c>
      <c r="H5" s="8" t="n">
        <v>46118</v>
      </c>
      <c r="I5" s="7">
        <f>IFERROR(VLOOKUP(C5,Projects!$A:$AK,10,FALSE()),"")</f>
        <v/>
      </c>
      <c r="J5" s="7" t="inlineStr">
        <is>
          <t>Open</t>
        </is>
      </c>
    </row>
    <row r="6" ht="15" customHeight="1" s="5">
      <c r="A6" s="7" t="inlineStr">
        <is>
          <t>DEC005</t>
        </is>
      </c>
      <c r="B6" s="7" t="inlineStr">
        <is>
          <t>Architecture</t>
        </is>
      </c>
      <c r="C6" s="7" t="inlineStr">
        <is>
          <t>PRJ007</t>
        </is>
      </c>
      <c r="D6" s="7">
        <f>IFERROR(VLOOKUP(C6,Projects!$A:$AK,3,FALSE()),"")</f>
        <v/>
      </c>
      <c r="E6" s="7" t="inlineStr">
        <is>
          <t>Re-baseline schedule</t>
        </is>
      </c>
      <c r="F6" s="7" t="inlineStr">
        <is>
          <t>CMO</t>
        </is>
      </c>
      <c r="G6" s="7" t="inlineStr">
        <is>
          <t>Priya Patel</t>
        </is>
      </c>
      <c r="H6" s="8" t="n">
        <v>46115</v>
      </c>
      <c r="I6" s="7">
        <f>IFERROR(VLOOKUP(C6,Projects!$A:$AK,10,FALSE()),"")</f>
        <v/>
      </c>
      <c r="J6" s="7" t="inlineStr">
        <is>
          <t>Open</t>
        </is>
      </c>
    </row>
    <row r="7" ht="15" customHeight="1" s="5">
      <c r="A7" s="7" t="inlineStr">
        <is>
          <t>DEC006</t>
        </is>
      </c>
      <c r="B7" s="7" t="inlineStr">
        <is>
          <t>Program</t>
        </is>
      </c>
      <c r="C7" s="7" t="inlineStr">
        <is>
          <t>PRJ034</t>
        </is>
      </c>
      <c r="D7" s="7">
        <f>IFERROR(VLOOKUP(C7,Projects!$A:$AK,3,FALSE()),"")</f>
        <v/>
      </c>
      <c r="E7" s="7" t="inlineStr">
        <is>
          <t>Accept residual risk</t>
        </is>
      </c>
      <c r="F7" s="7" t="inlineStr">
        <is>
          <t>CFO</t>
        </is>
      </c>
      <c r="G7" s="7" t="inlineStr">
        <is>
          <t>Mike Johnson</t>
        </is>
      </c>
      <c r="H7" s="8" t="n">
        <v>46178</v>
      </c>
      <c r="I7" s="7">
        <f>IFERROR(VLOOKUP(C7,Projects!$A:$AK,10,FALSE()),"")</f>
        <v/>
      </c>
      <c r="J7" s="7" t="inlineStr">
        <is>
          <t>Closed</t>
        </is>
      </c>
    </row>
    <row r="8" ht="15" customHeight="1" s="5">
      <c r="A8" s="7" t="inlineStr">
        <is>
          <t>DEC007</t>
        </is>
      </c>
      <c r="B8" s="7" t="inlineStr">
        <is>
          <t>General</t>
        </is>
      </c>
      <c r="C8" s="7" t="inlineStr">
        <is>
          <t>PRJ033</t>
        </is>
      </c>
      <c r="D8" s="7">
        <f>IFERROR(VLOOKUP(C8,Projects!$A:$AK,3,FALSE()),"")</f>
        <v/>
      </c>
      <c r="E8" s="7" t="inlineStr">
        <is>
          <t>Accept residual risk</t>
        </is>
      </c>
      <c r="F8" s="7" t="inlineStr">
        <is>
          <t>CFO</t>
        </is>
      </c>
      <c r="G8" s="7" t="inlineStr">
        <is>
          <t>John Smith</t>
        </is>
      </c>
      <c r="H8" s="8" t="n">
        <v>46199</v>
      </c>
      <c r="I8" s="7">
        <f>IFERROR(VLOOKUP(C8,Projects!$A:$AK,10,FALSE()),"")</f>
        <v/>
      </c>
      <c r="J8" s="7" t="inlineStr">
        <is>
          <t>Approved</t>
        </is>
      </c>
    </row>
    <row r="9" ht="15" customHeight="1" s="5">
      <c r="A9" s="7" t="inlineStr">
        <is>
          <t>DEC008</t>
        </is>
      </c>
      <c r="B9" s="7" t="inlineStr">
        <is>
          <t>Architecture</t>
        </is>
      </c>
      <c r="C9" s="7" t="inlineStr">
        <is>
          <t>PRJ003</t>
        </is>
      </c>
      <c r="D9" s="7">
        <f>IFERROR(VLOOKUP(C9,Projects!$A:$AK,3,FALSE()),"")</f>
        <v/>
      </c>
      <c r="E9" s="7" t="inlineStr">
        <is>
          <t>Accept residual risk</t>
        </is>
      </c>
      <c r="F9" s="7" t="inlineStr">
        <is>
          <t>CMO</t>
        </is>
      </c>
      <c r="G9" s="7" t="inlineStr">
        <is>
          <t>Jane Doe</t>
        </is>
      </c>
      <c r="H9" s="8" t="n">
        <v>46028</v>
      </c>
      <c r="I9" s="7">
        <f>IFERROR(VLOOKUP(C9,Projects!$A:$AK,10,FALSE()),"")</f>
        <v/>
      </c>
      <c r="J9" s="7" t="inlineStr">
        <is>
          <t>Rejected</t>
        </is>
      </c>
    </row>
    <row r="10" ht="15" customHeight="1" s="5">
      <c r="A10" s="7" t="inlineStr">
        <is>
          <t>DEC009</t>
        </is>
      </c>
      <c r="B10" s="7" t="inlineStr">
        <is>
          <t>Program</t>
        </is>
      </c>
      <c r="C10" s="7" t="inlineStr">
        <is>
          <t>PRJ023</t>
        </is>
      </c>
      <c r="D10" s="7">
        <f>IFERROR(VLOOKUP(C10,Projects!$A:$AK,3,FALSE()),"")</f>
        <v/>
      </c>
      <c r="E10" s="7" t="inlineStr">
        <is>
          <t>Re-baseline schedule</t>
        </is>
      </c>
      <c r="F10" s="7" t="inlineStr">
        <is>
          <t>CIO</t>
        </is>
      </c>
      <c r="G10" s="7" t="inlineStr">
        <is>
          <t>Priya Patel</t>
        </is>
      </c>
      <c r="H10" s="8" t="n">
        <v>46126</v>
      </c>
      <c r="I10" s="7">
        <f>IFERROR(VLOOKUP(C10,Projects!$A:$AK,10,FALSE()),"")</f>
        <v/>
      </c>
      <c r="J10" s="7" t="inlineStr">
        <is>
          <t>Approved</t>
        </is>
      </c>
    </row>
    <row r="11" ht="15" customHeight="1" s="5">
      <c r="A11" s="7" t="inlineStr">
        <is>
          <t>DEC010</t>
        </is>
      </c>
      <c r="B11" s="7" t="inlineStr">
        <is>
          <t>Funding</t>
        </is>
      </c>
      <c r="C11" s="7" t="inlineStr">
        <is>
          <t>PRJ010</t>
        </is>
      </c>
      <c r="D11" s="7">
        <f>IFERROR(VLOOKUP(C11,Projects!$A:$AK,3,FALSE()),"")</f>
        <v/>
      </c>
      <c r="E11" s="7" t="inlineStr">
        <is>
          <t>Choose vendor for cloud migration</t>
        </is>
      </c>
      <c r="F11" s="7" t="inlineStr">
        <is>
          <t>CMO</t>
        </is>
      </c>
      <c r="G11" s="7" t="inlineStr">
        <is>
          <t>Carlos Diaz</t>
        </is>
      </c>
      <c r="H11" s="8" t="n">
        <v>46179</v>
      </c>
      <c r="I11" s="7">
        <f>IFERROR(VLOOKUP(C11,Projects!$A:$AK,10,FALSE()),"")</f>
        <v/>
      </c>
      <c r="J11" s="7" t="inlineStr">
        <is>
          <t>Approved</t>
        </is>
      </c>
    </row>
    <row r="12" ht="15" customHeight="1" s="5">
      <c r="A12" s="7" t="inlineStr">
        <is>
          <t>DEC011</t>
        </is>
      </c>
      <c r="B12" s="7" t="inlineStr">
        <is>
          <t>General</t>
        </is>
      </c>
      <c r="C12" s="7" t="inlineStr">
        <is>
          <t>PRJ011</t>
        </is>
      </c>
      <c r="D12" s="7">
        <f>IFERROR(VLOOKUP(C12,Projects!$A:$AK,3,FALSE()),"")</f>
        <v/>
      </c>
      <c r="E12" s="7" t="inlineStr">
        <is>
          <t>Approve full project funding</t>
        </is>
      </c>
      <c r="F12" s="7" t="inlineStr">
        <is>
          <t>CMO</t>
        </is>
      </c>
      <c r="G12" s="7" t="inlineStr">
        <is>
          <t>Priya Patel</t>
        </is>
      </c>
      <c r="H12" s="8" t="n">
        <v>46237</v>
      </c>
      <c r="I12" s="7">
        <f>IFERROR(VLOOKUP(C12,Projects!$A:$AK,10,FALSE()),"")</f>
        <v/>
      </c>
      <c r="J12" s="7" t="inlineStr">
        <is>
          <t>In Review</t>
        </is>
      </c>
    </row>
    <row r="13" ht="15" customHeight="1" s="5">
      <c r="A13" s="7" t="inlineStr">
        <is>
          <t>DEC012</t>
        </is>
      </c>
      <c r="B13" s="7" t="inlineStr">
        <is>
          <t>Funding</t>
        </is>
      </c>
      <c r="C13" s="7" t="inlineStr">
        <is>
          <t>PRJ011</t>
        </is>
      </c>
      <c r="D13" s="7">
        <f>IFERROR(VLOOKUP(C13,Projects!$A:$AK,3,FALSE()),"")</f>
        <v/>
      </c>
      <c r="E13" s="7" t="inlineStr">
        <is>
          <t>Approve full project funding</t>
        </is>
      </c>
      <c r="F13" s="7" t="inlineStr">
        <is>
          <t>CMO</t>
        </is>
      </c>
      <c r="G13" s="7" t="inlineStr">
        <is>
          <t>Priya Patel</t>
        </is>
      </c>
      <c r="H13" s="8" t="n">
        <v>46086</v>
      </c>
      <c r="I13" s="7">
        <f>IFERROR(VLOOKUP(C13,Projects!$A:$AK,10,FALSE()),"")</f>
        <v/>
      </c>
      <c r="J13" s="7" t="inlineStr">
        <is>
          <t>In Review</t>
        </is>
      </c>
    </row>
    <row r="14" ht="15" customHeight="1" s="5">
      <c r="A14" s="7" t="inlineStr">
        <is>
          <t>DEC013</t>
        </is>
      </c>
      <c r="B14" s="7" t="inlineStr">
        <is>
          <t>Risk</t>
        </is>
      </c>
      <c r="C14" s="7" t="inlineStr">
        <is>
          <t>PRJ018</t>
        </is>
      </c>
      <c r="D14" s="7">
        <f>IFERROR(VLOOKUP(C14,Projects!$A:$AK,3,FALSE()),"")</f>
        <v/>
      </c>
      <c r="E14" s="7" t="inlineStr">
        <is>
          <t>Accept residual risk</t>
        </is>
      </c>
      <c r="F14" s="7" t="inlineStr">
        <is>
          <t>COO</t>
        </is>
      </c>
      <c r="G14" s="7" t="inlineStr">
        <is>
          <t>Priya Patel</t>
        </is>
      </c>
      <c r="H14" s="8" t="n">
        <v>46107</v>
      </c>
      <c r="I14" s="7">
        <f>IFERROR(VLOOKUP(C14,Projects!$A:$AK,10,FALSE()),"")</f>
        <v/>
      </c>
      <c r="J14" s="7" t="inlineStr">
        <is>
          <t>Open</t>
        </is>
      </c>
    </row>
    <row r="15" ht="15" customHeight="1" s="5">
      <c r="A15" s="7" t="inlineStr">
        <is>
          <t>DEC014</t>
        </is>
      </c>
      <c r="B15" s="7" t="inlineStr">
        <is>
          <t>Portfolio</t>
        </is>
      </c>
      <c r="C15" s="7" t="inlineStr">
        <is>
          <t>PRJ035</t>
        </is>
      </c>
      <c r="D15" s="7">
        <f>IFERROR(VLOOKUP(C15,Projects!$A:$AK,3,FALSE()),"")</f>
        <v/>
      </c>
      <c r="E15" s="7" t="inlineStr">
        <is>
          <t>Approve full project funding</t>
        </is>
      </c>
      <c r="F15" s="7" t="inlineStr">
        <is>
          <t>COO</t>
        </is>
      </c>
      <c r="G15" s="7" t="inlineStr">
        <is>
          <t>Carlos Diaz</t>
        </is>
      </c>
      <c r="H15" s="8" t="n">
        <v>46194</v>
      </c>
      <c r="I15" s="7">
        <f>IFERROR(VLOOKUP(C15,Projects!$A:$AK,10,FALSE()),"")</f>
        <v/>
      </c>
      <c r="J15" s="7" t="inlineStr">
        <is>
          <t>Closed</t>
        </is>
      </c>
    </row>
    <row r="16" ht="15" customHeight="1" s="5">
      <c r="A16" s="7" t="inlineStr">
        <is>
          <t>DEC015</t>
        </is>
      </c>
      <c r="B16" s="7" t="inlineStr">
        <is>
          <t>Program</t>
        </is>
      </c>
      <c r="D16" s="7">
        <f>IFERROR(VLOOKUP(C16,Projects!$A:$AK,3,FALSE()),"")</f>
        <v/>
      </c>
      <c r="E16" s="7" t="inlineStr">
        <is>
          <t>Re-baseline schedule</t>
        </is>
      </c>
      <c r="F16" s="7" t="inlineStr">
        <is>
          <t>CMO</t>
        </is>
      </c>
      <c r="G16" s="7" t="inlineStr">
        <is>
          <t>Priya Patel</t>
        </is>
      </c>
      <c r="H16" s="8" t="n">
        <v>46220</v>
      </c>
      <c r="I16" s="7">
        <f>IFERROR(VLOOKUP(C16,Projects!$A:$AK,10,FALSE()),"")</f>
        <v/>
      </c>
      <c r="J16" s="7" t="inlineStr">
        <is>
          <t>Closed</t>
        </is>
      </c>
    </row>
    <row r="17" ht="15" customHeight="1" s="5">
      <c r="A17" s="7" t="inlineStr">
        <is>
          <t>DEC016</t>
        </is>
      </c>
      <c r="B17" s="7" t="inlineStr">
        <is>
          <t>Risk</t>
        </is>
      </c>
      <c r="C17" s="7" t="inlineStr">
        <is>
          <t>PRJ015</t>
        </is>
      </c>
      <c r="D17" s="7">
        <f>IFERROR(VLOOKUP(C17,Projects!$A:$AK,3,FALSE()),"")</f>
        <v/>
      </c>
      <c r="E17" s="7" t="inlineStr">
        <is>
          <t>Cut scope of MVP</t>
        </is>
      </c>
      <c r="F17" s="7" t="inlineStr">
        <is>
          <t>CIO</t>
        </is>
      </c>
      <c r="G17" s="7" t="inlineStr">
        <is>
          <t>Mike Johnson</t>
        </is>
      </c>
      <c r="H17" s="8" t="n">
        <v>46243</v>
      </c>
      <c r="I17" s="7">
        <f>IFERROR(VLOOKUP(C17,Projects!$A:$AK,10,FALSE()),"")</f>
        <v/>
      </c>
      <c r="J17" s="7" t="inlineStr">
        <is>
          <t>Open</t>
        </is>
      </c>
    </row>
    <row r="18" ht="15" customHeight="1" s="5">
      <c r="A18" s="7" t="inlineStr">
        <is>
          <t>DEC017</t>
        </is>
      </c>
      <c r="B18" s="7" t="inlineStr">
        <is>
          <t>Architecture</t>
        </is>
      </c>
      <c r="C18" s="7" t="inlineStr">
        <is>
          <t>PRJ038</t>
        </is>
      </c>
      <c r="D18" s="7">
        <f>IFERROR(VLOOKUP(C18,Projects!$A:$AK,3,FALSE()),"")</f>
        <v/>
      </c>
      <c r="E18" s="7" t="inlineStr">
        <is>
          <t>Accept residual risk</t>
        </is>
      </c>
      <c r="F18" s="7" t="inlineStr">
        <is>
          <t>CIO</t>
        </is>
      </c>
      <c r="G18" s="7" t="inlineStr">
        <is>
          <t>Alex Brown</t>
        </is>
      </c>
      <c r="H18" s="8" t="n">
        <v>46046</v>
      </c>
      <c r="I18" s="7">
        <f>IFERROR(VLOOKUP(C18,Projects!$A:$AK,10,FALSE()),"")</f>
        <v/>
      </c>
      <c r="J18" s="7" t="inlineStr">
        <is>
          <t>In Review</t>
        </is>
      </c>
    </row>
    <row r="19" ht="15" customHeight="1" s="5">
      <c r="A19" s="7" t="inlineStr">
        <is>
          <t>DEC018</t>
        </is>
      </c>
      <c r="B19" s="7" t="inlineStr">
        <is>
          <t>Architecture</t>
        </is>
      </c>
      <c r="C19" s="7" t="inlineStr">
        <is>
          <t>PRJ025</t>
        </is>
      </c>
      <c r="D19" s="7">
        <f>IFERROR(VLOOKUP(C19,Projects!$A:$AK,3,FALSE()),"")</f>
        <v/>
      </c>
      <c r="E19" s="7" t="inlineStr">
        <is>
          <t>Cut scope of MVP</t>
        </is>
      </c>
      <c r="F19" s="7" t="inlineStr">
        <is>
          <t>CIO</t>
        </is>
      </c>
      <c r="G19" s="7" t="inlineStr">
        <is>
          <t>Alex Brown</t>
        </is>
      </c>
      <c r="H19" s="8" t="n">
        <v>46242</v>
      </c>
      <c r="I19" s="7">
        <f>IFERROR(VLOOKUP(C19,Projects!$A:$AK,10,FALSE()),"")</f>
        <v/>
      </c>
      <c r="J19" s="7" t="inlineStr">
        <is>
          <t>In Review</t>
        </is>
      </c>
    </row>
    <row r="20" ht="15" customHeight="1" s="5">
      <c r="A20" s="7" t="inlineStr">
        <is>
          <t>DEC019</t>
        </is>
      </c>
      <c r="B20" s="7" t="inlineStr">
        <is>
          <t>Risk</t>
        </is>
      </c>
      <c r="C20" s="7" t="inlineStr">
        <is>
          <t>PRJ028</t>
        </is>
      </c>
      <c r="D20" s="7">
        <f>IFERROR(VLOOKUP(C20,Projects!$A:$AK,3,FALSE()),"")</f>
        <v/>
      </c>
      <c r="E20" s="7" t="inlineStr">
        <is>
          <t>Defer benefits realisation date</t>
        </is>
      </c>
      <c r="F20" s="7" t="inlineStr">
        <is>
          <t>COO</t>
        </is>
      </c>
      <c r="G20" s="7" t="inlineStr">
        <is>
          <t>Carlos Diaz</t>
        </is>
      </c>
      <c r="H20" s="8" t="n">
        <v>46240</v>
      </c>
      <c r="I20" s="7">
        <f>IFERROR(VLOOKUP(C20,Projects!$A:$AK,10,FALSE()),"")</f>
        <v/>
      </c>
      <c r="J20" s="7" t="inlineStr">
        <is>
          <t>In Review</t>
        </is>
      </c>
    </row>
    <row r="21" ht="15" customHeight="1" s="5">
      <c r="A21" s="7" t="inlineStr">
        <is>
          <t>DEC020</t>
        </is>
      </c>
      <c r="B21" s="7" t="inlineStr">
        <is>
          <t>Funding</t>
        </is>
      </c>
      <c r="C21" s="7" t="inlineStr">
        <is>
          <t>PRJ007</t>
        </is>
      </c>
      <c r="D21" s="7">
        <f>IFERROR(VLOOKUP(C21,Projects!$A:$AK,3,FALSE()),"")</f>
        <v/>
      </c>
      <c r="E21" s="7" t="inlineStr">
        <is>
          <t>Approve full project funding</t>
        </is>
      </c>
      <c r="F21" s="7" t="inlineStr">
        <is>
          <t>CTO</t>
        </is>
      </c>
      <c r="G21" s="7" t="inlineStr">
        <is>
          <t>Carlos Diaz</t>
        </is>
      </c>
      <c r="H21" s="8" t="n">
        <v>46157</v>
      </c>
      <c r="I21" s="7">
        <f>IFERROR(VLOOKUP(C21,Projects!$A:$AK,10,FALSE()),"")</f>
        <v/>
      </c>
      <c r="J21" s="7" t="inlineStr">
        <is>
          <t>Approved</t>
        </is>
      </c>
    </row>
    <row r="22" ht="15" customHeight="1" s="5">
      <c r="A22" s="7" t="inlineStr">
        <is>
          <t>DEC021</t>
        </is>
      </c>
      <c r="B22" s="7" t="inlineStr">
        <is>
          <t>SteerCo</t>
        </is>
      </c>
      <c r="C22" s="7" t="inlineStr">
        <is>
          <t>PRJ015</t>
        </is>
      </c>
      <c r="D22" s="7">
        <f>IFERROR(VLOOKUP(C22,Projects!$A:$AK,3,FALSE()),"")</f>
        <v/>
      </c>
      <c r="E22" s="7" t="inlineStr">
        <is>
          <t>Accept residual risk</t>
        </is>
      </c>
      <c r="F22" s="7" t="inlineStr">
        <is>
          <t>CMO</t>
        </is>
      </c>
      <c r="G22" s="7" t="inlineStr">
        <is>
          <t>Jane Doe</t>
        </is>
      </c>
      <c r="H22" s="8" t="n">
        <v>46061</v>
      </c>
      <c r="I22" s="7">
        <f>IFERROR(VLOOKUP(C22,Projects!$A:$AK,10,FALSE()),"")</f>
        <v/>
      </c>
      <c r="J22" s="7" t="inlineStr">
        <is>
          <t>Approved</t>
        </is>
      </c>
    </row>
    <row r="23" ht="15" customHeight="1" s="5">
      <c r="A23" s="7" t="inlineStr">
        <is>
          <t>DEC022</t>
        </is>
      </c>
      <c r="B23" s="7" t="inlineStr">
        <is>
          <t>Project</t>
        </is>
      </c>
      <c r="C23" s="7" t="inlineStr">
        <is>
          <t>PRJ039</t>
        </is>
      </c>
      <c r="D23" s="7">
        <f>IFERROR(VLOOKUP(C23,Projects!$A:$AK,3,FALSE()),"")</f>
        <v/>
      </c>
      <c r="E23" s="7" t="inlineStr">
        <is>
          <t>Cut scope of MVP</t>
        </is>
      </c>
      <c r="F23" s="7" t="inlineStr">
        <is>
          <t>CTO</t>
        </is>
      </c>
      <c r="G23" s="7" t="inlineStr">
        <is>
          <t>Priya Patel</t>
        </is>
      </c>
      <c r="H23" s="8" t="n">
        <v>46061</v>
      </c>
      <c r="I23" s="7">
        <f>IFERROR(VLOOKUP(C23,Projects!$A:$AK,10,FALSE()),"")</f>
        <v/>
      </c>
      <c r="J23" s="7" t="inlineStr">
        <is>
          <t>Approved</t>
        </is>
      </c>
    </row>
    <row r="24" ht="15" customHeight="1" s="5">
      <c r="A24" s="7" t="inlineStr">
        <is>
          <t>DEC023</t>
        </is>
      </c>
      <c r="B24" s="7" t="inlineStr">
        <is>
          <t>General</t>
        </is>
      </c>
      <c r="D24" s="7">
        <f>IFERROR(VLOOKUP(C24,Projects!$A:$AK,3,FALSE()),"")</f>
        <v/>
      </c>
      <c r="E24" s="7" t="inlineStr">
        <is>
          <t>Re-baseline schedule</t>
        </is>
      </c>
      <c r="F24" s="7" t="inlineStr">
        <is>
          <t>COO</t>
        </is>
      </c>
      <c r="G24" s="7" t="inlineStr">
        <is>
          <t>Priya Patel</t>
        </is>
      </c>
      <c r="H24" s="8" t="n">
        <v>46241</v>
      </c>
      <c r="I24" s="7">
        <f>IFERROR(VLOOKUP(C24,Projects!$A:$AK,10,FALSE()),"")</f>
        <v/>
      </c>
      <c r="J24" s="7" t="inlineStr">
        <is>
          <t>Open</t>
        </is>
      </c>
    </row>
    <row r="25" ht="15" customHeight="1" s="5">
      <c r="A25" s="7" t="inlineStr">
        <is>
          <t>DEC024</t>
        </is>
      </c>
      <c r="B25" s="7" t="inlineStr">
        <is>
          <t>Architecture</t>
        </is>
      </c>
      <c r="C25" s="7" t="inlineStr">
        <is>
          <t>PRJ010</t>
        </is>
      </c>
      <c r="D25" s="7">
        <f>IFERROR(VLOOKUP(C25,Projects!$A:$AK,3,FALSE()),"")</f>
        <v/>
      </c>
      <c r="E25" s="7" t="inlineStr">
        <is>
          <t>Defer benefits realisation date</t>
        </is>
      </c>
      <c r="F25" s="7" t="inlineStr">
        <is>
          <t>CFO</t>
        </is>
      </c>
      <c r="G25" s="7" t="inlineStr">
        <is>
          <t>Priya Patel</t>
        </is>
      </c>
      <c r="H25" s="8" t="n">
        <v>46231</v>
      </c>
      <c r="I25" s="7">
        <f>IFERROR(VLOOKUP(C25,Projects!$A:$AK,10,FALSE()),"")</f>
        <v/>
      </c>
      <c r="J25" s="7" t="inlineStr">
        <is>
          <t>Open</t>
        </is>
      </c>
    </row>
    <row r="26" ht="15" customHeight="1" s="5">
      <c r="A26" s="7" t="inlineStr">
        <is>
          <t>DEC025</t>
        </is>
      </c>
      <c r="B26" s="7" t="inlineStr">
        <is>
          <t>Portfolio</t>
        </is>
      </c>
      <c r="C26" s="7" t="inlineStr">
        <is>
          <t>PRJ032</t>
        </is>
      </c>
      <c r="D26" s="7">
        <f>IFERROR(VLOOKUP(C26,Projects!$A:$AK,3,FALSE()),"")</f>
        <v/>
      </c>
      <c r="E26" s="7" t="inlineStr">
        <is>
          <t>Cut scope of MVP</t>
        </is>
      </c>
      <c r="F26" s="7" t="inlineStr">
        <is>
          <t>CFO</t>
        </is>
      </c>
      <c r="G26" s="7" t="inlineStr">
        <is>
          <t>John Smith</t>
        </is>
      </c>
      <c r="H26" s="8" t="n">
        <v>46245</v>
      </c>
      <c r="I26" s="7">
        <f>IFERROR(VLOOKUP(C26,Projects!$A:$AK,10,FALSE()),"")</f>
        <v/>
      </c>
      <c r="J26" s="7" t="inlineStr">
        <is>
          <t>Rejected</t>
        </is>
      </c>
    </row>
    <row r="27" ht="15" customHeight="1" s="5">
      <c r="A27" s="7" t="inlineStr">
        <is>
          <t>DEC026</t>
        </is>
      </c>
      <c r="B27" s="7" t="inlineStr">
        <is>
          <t>Risk</t>
        </is>
      </c>
      <c r="D27" s="7">
        <f>IFERROR(VLOOKUP(C27,Projects!$A:$AK,3,FALSE()),"")</f>
        <v/>
      </c>
      <c r="E27" s="7" t="inlineStr">
        <is>
          <t>Cut scope of MVP</t>
        </is>
      </c>
      <c r="F27" s="7" t="inlineStr">
        <is>
          <t>CMO</t>
        </is>
      </c>
      <c r="G27" s="7" t="inlineStr">
        <is>
          <t>Sarah Lee</t>
        </is>
      </c>
      <c r="H27" s="8" t="n">
        <v>46110</v>
      </c>
      <c r="I27" s="7">
        <f>IFERROR(VLOOKUP(C27,Projects!$A:$AK,10,FALSE()),"")</f>
        <v/>
      </c>
      <c r="J27" s="7" t="inlineStr">
        <is>
          <t>Closed</t>
        </is>
      </c>
    </row>
    <row r="28" ht="15" customHeight="1" s="5">
      <c r="A28" s="7" t="inlineStr">
        <is>
          <t>DEC027</t>
        </is>
      </c>
      <c r="B28" s="7" t="inlineStr">
        <is>
          <t>SteerCo</t>
        </is>
      </c>
      <c r="C28" s="7" t="inlineStr">
        <is>
          <t>PRJ019</t>
        </is>
      </c>
      <c r="D28" s="7">
        <f>IFERROR(VLOOKUP(C28,Projects!$A:$AK,3,FALSE()),"")</f>
        <v/>
      </c>
      <c r="E28" s="7" t="inlineStr">
        <is>
          <t>Accept residual risk</t>
        </is>
      </c>
      <c r="F28" s="7" t="inlineStr">
        <is>
          <t>CTO</t>
        </is>
      </c>
      <c r="G28" s="7" t="inlineStr">
        <is>
          <t>Sarah Lee</t>
        </is>
      </c>
      <c r="H28" s="8" t="n">
        <v>46210</v>
      </c>
      <c r="I28" s="7">
        <f>IFERROR(VLOOKUP(C28,Projects!$A:$AK,10,FALSE()),"")</f>
        <v/>
      </c>
      <c r="J28" s="7" t="inlineStr">
        <is>
          <t>In Review</t>
        </is>
      </c>
    </row>
    <row r="29" ht="15" customHeight="1" s="5">
      <c r="A29" s="7" t="inlineStr">
        <is>
          <t>DEC028</t>
        </is>
      </c>
      <c r="B29" s="7" t="inlineStr">
        <is>
          <t>Project</t>
        </is>
      </c>
      <c r="C29" s="7" t="inlineStr">
        <is>
          <t>PRJ020</t>
        </is>
      </c>
      <c r="D29" s="7">
        <f>IFERROR(VLOOKUP(C29,Projects!$A:$AK,3,FALSE()),"")</f>
        <v/>
      </c>
      <c r="E29" s="7" t="inlineStr">
        <is>
          <t>Accept residual risk</t>
        </is>
      </c>
      <c r="F29" s="7" t="inlineStr">
        <is>
          <t>CFO</t>
        </is>
      </c>
      <c r="G29" s="7" t="inlineStr">
        <is>
          <t>Alex Brown</t>
        </is>
      </c>
      <c r="H29" s="8" t="n">
        <v>46106</v>
      </c>
      <c r="I29" s="7">
        <f>IFERROR(VLOOKUP(C29,Projects!$A:$AK,10,FALSE()),"")</f>
        <v/>
      </c>
      <c r="J29" s="7" t="inlineStr">
        <is>
          <t>Rejected</t>
        </is>
      </c>
    </row>
    <row r="30" ht="15" customHeight="1" s="5">
      <c r="A30" s="7" t="inlineStr">
        <is>
          <t>DEC029</t>
        </is>
      </c>
      <c r="B30" s="7" t="inlineStr">
        <is>
          <t>General</t>
        </is>
      </c>
      <c r="C30" s="7" t="inlineStr">
        <is>
          <t>PRJ019</t>
        </is>
      </c>
      <c r="D30" s="7">
        <f>IFERROR(VLOOKUP(C30,Projects!$A:$AK,3,FALSE()),"")</f>
        <v/>
      </c>
      <c r="E30" s="7" t="inlineStr">
        <is>
          <t>Choose vendor for cloud migration</t>
        </is>
      </c>
      <c r="F30" s="7" t="inlineStr">
        <is>
          <t>CFO</t>
        </is>
      </c>
      <c r="G30" s="7" t="inlineStr">
        <is>
          <t>Carlos Diaz</t>
        </is>
      </c>
      <c r="H30" s="8" t="n">
        <v>46202</v>
      </c>
      <c r="I30" s="7">
        <f>IFERROR(VLOOKUP(C30,Projects!$A:$AK,10,FALSE()),"")</f>
        <v/>
      </c>
      <c r="J30" s="7" t="inlineStr">
        <is>
          <t>In Review</t>
        </is>
      </c>
    </row>
    <row r="31" ht="15" customHeight="1" s="5">
      <c r="A31" s="7" t="inlineStr">
        <is>
          <t>DEC030</t>
        </is>
      </c>
      <c r="B31" s="7" t="inlineStr">
        <is>
          <t>Project</t>
        </is>
      </c>
      <c r="C31" s="7" t="inlineStr">
        <is>
          <t>PRJ024</t>
        </is>
      </c>
      <c r="D31" s="7">
        <f>IFERROR(VLOOKUP(C31,Projects!$A:$AK,3,FALSE()),"")</f>
        <v/>
      </c>
      <c r="E31" s="7" t="inlineStr">
        <is>
          <t>Accept residual risk</t>
        </is>
      </c>
      <c r="F31" s="7" t="inlineStr">
        <is>
          <t>CFO</t>
        </is>
      </c>
      <c r="G31" s="7" t="inlineStr">
        <is>
          <t>Sarah Lee</t>
        </is>
      </c>
      <c r="H31" s="8" t="n">
        <v>46212</v>
      </c>
      <c r="I31" s="7">
        <f>IFERROR(VLOOKUP(C31,Projects!$A:$AK,10,FALSE()),"")</f>
        <v/>
      </c>
      <c r="J31" s="7" t="inlineStr">
        <is>
          <t>In Review</t>
        </is>
      </c>
    </row>
    <row r="32" ht="15" customHeight="1" s="5">
      <c r="A32" s="7" t="inlineStr">
        <is>
          <t>DEC031</t>
        </is>
      </c>
      <c r="B32" s="7" t="inlineStr">
        <is>
          <t>Program</t>
        </is>
      </c>
      <c r="C32" s="7" t="inlineStr">
        <is>
          <t>PRJ023</t>
        </is>
      </c>
      <c r="D32" s="7">
        <f>IFERROR(VLOOKUP(C32,Projects!$A:$AK,3,FALSE()),"")</f>
        <v/>
      </c>
      <c r="E32" s="7" t="inlineStr">
        <is>
          <t>Choose vendor for cloud migration</t>
        </is>
      </c>
      <c r="F32" s="7" t="inlineStr">
        <is>
          <t>CIO</t>
        </is>
      </c>
      <c r="G32" s="7" t="inlineStr">
        <is>
          <t>John Smith</t>
        </is>
      </c>
      <c r="H32" s="8" t="n">
        <v>46038</v>
      </c>
      <c r="I32" s="7">
        <f>IFERROR(VLOOKUP(C32,Projects!$A:$AK,10,FALSE()),"")</f>
        <v/>
      </c>
      <c r="J32" s="7" t="inlineStr">
        <is>
          <t>Approved</t>
        </is>
      </c>
    </row>
    <row r="33" ht="15" customHeight="1" s="5">
      <c r="A33" s="7" t="inlineStr">
        <is>
          <t>DEC032</t>
        </is>
      </c>
      <c r="B33" s="7" t="inlineStr">
        <is>
          <t>Risk</t>
        </is>
      </c>
      <c r="C33" s="7" t="inlineStr">
        <is>
          <t>PRJ010</t>
        </is>
      </c>
      <c r="D33" s="7">
        <f>IFERROR(VLOOKUP(C33,Projects!$A:$AK,3,FALSE()),"")</f>
        <v/>
      </c>
      <c r="E33" s="7" t="inlineStr">
        <is>
          <t>Choose vendor for cloud migration</t>
        </is>
      </c>
      <c r="F33" s="7" t="inlineStr">
        <is>
          <t>CIO</t>
        </is>
      </c>
      <c r="G33" s="7" t="inlineStr">
        <is>
          <t>John Smith</t>
        </is>
      </c>
      <c r="H33" s="8" t="n">
        <v>46175</v>
      </c>
      <c r="I33" s="7">
        <f>IFERROR(VLOOKUP(C33,Projects!$A:$AK,10,FALSE()),"")</f>
        <v/>
      </c>
      <c r="J33" s="7" t="inlineStr">
        <is>
          <t>Rejected</t>
        </is>
      </c>
    </row>
    <row r="34" ht="15" customHeight="1" s="5">
      <c r="A34" s="7" t="inlineStr">
        <is>
          <t>DEC033</t>
        </is>
      </c>
      <c r="B34" s="7" t="inlineStr">
        <is>
          <t>SteerCo</t>
        </is>
      </c>
      <c r="C34" s="7" t="inlineStr">
        <is>
          <t>PRJ039</t>
        </is>
      </c>
      <c r="D34" s="7">
        <f>IFERROR(VLOOKUP(C34,Projects!$A:$AK,3,FALSE()),"")</f>
        <v/>
      </c>
      <c r="E34" s="7" t="inlineStr">
        <is>
          <t>Accept residual risk</t>
        </is>
      </c>
      <c r="F34" s="7" t="inlineStr">
        <is>
          <t>CMO</t>
        </is>
      </c>
      <c r="G34" s="7" t="inlineStr">
        <is>
          <t>Carlos Diaz</t>
        </is>
      </c>
      <c r="H34" s="8" t="n">
        <v>46149</v>
      </c>
      <c r="I34" s="7">
        <f>IFERROR(VLOOKUP(C34,Projects!$A:$AK,10,FALSE()),"")</f>
        <v/>
      </c>
      <c r="J34" s="7" t="inlineStr">
        <is>
          <t>Open</t>
        </is>
      </c>
    </row>
    <row r="35" ht="15" customHeight="1" s="5">
      <c r="A35" s="7" t="inlineStr">
        <is>
          <t>DEC034</t>
        </is>
      </c>
      <c r="B35" s="7" t="inlineStr">
        <is>
          <t>General</t>
        </is>
      </c>
      <c r="D35" s="7">
        <f>IFERROR(VLOOKUP(C35,Projects!$A:$AK,3,FALSE()),"")</f>
        <v/>
      </c>
      <c r="E35" s="7" t="inlineStr">
        <is>
          <t>Cut scope of MVP</t>
        </is>
      </c>
      <c r="F35" s="7" t="inlineStr">
        <is>
          <t>CMO</t>
        </is>
      </c>
      <c r="G35" s="7" t="inlineStr">
        <is>
          <t>Mike Johnson</t>
        </is>
      </c>
      <c r="H35" s="8" t="n">
        <v>46223</v>
      </c>
      <c r="I35" s="7">
        <f>IFERROR(VLOOKUP(C35,Projects!$A:$AK,10,FALSE()),"")</f>
        <v/>
      </c>
      <c r="J35" s="7" t="inlineStr">
        <is>
          <t>Open</t>
        </is>
      </c>
    </row>
    <row r="36" ht="15" customHeight="1" s="5">
      <c r="A36" s="7" t="inlineStr">
        <is>
          <t>DEC035</t>
        </is>
      </c>
      <c r="B36" s="7" t="inlineStr">
        <is>
          <t>Program</t>
        </is>
      </c>
      <c r="C36" s="7" t="inlineStr">
        <is>
          <t>PRJ008</t>
        </is>
      </c>
      <c r="D36" s="7">
        <f>IFERROR(VLOOKUP(C36,Projects!$A:$AK,3,FALSE()),"")</f>
        <v/>
      </c>
      <c r="E36" s="7" t="inlineStr">
        <is>
          <t>Accept residual risk</t>
        </is>
      </c>
      <c r="F36" s="7" t="inlineStr">
        <is>
          <t>CTO</t>
        </is>
      </c>
      <c r="G36" s="7" t="inlineStr">
        <is>
          <t>Jane Doe</t>
        </is>
      </c>
      <c r="H36" s="8" t="n">
        <v>46053</v>
      </c>
      <c r="I36" s="7">
        <f>IFERROR(VLOOKUP(C36,Projects!$A:$AK,10,FALSE()),"")</f>
        <v/>
      </c>
      <c r="J36" s="7" t="inlineStr">
        <is>
          <t>Closed</t>
        </is>
      </c>
    </row>
    <row r="37" ht="15" customHeight="1" s="5">
      <c r="A37" s="7" t="inlineStr">
        <is>
          <t>DEC036</t>
        </is>
      </c>
      <c r="B37" s="7" t="inlineStr">
        <is>
          <t>General</t>
        </is>
      </c>
      <c r="C37" s="7" t="inlineStr">
        <is>
          <t>PRJ018</t>
        </is>
      </c>
      <c r="D37" s="7">
        <f>IFERROR(VLOOKUP(C37,Projects!$A:$AK,3,FALSE()),"")</f>
        <v/>
      </c>
      <c r="E37" s="7" t="inlineStr">
        <is>
          <t>Defer benefits realisation date</t>
        </is>
      </c>
      <c r="F37" s="7" t="inlineStr">
        <is>
          <t>CTO</t>
        </is>
      </c>
      <c r="G37" s="7" t="inlineStr">
        <is>
          <t>Jane Doe</t>
        </is>
      </c>
      <c r="H37" s="8" t="n">
        <v>46170</v>
      </c>
      <c r="I37" s="7">
        <f>IFERROR(VLOOKUP(C37,Projects!$A:$AK,10,FALSE()),"")</f>
        <v/>
      </c>
      <c r="J37" s="7" t="inlineStr">
        <is>
          <t>Rejected</t>
        </is>
      </c>
    </row>
    <row r="38" ht="15" customHeight="1" s="5">
      <c r="A38" s="7" t="inlineStr">
        <is>
          <t>DEC037</t>
        </is>
      </c>
      <c r="B38" s="7" t="inlineStr">
        <is>
          <t>Risk</t>
        </is>
      </c>
      <c r="C38" s="7" t="inlineStr">
        <is>
          <t>PRJ020</t>
        </is>
      </c>
      <c r="D38" s="7">
        <f>IFERROR(VLOOKUP(C38,Projects!$A:$AK,3,FALSE()),"")</f>
        <v/>
      </c>
      <c r="E38" s="7" t="inlineStr">
        <is>
          <t>Approve full project funding</t>
        </is>
      </c>
      <c r="F38" s="7" t="inlineStr">
        <is>
          <t>COO</t>
        </is>
      </c>
      <c r="G38" s="7" t="inlineStr">
        <is>
          <t>John Smith</t>
        </is>
      </c>
      <c r="H38" s="8" t="n">
        <v>46189</v>
      </c>
      <c r="I38" s="7">
        <f>IFERROR(VLOOKUP(C38,Projects!$A:$AK,10,FALSE()),"")</f>
        <v/>
      </c>
      <c r="J38" s="7" t="inlineStr">
        <is>
          <t>Closed</t>
        </is>
      </c>
    </row>
    <row r="39" ht="15" customHeight="1" s="5">
      <c r="A39" s="7" t="inlineStr">
        <is>
          <t>DEC038</t>
        </is>
      </c>
      <c r="B39" s="7" t="inlineStr">
        <is>
          <t>Risk</t>
        </is>
      </c>
      <c r="C39" s="7" t="inlineStr">
        <is>
          <t>PRJ002</t>
        </is>
      </c>
      <c r="D39" s="7">
        <f>IFERROR(VLOOKUP(C39,Projects!$A:$AK,3,FALSE()),"")</f>
        <v/>
      </c>
      <c r="E39" s="7" t="inlineStr">
        <is>
          <t>Approve architecture pattern</t>
        </is>
      </c>
      <c r="F39" s="7" t="inlineStr">
        <is>
          <t>CTO</t>
        </is>
      </c>
      <c r="G39" s="7" t="inlineStr">
        <is>
          <t>Carlos Diaz</t>
        </is>
      </c>
      <c r="H39" s="8" t="n">
        <v>46071</v>
      </c>
      <c r="I39" s="7">
        <f>IFERROR(VLOOKUP(C39,Projects!$A:$AK,10,FALSE()),"")</f>
        <v/>
      </c>
      <c r="J39" s="7" t="inlineStr">
        <is>
          <t>Rejected</t>
        </is>
      </c>
    </row>
    <row r="40" ht="15" customHeight="1" s="5">
      <c r="A40" s="7" t="inlineStr">
        <is>
          <t>DEC039</t>
        </is>
      </c>
      <c r="B40" s="7" t="inlineStr">
        <is>
          <t>Program</t>
        </is>
      </c>
      <c r="C40" s="7" t="inlineStr">
        <is>
          <t>PRJ014</t>
        </is>
      </c>
      <c r="D40" s="7">
        <f>IFERROR(VLOOKUP(C40,Projects!$A:$AK,3,FALSE()),"")</f>
        <v/>
      </c>
      <c r="E40" s="7" t="inlineStr">
        <is>
          <t>Choose vendor for cloud migration</t>
        </is>
      </c>
      <c r="F40" s="7" t="inlineStr">
        <is>
          <t>CTO</t>
        </is>
      </c>
      <c r="G40" s="7" t="inlineStr">
        <is>
          <t>Priya Patel</t>
        </is>
      </c>
      <c r="H40" s="8" t="n">
        <v>46040</v>
      </c>
      <c r="I40" s="7">
        <f>IFERROR(VLOOKUP(C40,Projects!$A:$AK,10,FALSE()),"")</f>
        <v/>
      </c>
      <c r="J40" s="7" t="inlineStr">
        <is>
          <t>Open</t>
        </is>
      </c>
    </row>
    <row r="41" ht="15" customHeight="1" s="5">
      <c r="A41" s="7" t="inlineStr">
        <is>
          <t>DEC040</t>
        </is>
      </c>
      <c r="B41" s="7" t="inlineStr">
        <is>
          <t>General</t>
        </is>
      </c>
      <c r="C41" s="7" t="inlineStr">
        <is>
          <t>PRJ021</t>
        </is>
      </c>
      <c r="D41" s="7">
        <f>IFERROR(VLOOKUP(C41,Projects!$A:$AK,3,FALSE()),"")</f>
        <v/>
      </c>
      <c r="E41" s="7" t="inlineStr">
        <is>
          <t>Approve full project funding</t>
        </is>
      </c>
      <c r="F41" s="7" t="inlineStr">
        <is>
          <t>CFO</t>
        </is>
      </c>
      <c r="G41" s="7" t="inlineStr">
        <is>
          <t>Alex Brown</t>
        </is>
      </c>
      <c r="H41" s="8" t="n">
        <v>46166</v>
      </c>
      <c r="I41" s="7">
        <f>IFERROR(VLOOKUP(C41,Projects!$A:$AK,10,FALSE()),"")</f>
        <v/>
      </c>
      <c r="J41" s="7" t="inlineStr">
        <is>
          <t>In Review</t>
        </is>
      </c>
    </row>
    <row r="42" ht="15" customHeight="1" s="5">
      <c r="B42" s="7" t="n"/>
      <c r="J42" s="7" t="n"/>
    </row>
    <row r="43" ht="15" customHeight="1" s="5">
      <c r="B43" s="7" t="n"/>
      <c r="J43" s="7" t="n"/>
    </row>
    <row r="44" ht="15" customHeight="1" s="5">
      <c r="B44" s="7" t="n"/>
      <c r="J44" s="7" t="n"/>
    </row>
    <row r="45" ht="15" customHeight="1" s="5">
      <c r="B45" s="7" t="n"/>
      <c r="J45" s="7" t="n"/>
    </row>
    <row r="46" ht="15" customHeight="1" s="5">
      <c r="B46" s="7" t="n"/>
      <c r="J46" s="7" t="n"/>
    </row>
    <row r="47" ht="15" customHeight="1" s="5">
      <c r="B47" s="7" t="n"/>
      <c r="J47" s="7" t="n"/>
    </row>
    <row r="48" ht="15" customHeight="1" s="5">
      <c r="B48" s="7" t="n"/>
      <c r="J48" s="7" t="n"/>
    </row>
    <row r="49" ht="15" customHeight="1" s="5">
      <c r="B49" s="7" t="n"/>
      <c r="J49" s="7" t="n"/>
    </row>
    <row r="50" ht="15" customHeight="1" s="5">
      <c r="B50" s="7" t="n"/>
      <c r="J50" s="7" t="n"/>
    </row>
    <row r="51" ht="15" customHeight="1" s="5">
      <c r="B51" s="7" t="n"/>
      <c r="J51" s="7" t="n"/>
    </row>
    <row r="52" ht="15" customHeight="1" s="5">
      <c r="B52" s="7" t="n"/>
      <c r="J52" s="7" t="n"/>
    </row>
    <row r="53" ht="15" customHeight="1" s="5">
      <c r="B53" s="7" t="n"/>
      <c r="J53" s="7" t="n"/>
    </row>
    <row r="54" ht="15" customHeight="1" s="5">
      <c r="B54" s="7" t="n"/>
      <c r="J54" s="7" t="n"/>
    </row>
    <row r="55" ht="15" customHeight="1" s="5">
      <c r="B55" s="7" t="n"/>
      <c r="J55" s="7" t="n"/>
    </row>
    <row r="56" ht="15" customHeight="1" s="5">
      <c r="B56" s="7" t="n"/>
      <c r="J56" s="7" t="n"/>
    </row>
    <row r="57" ht="15" customHeight="1" s="5">
      <c r="B57" s="7" t="n"/>
      <c r="J57" s="7" t="n"/>
    </row>
    <row r="58" ht="15" customHeight="1" s="5">
      <c r="B58" s="7" t="n"/>
      <c r="J58" s="7" t="n"/>
    </row>
    <row r="59" ht="15" customHeight="1" s="5">
      <c r="B59" s="7" t="n"/>
      <c r="J59" s="7" t="n"/>
    </row>
    <row r="60" ht="15" customHeight="1" s="5">
      <c r="B60" s="7" t="n"/>
      <c r="J60" s="7" t="n"/>
    </row>
    <row r="61" ht="15" customHeight="1" s="5">
      <c r="B61" s="7" t="n"/>
      <c r="J61" s="7" t="n"/>
    </row>
    <row r="62" ht="15" customHeight="1" s="5">
      <c r="B62" s="7" t="n"/>
      <c r="J62" s="7" t="n"/>
    </row>
    <row r="63" ht="15" customHeight="1" s="5">
      <c r="B63" s="7" t="n"/>
      <c r="J63" s="7" t="n"/>
    </row>
    <row r="64" ht="15" customHeight="1" s="5">
      <c r="B64" s="7" t="n"/>
      <c r="J64" s="7" t="n"/>
    </row>
    <row r="65" ht="15" customHeight="1" s="5">
      <c r="B65" s="7" t="n"/>
      <c r="J65" s="7" t="n"/>
    </row>
    <row r="66" ht="15" customHeight="1" s="5">
      <c r="B66" s="7" t="n"/>
      <c r="J66" s="7" t="n"/>
    </row>
    <row r="67" ht="15" customHeight="1" s="5">
      <c r="B67" s="7" t="n"/>
      <c r="J67" s="7" t="n"/>
    </row>
    <row r="68" ht="15" customHeight="1" s="5">
      <c r="B68" s="7" t="n"/>
      <c r="J68" s="7" t="n"/>
    </row>
    <row r="69" ht="15" customHeight="1" s="5">
      <c r="B69" s="7" t="n"/>
      <c r="J69" s="7" t="n"/>
    </row>
    <row r="70" ht="15" customHeight="1" s="5">
      <c r="B70" s="7" t="n"/>
      <c r="J70" s="7" t="n"/>
    </row>
    <row r="71" ht="15" customHeight="1" s="5">
      <c r="B71" s="7" t="n"/>
      <c r="J71" s="7" t="n"/>
    </row>
    <row r="72" ht="15" customHeight="1" s="5">
      <c r="B72" s="7" t="n"/>
      <c r="J72" s="7" t="n"/>
    </row>
    <row r="73" ht="15" customHeight="1" s="5">
      <c r="B73" s="7" t="n"/>
      <c r="J73" s="7" t="n"/>
    </row>
    <row r="74" ht="15" customHeight="1" s="5">
      <c r="B74" s="7" t="n"/>
      <c r="J74" s="7" t="n"/>
    </row>
    <row r="75" ht="15" customHeight="1" s="5">
      <c r="B75" s="7" t="n"/>
      <c r="J75" s="7" t="n"/>
    </row>
    <row r="76" ht="15" customHeight="1" s="5">
      <c r="B76" s="7" t="n"/>
      <c r="J76" s="7" t="n"/>
    </row>
    <row r="77" ht="15" customHeight="1" s="5">
      <c r="B77" s="7" t="n"/>
      <c r="J77" s="7" t="n"/>
    </row>
    <row r="78" ht="15" customHeight="1" s="5">
      <c r="B78" s="7" t="n"/>
      <c r="J78" s="7" t="n"/>
    </row>
    <row r="79" ht="15" customHeight="1" s="5">
      <c r="B79" s="7" t="n"/>
      <c r="J79" s="7" t="n"/>
    </row>
    <row r="80" ht="15" customHeight="1" s="5">
      <c r="B80" s="7" t="n"/>
      <c r="J80" s="7" t="n"/>
    </row>
    <row r="81" ht="15" customHeight="1" s="5">
      <c r="B81" s="7" t="n"/>
      <c r="J81" s="7" t="n"/>
    </row>
    <row r="82" ht="15" customHeight="1" s="5">
      <c r="B82" s="7" t="n"/>
      <c r="J82" s="7" t="n"/>
    </row>
    <row r="83" ht="15" customHeight="1" s="5">
      <c r="B83" s="7" t="n"/>
      <c r="J83" s="7" t="n"/>
    </row>
    <row r="84" ht="15" customHeight="1" s="5">
      <c r="B84" s="7" t="n"/>
      <c r="J84" s="7" t="n"/>
    </row>
    <row r="85" ht="15" customHeight="1" s="5">
      <c r="B85" s="7" t="n"/>
      <c r="J85" s="7" t="n"/>
    </row>
    <row r="86" ht="15" customHeight="1" s="5">
      <c r="B86" s="7" t="n"/>
      <c r="J86" s="7" t="n"/>
    </row>
    <row r="87" ht="15" customHeight="1" s="5">
      <c r="B87" s="7" t="n"/>
      <c r="J87" s="7" t="n"/>
    </row>
    <row r="88" ht="15" customHeight="1" s="5">
      <c r="B88" s="7" t="n"/>
      <c r="J88" s="7" t="n"/>
    </row>
    <row r="89" ht="15" customHeight="1" s="5">
      <c r="B89" s="7" t="n"/>
      <c r="J89" s="7" t="n"/>
    </row>
    <row r="90" ht="15" customHeight="1" s="5">
      <c r="B90" s="7" t="n"/>
      <c r="J90" s="7" t="n"/>
    </row>
    <row r="91" ht="15" customHeight="1" s="5">
      <c r="B91" s="7" t="n"/>
      <c r="J91" s="7" t="n"/>
    </row>
    <row r="92" ht="15" customHeight="1" s="5">
      <c r="B92" s="7" t="n"/>
      <c r="J92" s="7" t="n"/>
    </row>
    <row r="93" ht="15" customHeight="1" s="5">
      <c r="B93" s="7" t="n"/>
      <c r="J93" s="7" t="n"/>
    </row>
    <row r="94" ht="15" customHeight="1" s="5">
      <c r="B94" s="7" t="n"/>
      <c r="J94" s="7" t="n"/>
    </row>
    <row r="95" ht="15" customHeight="1" s="5">
      <c r="B95" s="7" t="n"/>
      <c r="J95" s="7" t="n"/>
    </row>
    <row r="96" ht="15" customHeight="1" s="5">
      <c r="B96" s="7" t="n"/>
      <c r="J96" s="7" t="n"/>
    </row>
    <row r="97" ht="15" customHeight="1" s="5">
      <c r="B97" s="7" t="n"/>
      <c r="J97" s="7" t="n"/>
    </row>
    <row r="98" ht="15" customHeight="1" s="5">
      <c r="B98" s="7" t="n"/>
      <c r="J98" s="7" t="n"/>
    </row>
    <row r="99" ht="15" customHeight="1" s="5">
      <c r="B99" s="7" t="n"/>
      <c r="J99" s="7" t="n"/>
    </row>
    <row r="100" ht="15" customHeight="1" s="5">
      <c r="B100" s="7" t="n"/>
      <c r="J100" s="7" t="n"/>
    </row>
    <row r="101" ht="15" customHeight="1" s="5">
      <c r="B101" s="7" t="n"/>
      <c r="J101" s="7" t="n"/>
    </row>
    <row r="102" ht="15" customHeight="1" s="5">
      <c r="B102" s="7" t="n"/>
      <c r="J102" s="7" t="n"/>
    </row>
    <row r="103" ht="15" customHeight="1" s="5">
      <c r="B103" s="7" t="n"/>
      <c r="J103" s="7" t="n"/>
    </row>
    <row r="104" ht="15" customHeight="1" s="5">
      <c r="B104" s="7" t="n"/>
      <c r="J104" s="7" t="n"/>
    </row>
    <row r="105" ht="15" customHeight="1" s="5">
      <c r="B105" s="7" t="n"/>
      <c r="J105" s="7" t="n"/>
    </row>
    <row r="106" ht="15" customHeight="1" s="5">
      <c r="B106" s="7" t="n"/>
      <c r="J106" s="7" t="n"/>
    </row>
    <row r="107" ht="15" customHeight="1" s="5">
      <c r="B107" s="7" t="n"/>
      <c r="J107" s="7" t="n"/>
    </row>
    <row r="108" ht="15" customHeight="1" s="5">
      <c r="B108" s="7" t="n"/>
      <c r="J108" s="7" t="n"/>
    </row>
    <row r="109" ht="15" customHeight="1" s="5">
      <c r="B109" s="7" t="n"/>
      <c r="J109" s="7" t="n"/>
    </row>
    <row r="110" ht="15" customHeight="1" s="5">
      <c r="B110" s="7" t="n"/>
      <c r="J110" s="7" t="n"/>
    </row>
    <row r="111" ht="15" customHeight="1" s="5">
      <c r="B111" s="7" t="n"/>
      <c r="J111" s="7" t="n"/>
    </row>
    <row r="112" ht="15" customHeight="1" s="5">
      <c r="B112" s="7" t="n"/>
      <c r="J112" s="7" t="n"/>
    </row>
    <row r="113" ht="15" customHeight="1" s="5">
      <c r="B113" s="7" t="n"/>
      <c r="J113" s="7" t="n"/>
    </row>
    <row r="114" ht="15" customHeight="1" s="5">
      <c r="B114" s="7" t="n"/>
      <c r="J114" s="7" t="n"/>
    </row>
    <row r="115" ht="15" customHeight="1" s="5">
      <c r="B115" s="7" t="n"/>
      <c r="J115" s="7" t="n"/>
    </row>
    <row r="116" ht="15" customHeight="1" s="5">
      <c r="B116" s="7" t="n"/>
      <c r="J116" s="7" t="n"/>
    </row>
    <row r="117" ht="15" customHeight="1" s="5">
      <c r="B117" s="7" t="n"/>
      <c r="J117" s="7" t="n"/>
    </row>
    <row r="118" ht="15" customHeight="1" s="5">
      <c r="B118" s="7" t="n"/>
      <c r="J118" s="7" t="n"/>
    </row>
    <row r="119" ht="15" customHeight="1" s="5">
      <c r="B119" s="7" t="n"/>
      <c r="J119" s="7" t="n"/>
    </row>
    <row r="120" ht="15" customHeight="1" s="5">
      <c r="B120" s="7" t="n"/>
      <c r="J120" s="7" t="n"/>
    </row>
    <row r="121" ht="15" customHeight="1" s="5">
      <c r="B121" s="7" t="n"/>
      <c r="J121" s="7" t="n"/>
    </row>
    <row r="122" ht="15" customHeight="1" s="5">
      <c r="B122" s="7" t="n"/>
      <c r="J122" s="7" t="n"/>
    </row>
    <row r="123" ht="15" customHeight="1" s="5">
      <c r="B123" s="7" t="n"/>
      <c r="J123" s="7" t="n"/>
    </row>
    <row r="124" ht="15" customHeight="1" s="5">
      <c r="B124" s="7" t="n"/>
      <c r="J124" s="7" t="n"/>
    </row>
    <row r="125" ht="15" customHeight="1" s="5">
      <c r="B125" s="7" t="n"/>
      <c r="J125" s="7" t="n"/>
    </row>
    <row r="126" ht="15" customHeight="1" s="5">
      <c r="B126" s="7" t="n"/>
      <c r="J126" s="7" t="n"/>
    </row>
    <row r="127" ht="15" customHeight="1" s="5">
      <c r="B127" s="7" t="n"/>
      <c r="J127" s="7" t="n"/>
    </row>
    <row r="128" ht="15" customHeight="1" s="5">
      <c r="B128" s="7" t="n"/>
      <c r="J128" s="7" t="n"/>
    </row>
    <row r="129" ht="15" customHeight="1" s="5">
      <c r="B129" s="7" t="n"/>
      <c r="J129" s="7" t="n"/>
    </row>
    <row r="130" ht="15" customHeight="1" s="5">
      <c r="B130" s="7" t="n"/>
      <c r="J130" s="7" t="n"/>
    </row>
    <row r="131" ht="15" customHeight="1" s="5">
      <c r="B131" s="7" t="n"/>
      <c r="J131" s="7" t="n"/>
    </row>
    <row r="132" ht="15" customHeight="1" s="5">
      <c r="B132" s="7" t="n"/>
      <c r="J132" s="7" t="n"/>
    </row>
    <row r="133" ht="15" customHeight="1" s="5">
      <c r="B133" s="7" t="n"/>
      <c r="J133" s="7" t="n"/>
    </row>
    <row r="134" ht="15" customHeight="1" s="5">
      <c r="B134" s="7" t="n"/>
      <c r="J134" s="7" t="n"/>
    </row>
    <row r="135" ht="15" customHeight="1" s="5">
      <c r="B135" s="7" t="n"/>
      <c r="J135" s="7" t="n"/>
    </row>
    <row r="136" ht="15" customHeight="1" s="5">
      <c r="B136" s="7" t="n"/>
      <c r="J136" s="7" t="n"/>
    </row>
    <row r="137" ht="15" customHeight="1" s="5">
      <c r="B137" s="7" t="n"/>
      <c r="J137" s="7" t="n"/>
    </row>
    <row r="138" ht="15" customHeight="1" s="5">
      <c r="B138" s="7" t="n"/>
      <c r="J138" s="7" t="n"/>
    </row>
    <row r="139" ht="15" customHeight="1" s="5">
      <c r="B139" s="7" t="n"/>
      <c r="J139" s="7" t="n"/>
    </row>
    <row r="140" ht="15" customHeight="1" s="5">
      <c r="B140" s="7" t="n"/>
      <c r="J140" s="7" t="n"/>
    </row>
    <row r="141" ht="15" customHeight="1" s="5">
      <c r="B141" s="7" t="n"/>
      <c r="J141" s="7" t="n"/>
    </row>
    <row r="142" ht="15" customHeight="1" s="5">
      <c r="B142" s="7" t="n"/>
      <c r="J142" s="7" t="n"/>
    </row>
    <row r="143" ht="15" customHeight="1" s="5">
      <c r="B143" s="7" t="n"/>
      <c r="J143" s="7" t="n"/>
    </row>
    <row r="144" ht="15" customHeight="1" s="5">
      <c r="B144" s="7" t="n"/>
      <c r="J144" s="7" t="n"/>
    </row>
    <row r="145" ht="15" customHeight="1" s="5">
      <c r="B145" s="7" t="n"/>
      <c r="J145" s="7" t="n"/>
    </row>
    <row r="146" ht="15" customHeight="1" s="5">
      <c r="B146" s="7" t="n"/>
      <c r="J146" s="7" t="n"/>
    </row>
    <row r="147" ht="15" customHeight="1" s="5">
      <c r="B147" s="7" t="n"/>
      <c r="J147" s="7" t="n"/>
    </row>
    <row r="148" ht="15" customHeight="1" s="5">
      <c r="B148" s="7" t="n"/>
      <c r="J148" s="7" t="n"/>
    </row>
    <row r="149" ht="15" customHeight="1" s="5">
      <c r="B149" s="7" t="n"/>
      <c r="J149" s="7" t="n"/>
    </row>
    <row r="150" ht="15" customHeight="1" s="5">
      <c r="B150" s="7" t="n"/>
      <c r="J150" s="7" t="n"/>
    </row>
    <row r="151" ht="15" customHeight="1" s="5">
      <c r="B151" s="7" t="n"/>
      <c r="J151" s="7" t="n"/>
    </row>
    <row r="152" ht="15" customHeight="1" s="5">
      <c r="B152" s="7" t="n"/>
      <c r="J152" s="7" t="n"/>
    </row>
    <row r="153" ht="15" customHeight="1" s="5">
      <c r="B153" s="7" t="n"/>
      <c r="J153" s="7" t="n"/>
    </row>
    <row r="154" ht="15" customHeight="1" s="5">
      <c r="B154" s="7" t="n"/>
      <c r="J154" s="7" t="n"/>
    </row>
    <row r="155" ht="15" customHeight="1" s="5">
      <c r="B155" s="7" t="n"/>
      <c r="J155" s="7" t="n"/>
    </row>
    <row r="156" ht="15" customHeight="1" s="5">
      <c r="B156" s="7" t="n"/>
      <c r="J156" s="7" t="n"/>
    </row>
    <row r="157" ht="15" customHeight="1" s="5">
      <c r="B157" s="7" t="n"/>
      <c r="J157" s="7" t="n"/>
    </row>
    <row r="158" ht="15" customHeight="1" s="5">
      <c r="B158" s="7" t="n"/>
      <c r="J158" s="7" t="n"/>
    </row>
    <row r="159" ht="15" customHeight="1" s="5">
      <c r="B159" s="7" t="n"/>
      <c r="J159" s="7" t="n"/>
    </row>
    <row r="160" ht="15" customHeight="1" s="5">
      <c r="B160" s="7" t="n"/>
      <c r="J160" s="7" t="n"/>
    </row>
    <row r="161" ht="15" customHeight="1" s="5">
      <c r="B161" s="7" t="n"/>
      <c r="J161" s="7" t="n"/>
    </row>
    <row r="162" ht="15" customHeight="1" s="5">
      <c r="B162" s="7" t="n"/>
      <c r="J162" s="7" t="n"/>
    </row>
    <row r="163" ht="15" customHeight="1" s="5">
      <c r="B163" s="7" t="n"/>
      <c r="J163" s="7" t="n"/>
    </row>
    <row r="164" ht="15" customHeight="1" s="5">
      <c r="B164" s="7" t="n"/>
      <c r="J164" s="7" t="n"/>
    </row>
    <row r="165" ht="15" customHeight="1" s="5">
      <c r="B165" s="7" t="n"/>
      <c r="J165" s="7" t="n"/>
    </row>
    <row r="166" ht="15" customHeight="1" s="5">
      <c r="B166" s="7" t="n"/>
      <c r="J166" s="7" t="n"/>
    </row>
    <row r="167" ht="15" customHeight="1" s="5">
      <c r="B167" s="7" t="n"/>
      <c r="J167" s="7" t="n"/>
    </row>
    <row r="168" ht="15" customHeight="1" s="5">
      <c r="B168" s="7" t="n"/>
      <c r="J168" s="7" t="n"/>
    </row>
    <row r="169" ht="15" customHeight="1" s="5">
      <c r="B169" s="7" t="n"/>
      <c r="J169" s="7" t="n"/>
    </row>
    <row r="170" ht="15" customHeight="1" s="5">
      <c r="B170" s="7" t="n"/>
      <c r="J170" s="7" t="n"/>
    </row>
    <row r="171" ht="15" customHeight="1" s="5">
      <c r="B171" s="7" t="n"/>
      <c r="J171" s="7" t="n"/>
    </row>
    <row r="172" ht="15" customHeight="1" s="5">
      <c r="B172" s="7" t="n"/>
      <c r="J172" s="7" t="n"/>
    </row>
    <row r="173" ht="15" customHeight="1" s="5">
      <c r="B173" s="7" t="n"/>
      <c r="J173" s="7" t="n"/>
    </row>
    <row r="174" ht="15" customHeight="1" s="5">
      <c r="B174" s="7" t="n"/>
      <c r="J174" s="7" t="n"/>
    </row>
    <row r="175" ht="15" customHeight="1" s="5">
      <c r="B175" s="7" t="n"/>
      <c r="J175" s="7" t="n"/>
    </row>
    <row r="176" ht="15" customHeight="1" s="5">
      <c r="B176" s="7" t="n"/>
      <c r="J176" s="7" t="n"/>
    </row>
    <row r="177" ht="15" customHeight="1" s="5">
      <c r="B177" s="7" t="n"/>
      <c r="J177" s="7" t="n"/>
    </row>
    <row r="178" ht="15" customHeight="1" s="5">
      <c r="B178" s="7" t="n"/>
      <c r="J178" s="7" t="n"/>
    </row>
    <row r="179" ht="15" customHeight="1" s="5">
      <c r="B179" s="7" t="n"/>
      <c r="J179" s="7" t="n"/>
    </row>
    <row r="180" ht="15" customHeight="1" s="5">
      <c r="B180" s="7" t="n"/>
      <c r="J180" s="7" t="n"/>
    </row>
    <row r="181" ht="15" customHeight="1" s="5">
      <c r="B181" s="7" t="n"/>
      <c r="J181" s="7" t="n"/>
    </row>
    <row r="182" ht="15" customHeight="1" s="5">
      <c r="B182" s="7" t="n"/>
      <c r="J182" s="7" t="n"/>
    </row>
    <row r="183" ht="15" customHeight="1" s="5">
      <c r="B183" s="7" t="n"/>
      <c r="J183" s="7" t="n"/>
    </row>
    <row r="184" ht="15" customHeight="1" s="5">
      <c r="B184" s="7" t="n"/>
      <c r="J184" s="7" t="n"/>
    </row>
    <row r="185" ht="15" customHeight="1" s="5">
      <c r="B185" s="7" t="n"/>
      <c r="J185" s="7" t="n"/>
    </row>
    <row r="186" ht="15" customHeight="1" s="5">
      <c r="B186" s="7" t="n"/>
      <c r="J186" s="7" t="n"/>
    </row>
    <row r="187" ht="15" customHeight="1" s="5">
      <c r="B187" s="7" t="n"/>
      <c r="J187" s="7" t="n"/>
    </row>
    <row r="188" ht="15" customHeight="1" s="5">
      <c r="B188" s="7" t="n"/>
      <c r="J188" s="7" t="n"/>
    </row>
    <row r="189" ht="15" customHeight="1" s="5">
      <c r="B189" s="7" t="n"/>
      <c r="J189" s="7" t="n"/>
    </row>
    <row r="190" ht="15" customHeight="1" s="5">
      <c r="B190" s="7" t="n"/>
      <c r="J190" s="7" t="n"/>
    </row>
    <row r="191" ht="15" customHeight="1" s="5">
      <c r="B191" s="7" t="n"/>
      <c r="J191" s="7" t="n"/>
    </row>
    <row r="192" ht="15" customHeight="1" s="5">
      <c r="B192" s="7" t="n"/>
      <c r="J192" s="7" t="n"/>
    </row>
    <row r="193" ht="15" customHeight="1" s="5">
      <c r="B193" s="7" t="n"/>
      <c r="J193" s="7" t="n"/>
    </row>
    <row r="194" ht="15" customHeight="1" s="5">
      <c r="B194" s="7" t="n"/>
      <c r="J194" s="7" t="n"/>
    </row>
    <row r="195" ht="15" customHeight="1" s="5">
      <c r="B195" s="7" t="n"/>
      <c r="J195" s="7" t="n"/>
    </row>
    <row r="196" ht="15" customHeight="1" s="5">
      <c r="B196" s="7" t="n"/>
      <c r="J196" s="7" t="n"/>
    </row>
    <row r="197" ht="15" customHeight="1" s="5">
      <c r="B197" s="7" t="n"/>
      <c r="J197" s="7" t="n"/>
    </row>
    <row r="198" ht="15" customHeight="1" s="5">
      <c r="B198" s="7" t="n"/>
      <c r="J198" s="7" t="n"/>
    </row>
    <row r="199" ht="15" customHeight="1" s="5">
      <c r="B199" s="7" t="n"/>
      <c r="J199" s="7" t="n"/>
    </row>
    <row r="200" ht="15" customHeight="1" s="5">
      <c r="B200" s="7" t="n"/>
      <c r="J200" s="7" t="n"/>
    </row>
    <row r="201" ht="15" customHeight="1" s="5">
      <c r="B201" s="7" t="n"/>
      <c r="J201" s="7" t="n"/>
    </row>
    <row r="202" ht="15" customHeight="1" s="5">
      <c r="B202" s="7" t="n"/>
      <c r="J202" s="7" t="n"/>
    </row>
    <row r="203" ht="15" customHeight="1" s="5">
      <c r="B203" s="7" t="n"/>
      <c r="J203" s="7" t="n"/>
    </row>
    <row r="204" ht="15" customHeight="1" s="5">
      <c r="B204" s="7" t="n"/>
      <c r="J204" s="7" t="n"/>
    </row>
    <row r="205" ht="15" customHeight="1" s="5">
      <c r="B205" s="7" t="n"/>
      <c r="J205" s="7" t="n"/>
    </row>
    <row r="206" ht="15" customHeight="1" s="5">
      <c r="B206" s="7" t="n"/>
      <c r="J206" s="7" t="n"/>
    </row>
    <row r="207" ht="15" customHeight="1" s="5">
      <c r="B207" s="7" t="n"/>
      <c r="J207" s="7" t="n"/>
    </row>
    <row r="208" ht="15" customHeight="1" s="5">
      <c r="B208" s="7" t="n"/>
      <c r="J208" s="7" t="n"/>
    </row>
    <row r="209" ht="15" customHeight="1" s="5">
      <c r="B209" s="7" t="n"/>
      <c r="J209" s="7" t="n"/>
    </row>
    <row r="210" ht="15" customHeight="1" s="5">
      <c r="B210" s="7" t="n"/>
      <c r="J210" s="7" t="n"/>
    </row>
    <row r="211" ht="15" customHeight="1" s="5">
      <c r="B211" s="7" t="n"/>
      <c r="J211" s="7" t="n"/>
    </row>
    <row r="212" ht="15" customHeight="1" s="5">
      <c r="B212" s="7" t="n"/>
      <c r="J212" s="7" t="n"/>
    </row>
    <row r="213" ht="15" customHeight="1" s="5">
      <c r="B213" s="7" t="n"/>
      <c r="J213" s="7" t="n"/>
    </row>
    <row r="214" ht="15" customHeight="1" s="5">
      <c r="B214" s="7" t="n"/>
      <c r="J214" s="7" t="n"/>
    </row>
    <row r="215" ht="15" customHeight="1" s="5">
      <c r="B215" s="7" t="n"/>
      <c r="J215" s="7" t="n"/>
    </row>
    <row r="216" ht="15" customHeight="1" s="5">
      <c r="B216" s="7" t="n"/>
      <c r="J216" s="7" t="n"/>
    </row>
    <row r="217" ht="15" customHeight="1" s="5">
      <c r="B217" s="7" t="n"/>
      <c r="J217" s="7" t="n"/>
    </row>
    <row r="218" ht="15" customHeight="1" s="5">
      <c r="B218" s="7" t="n"/>
      <c r="J218" s="7" t="n"/>
    </row>
    <row r="219" ht="15" customHeight="1" s="5">
      <c r="B219" s="7" t="n"/>
      <c r="J219" s="7" t="n"/>
    </row>
    <row r="220" ht="15" customHeight="1" s="5">
      <c r="B220" s="7" t="n"/>
      <c r="J220" s="7" t="n"/>
    </row>
    <row r="221" ht="15" customHeight="1" s="5">
      <c r="B221" s="7" t="n"/>
      <c r="J221" s="7" t="n"/>
    </row>
    <row r="222" ht="15" customHeight="1" s="5">
      <c r="B222" s="7" t="n"/>
      <c r="J222" s="7" t="n"/>
    </row>
    <row r="223" ht="15" customHeight="1" s="5">
      <c r="B223" s="7" t="n"/>
      <c r="J223" s="7" t="n"/>
    </row>
    <row r="224" ht="15" customHeight="1" s="5">
      <c r="B224" s="7" t="n"/>
      <c r="J224" s="7" t="n"/>
    </row>
    <row r="225" ht="15" customHeight="1" s="5">
      <c r="B225" s="7" t="n"/>
      <c r="J225" s="7" t="n"/>
    </row>
    <row r="226" ht="15" customHeight="1" s="5">
      <c r="B226" s="7" t="n"/>
      <c r="J226" s="7" t="n"/>
    </row>
    <row r="227" ht="15" customHeight="1" s="5">
      <c r="B227" s="7" t="n"/>
      <c r="J227" s="7" t="n"/>
    </row>
    <row r="228" ht="15" customHeight="1" s="5">
      <c r="B228" s="7" t="n"/>
      <c r="J228" s="7" t="n"/>
    </row>
    <row r="229" ht="15" customHeight="1" s="5">
      <c r="B229" s="7" t="n"/>
      <c r="J229" s="7" t="n"/>
    </row>
    <row r="230" ht="15" customHeight="1" s="5">
      <c r="B230" s="7" t="n"/>
      <c r="J230" s="7" t="n"/>
    </row>
    <row r="231" ht="15" customHeight="1" s="5">
      <c r="B231" s="7" t="n"/>
      <c r="J231" s="7" t="n"/>
    </row>
    <row r="232" ht="15" customHeight="1" s="5">
      <c r="B232" s="7" t="n"/>
      <c r="J232" s="7" t="n"/>
    </row>
    <row r="233" ht="15" customHeight="1" s="5">
      <c r="B233" s="7" t="n"/>
      <c r="J233" s="7" t="n"/>
    </row>
    <row r="234" ht="15" customHeight="1" s="5">
      <c r="B234" s="7" t="n"/>
      <c r="J234" s="7" t="n"/>
    </row>
    <row r="235" ht="15" customHeight="1" s="5">
      <c r="B235" s="7" t="n"/>
      <c r="J235" s="7" t="n"/>
    </row>
    <row r="236" ht="15" customHeight="1" s="5">
      <c r="B236" s="7" t="n"/>
      <c r="J236" s="7" t="n"/>
    </row>
    <row r="237" ht="15" customHeight="1" s="5">
      <c r="B237" s="7" t="n"/>
      <c r="J237" s="7" t="n"/>
    </row>
    <row r="238" ht="15" customHeight="1" s="5">
      <c r="B238" s="7" t="n"/>
      <c r="J238" s="7" t="n"/>
    </row>
    <row r="239" ht="15" customHeight="1" s="5">
      <c r="B239" s="7" t="n"/>
      <c r="J239" s="7" t="n"/>
    </row>
    <row r="240" ht="15" customHeight="1" s="5">
      <c r="B240" s="7" t="n"/>
      <c r="J240" s="7" t="n"/>
    </row>
    <row r="241" ht="15" customHeight="1" s="5">
      <c r="B241" s="7" t="n"/>
      <c r="J241" s="7" t="n"/>
    </row>
    <row r="242" ht="15" customHeight="1" s="5">
      <c r="B242" s="7" t="n"/>
      <c r="J242" s="7" t="n"/>
    </row>
    <row r="243" ht="15" customHeight="1" s="5">
      <c r="B243" s="7" t="n"/>
      <c r="J243" s="7" t="n"/>
    </row>
    <row r="244" ht="15" customHeight="1" s="5">
      <c r="B244" s="7" t="n"/>
      <c r="J244" s="7" t="n"/>
    </row>
    <row r="245" ht="15" customHeight="1" s="5">
      <c r="B245" s="7" t="n"/>
      <c r="J245" s="7" t="n"/>
    </row>
    <row r="246" ht="15" customHeight="1" s="5">
      <c r="B246" s="7" t="n"/>
      <c r="J246" s="7" t="n"/>
    </row>
    <row r="247" ht="15" customHeight="1" s="5">
      <c r="B247" s="7" t="n"/>
      <c r="J247" s="7" t="n"/>
    </row>
    <row r="248" ht="15" customHeight="1" s="5">
      <c r="B248" s="7" t="n"/>
      <c r="J248" s="7" t="n"/>
    </row>
    <row r="249" ht="15" customHeight="1" s="5">
      <c r="B249" s="7" t="n"/>
      <c r="J249" s="7" t="n"/>
    </row>
    <row r="250" ht="15" customHeight="1" s="5">
      <c r="B250" s="7" t="n"/>
      <c r="J250" s="7" t="n"/>
    </row>
    <row r="251" ht="15" customHeight="1" s="5">
      <c r="B251" s="7" t="n"/>
      <c r="J251" s="7" t="n"/>
    </row>
    <row r="252" ht="15" customHeight="1" s="5">
      <c r="B252" s="7" t="n"/>
      <c r="J252" s="7" t="n"/>
    </row>
    <row r="253" ht="15" customHeight="1" s="5">
      <c r="B253" s="7" t="n"/>
      <c r="J253" s="7" t="n"/>
    </row>
    <row r="254" ht="15" customHeight="1" s="5">
      <c r="B254" s="7" t="n"/>
      <c r="J254" s="7" t="n"/>
    </row>
    <row r="255" ht="15" customHeight="1" s="5">
      <c r="B255" s="7" t="n"/>
      <c r="J255" s="7" t="n"/>
    </row>
    <row r="256" ht="15" customHeight="1" s="5">
      <c r="B256" s="7" t="n"/>
      <c r="J256" s="7" t="n"/>
    </row>
    <row r="257" ht="15" customHeight="1" s="5">
      <c r="B257" s="7" t="n"/>
      <c r="J257" s="7" t="n"/>
    </row>
    <row r="258" ht="15" customHeight="1" s="5">
      <c r="B258" s="7" t="n"/>
      <c r="J258" s="7" t="n"/>
    </row>
    <row r="259" ht="15" customHeight="1" s="5">
      <c r="B259" s="7" t="n"/>
      <c r="J259" s="7" t="n"/>
    </row>
    <row r="260" ht="15" customHeight="1" s="5">
      <c r="B260" s="7" t="n"/>
      <c r="J260" s="7" t="n"/>
    </row>
    <row r="261" ht="15" customHeight="1" s="5">
      <c r="B261" s="7" t="n"/>
      <c r="J261" s="7" t="n"/>
    </row>
    <row r="262" ht="15" customHeight="1" s="5">
      <c r="B262" s="7" t="n"/>
      <c r="J262" s="7" t="n"/>
    </row>
    <row r="263" ht="15" customHeight="1" s="5">
      <c r="B263" s="7" t="n"/>
      <c r="J263" s="7" t="n"/>
    </row>
    <row r="264" ht="15" customHeight="1" s="5">
      <c r="B264" s="7" t="n"/>
      <c r="J264" s="7" t="n"/>
    </row>
    <row r="265" ht="15" customHeight="1" s="5">
      <c r="B265" s="7" t="n"/>
      <c r="J265" s="7" t="n"/>
    </row>
    <row r="266" ht="15" customHeight="1" s="5">
      <c r="B266" s="7" t="n"/>
      <c r="J266" s="7" t="n"/>
    </row>
    <row r="267" ht="15" customHeight="1" s="5">
      <c r="B267" s="7" t="n"/>
      <c r="J267" s="7" t="n"/>
    </row>
    <row r="268" ht="15" customHeight="1" s="5">
      <c r="B268" s="7" t="n"/>
      <c r="J268" s="7" t="n"/>
    </row>
    <row r="269" ht="15" customHeight="1" s="5">
      <c r="B269" s="7" t="n"/>
      <c r="J269" s="7" t="n"/>
    </row>
    <row r="270" ht="15" customHeight="1" s="5">
      <c r="B270" s="7" t="n"/>
      <c r="J270" s="7" t="n"/>
    </row>
    <row r="271" ht="15" customHeight="1" s="5">
      <c r="B271" s="7" t="n"/>
      <c r="J271" s="7" t="n"/>
    </row>
    <row r="272" ht="15" customHeight="1" s="5">
      <c r="B272" s="7" t="n"/>
      <c r="J272" s="7" t="n"/>
    </row>
    <row r="273" ht="15" customHeight="1" s="5">
      <c r="B273" s="7" t="n"/>
      <c r="J273" s="7" t="n"/>
    </row>
    <row r="274" ht="15" customHeight="1" s="5">
      <c r="B274" s="7" t="n"/>
      <c r="J274" s="7" t="n"/>
    </row>
    <row r="275" ht="15" customHeight="1" s="5">
      <c r="B275" s="7" t="n"/>
      <c r="J275" s="7" t="n"/>
    </row>
    <row r="276" ht="15" customHeight="1" s="5">
      <c r="B276" s="7" t="n"/>
      <c r="J276" s="7" t="n"/>
    </row>
    <row r="277" ht="15" customHeight="1" s="5">
      <c r="B277" s="7" t="n"/>
      <c r="J277" s="7" t="n"/>
    </row>
    <row r="278" ht="15" customHeight="1" s="5">
      <c r="B278" s="7" t="n"/>
      <c r="J278" s="7" t="n"/>
    </row>
    <row r="279" ht="15" customHeight="1" s="5">
      <c r="B279" s="7" t="n"/>
      <c r="J279" s="7" t="n"/>
    </row>
    <row r="280" ht="15" customHeight="1" s="5">
      <c r="B280" s="7" t="n"/>
      <c r="J280" s="7" t="n"/>
    </row>
    <row r="281" ht="15" customHeight="1" s="5">
      <c r="B281" s="7" t="n"/>
      <c r="J281" s="7" t="n"/>
    </row>
    <row r="282" ht="15" customHeight="1" s="5">
      <c r="B282" s="7" t="n"/>
      <c r="J282" s="7" t="n"/>
    </row>
    <row r="283" ht="15" customHeight="1" s="5">
      <c r="B283" s="7" t="n"/>
      <c r="J283" s="7" t="n"/>
    </row>
    <row r="284" ht="15" customHeight="1" s="5">
      <c r="B284" s="7" t="n"/>
      <c r="J284" s="7" t="n"/>
    </row>
    <row r="285" ht="15" customHeight="1" s="5">
      <c r="B285" s="7" t="n"/>
      <c r="J285" s="7" t="n"/>
    </row>
    <row r="286" ht="15" customHeight="1" s="5">
      <c r="B286" s="7" t="n"/>
      <c r="J286" s="7" t="n"/>
    </row>
    <row r="287" ht="15" customHeight="1" s="5">
      <c r="B287" s="7" t="n"/>
      <c r="J287" s="7" t="n"/>
    </row>
    <row r="288" ht="15" customHeight="1" s="5">
      <c r="B288" s="7" t="n"/>
      <c r="J288" s="7" t="n"/>
    </row>
    <row r="289" ht="15" customHeight="1" s="5">
      <c r="B289" s="7" t="n"/>
      <c r="J289" s="7" t="n"/>
    </row>
    <row r="290" ht="15" customHeight="1" s="5">
      <c r="B290" s="7" t="n"/>
      <c r="J290" s="7" t="n"/>
    </row>
    <row r="291" ht="15" customHeight="1" s="5">
      <c r="B291" s="7" t="n"/>
      <c r="J291" s="7" t="n"/>
    </row>
    <row r="292" ht="15" customHeight="1" s="5">
      <c r="B292" s="7" t="n"/>
      <c r="J292" s="7" t="n"/>
    </row>
    <row r="293" ht="15" customHeight="1" s="5">
      <c r="B293" s="7" t="n"/>
      <c r="J293" s="7" t="n"/>
    </row>
    <row r="294" ht="15" customHeight="1" s="5">
      <c r="B294" s="7" t="n"/>
      <c r="J294" s="7" t="n"/>
    </row>
    <row r="295" ht="15" customHeight="1" s="5">
      <c r="B295" s="7" t="n"/>
      <c r="J295" s="7" t="n"/>
    </row>
    <row r="296" ht="15" customHeight="1" s="5">
      <c r="B296" s="7" t="n"/>
      <c r="J296" s="7" t="n"/>
    </row>
    <row r="297" ht="15" customHeight="1" s="5">
      <c r="B297" s="7" t="n"/>
      <c r="J297" s="7" t="n"/>
    </row>
    <row r="298" ht="15" customHeight="1" s="5">
      <c r="B298" s="7" t="n"/>
      <c r="J298" s="7" t="n"/>
    </row>
    <row r="299" ht="15" customHeight="1" s="5">
      <c r="B299" s="7" t="n"/>
      <c r="J299" s="7" t="n"/>
    </row>
    <row r="300" ht="15" customHeight="1" s="5">
      <c r="B300" s="7" t="n"/>
      <c r="J300" s="7" t="n"/>
    </row>
    <row r="301" ht="15" customHeight="1" s="5">
      <c r="B301" s="7" t="n"/>
      <c r="J301" s="7" t="n"/>
    </row>
    <row r="302" ht="15" customHeight="1" s="5">
      <c r="B302" s="7" t="n"/>
      <c r="J302" s="7" t="n"/>
    </row>
    <row r="303" ht="15" customHeight="1" s="5">
      <c r="B303" s="7" t="n"/>
      <c r="J303" s="7" t="n"/>
    </row>
    <row r="304" ht="15" customHeight="1" s="5">
      <c r="B304" s="7" t="n"/>
      <c r="J304" s="7" t="n"/>
    </row>
    <row r="305" ht="15" customHeight="1" s="5">
      <c r="B305" s="7" t="n"/>
      <c r="J305" s="7" t="n"/>
    </row>
    <row r="306" ht="15" customHeight="1" s="5">
      <c r="B306" s="7" t="n"/>
      <c r="J306" s="7" t="n"/>
    </row>
    <row r="307" ht="15" customHeight="1" s="5">
      <c r="B307" s="7" t="n"/>
      <c r="J307" s="7" t="n"/>
    </row>
    <row r="308" ht="15" customHeight="1" s="5">
      <c r="B308" s="7" t="n"/>
      <c r="J308" s="7" t="n"/>
    </row>
    <row r="309" ht="15" customHeight="1" s="5">
      <c r="B309" s="7" t="n"/>
      <c r="J309" s="7" t="n"/>
    </row>
    <row r="310" ht="15" customHeight="1" s="5">
      <c r="B310" s="7" t="n"/>
      <c r="J310" s="7" t="n"/>
    </row>
    <row r="311" ht="15" customHeight="1" s="5">
      <c r="B311" s="7" t="n"/>
      <c r="J311" s="7" t="n"/>
    </row>
    <row r="312" ht="15" customHeight="1" s="5">
      <c r="B312" s="7" t="n"/>
      <c r="J312" s="7" t="n"/>
    </row>
    <row r="313" ht="15" customHeight="1" s="5">
      <c r="B313" s="7" t="n"/>
      <c r="J313" s="7" t="n"/>
    </row>
    <row r="314" ht="15" customHeight="1" s="5">
      <c r="B314" s="7" t="n"/>
      <c r="J314" s="7" t="n"/>
    </row>
    <row r="315" ht="15" customHeight="1" s="5">
      <c r="B315" s="7" t="n"/>
      <c r="J315" s="7" t="n"/>
    </row>
    <row r="316" ht="15" customHeight="1" s="5">
      <c r="B316" s="7" t="n"/>
      <c r="J316" s="7" t="n"/>
    </row>
    <row r="317" ht="15" customHeight="1" s="5">
      <c r="B317" s="7" t="n"/>
      <c r="J317" s="7" t="n"/>
    </row>
    <row r="318" ht="15" customHeight="1" s="5">
      <c r="B318" s="7" t="n"/>
      <c r="J318" s="7" t="n"/>
    </row>
    <row r="319" ht="15" customHeight="1" s="5">
      <c r="B319" s="7" t="n"/>
      <c r="J319" s="7" t="n"/>
    </row>
    <row r="320" ht="15" customHeight="1" s="5">
      <c r="B320" s="7" t="n"/>
      <c r="J320" s="7" t="n"/>
    </row>
    <row r="321" ht="15" customHeight="1" s="5">
      <c r="B321" s="7" t="n"/>
      <c r="J321" s="7" t="n"/>
    </row>
    <row r="322" ht="15" customHeight="1" s="5">
      <c r="B322" s="7" t="n"/>
      <c r="J322" s="7" t="n"/>
    </row>
    <row r="323" ht="15" customHeight="1" s="5">
      <c r="B323" s="7" t="n"/>
      <c r="J323" s="7" t="n"/>
    </row>
    <row r="324" ht="15" customHeight="1" s="5">
      <c r="B324" s="7" t="n"/>
      <c r="J324" s="7" t="n"/>
    </row>
    <row r="325" ht="15" customHeight="1" s="5">
      <c r="B325" s="7" t="n"/>
      <c r="J325" s="7" t="n"/>
    </row>
    <row r="326" ht="15" customHeight="1" s="5">
      <c r="B326" s="7" t="n"/>
      <c r="J326" s="7" t="n"/>
    </row>
    <row r="327" ht="15" customHeight="1" s="5">
      <c r="B327" s="7" t="n"/>
      <c r="J327" s="7" t="n"/>
    </row>
    <row r="328" ht="15" customHeight="1" s="5">
      <c r="B328" s="7" t="n"/>
      <c r="J328" s="7" t="n"/>
    </row>
    <row r="329" ht="15" customHeight="1" s="5">
      <c r="B329" s="7" t="n"/>
      <c r="J329" s="7" t="n"/>
    </row>
    <row r="330" ht="15" customHeight="1" s="5">
      <c r="B330" s="7" t="n"/>
      <c r="J330" s="7" t="n"/>
    </row>
    <row r="331" ht="15" customHeight="1" s="5">
      <c r="B331" s="7" t="n"/>
      <c r="J331" s="7" t="n"/>
    </row>
    <row r="332" ht="15" customHeight="1" s="5">
      <c r="B332" s="7" t="n"/>
      <c r="J332" s="7" t="n"/>
    </row>
    <row r="333" ht="15" customHeight="1" s="5">
      <c r="B333" s="7" t="n"/>
      <c r="J333" s="7" t="n"/>
    </row>
    <row r="334" ht="15" customHeight="1" s="5">
      <c r="B334" s="7" t="n"/>
      <c r="J334" s="7" t="n"/>
    </row>
    <row r="335" ht="15" customHeight="1" s="5">
      <c r="B335" s="7" t="n"/>
      <c r="J335" s="7" t="n"/>
    </row>
    <row r="336" ht="15" customHeight="1" s="5">
      <c r="B336" s="7" t="n"/>
      <c r="J336" s="7" t="n"/>
    </row>
    <row r="337" ht="15" customHeight="1" s="5">
      <c r="B337" s="7" t="n"/>
      <c r="J337" s="7" t="n"/>
    </row>
    <row r="338" ht="15" customHeight="1" s="5">
      <c r="B338" s="7" t="n"/>
      <c r="J338" s="7" t="n"/>
    </row>
    <row r="339" ht="15" customHeight="1" s="5">
      <c r="B339" s="7" t="n"/>
      <c r="J339" s="7" t="n"/>
    </row>
    <row r="340" ht="15" customHeight="1" s="5">
      <c r="B340" s="7" t="n"/>
      <c r="J340" s="7" t="n"/>
    </row>
    <row r="341" ht="15" customHeight="1" s="5">
      <c r="B341" s="7" t="n"/>
      <c r="J341" s="7" t="n"/>
    </row>
    <row r="342" ht="15" customHeight="1" s="5">
      <c r="B342" s="7" t="n"/>
      <c r="J342" s="7" t="n"/>
    </row>
    <row r="343" ht="15" customHeight="1" s="5">
      <c r="B343" s="7" t="n"/>
      <c r="J343" s="7" t="n"/>
    </row>
    <row r="344" ht="15" customHeight="1" s="5">
      <c r="B344" s="7" t="n"/>
      <c r="J344" s="7" t="n"/>
    </row>
    <row r="345" ht="15" customHeight="1" s="5">
      <c r="B345" s="7" t="n"/>
      <c r="J345" s="7" t="n"/>
    </row>
    <row r="346" ht="15" customHeight="1" s="5">
      <c r="B346" s="7" t="n"/>
      <c r="J346" s="7" t="n"/>
    </row>
    <row r="347" ht="15" customHeight="1" s="5">
      <c r="B347" s="7" t="n"/>
      <c r="J347" s="7" t="n"/>
    </row>
    <row r="348" ht="15" customHeight="1" s="5">
      <c r="B348" s="7" t="n"/>
      <c r="J348" s="7" t="n"/>
    </row>
    <row r="349" ht="15" customHeight="1" s="5">
      <c r="B349" s="7" t="n"/>
      <c r="J349" s="7" t="n"/>
    </row>
    <row r="350" ht="15" customHeight="1" s="5">
      <c r="B350" s="7" t="n"/>
      <c r="J350" s="7" t="n"/>
    </row>
    <row r="351" ht="15" customHeight="1" s="5">
      <c r="B351" s="7" t="n"/>
      <c r="J351" s="7" t="n"/>
    </row>
    <row r="352" ht="15" customHeight="1" s="5">
      <c r="B352" s="7" t="n"/>
      <c r="J352" s="7" t="n"/>
    </row>
    <row r="353" ht="15" customHeight="1" s="5">
      <c r="B353" s="7" t="n"/>
      <c r="J353" s="7" t="n"/>
    </row>
    <row r="354" ht="15" customHeight="1" s="5">
      <c r="B354" s="7" t="n"/>
      <c r="J354" s="7" t="n"/>
    </row>
    <row r="355" ht="15" customHeight="1" s="5">
      <c r="B355" s="7" t="n"/>
      <c r="J355" s="7" t="n"/>
    </row>
    <row r="356" ht="15" customHeight="1" s="5">
      <c r="B356" s="7" t="n"/>
      <c r="J356" s="7" t="n"/>
    </row>
    <row r="357" ht="15" customHeight="1" s="5">
      <c r="B357" s="7" t="n"/>
      <c r="J357" s="7" t="n"/>
    </row>
    <row r="358" ht="15" customHeight="1" s="5">
      <c r="B358" s="7" t="n"/>
      <c r="J358" s="7" t="n"/>
    </row>
    <row r="359" ht="15" customHeight="1" s="5">
      <c r="B359" s="7" t="n"/>
      <c r="J359" s="7" t="n"/>
    </row>
    <row r="360" ht="15" customHeight="1" s="5">
      <c r="B360" s="7" t="n"/>
      <c r="J360" s="7" t="n"/>
    </row>
    <row r="361" ht="15" customHeight="1" s="5">
      <c r="B361" s="7" t="n"/>
      <c r="J361" s="7" t="n"/>
    </row>
    <row r="362" ht="15" customHeight="1" s="5">
      <c r="B362" s="7" t="n"/>
      <c r="J362" s="7" t="n"/>
    </row>
    <row r="363" ht="15" customHeight="1" s="5">
      <c r="B363" s="7" t="n"/>
      <c r="J363" s="7" t="n"/>
    </row>
    <row r="364" ht="15" customHeight="1" s="5">
      <c r="B364" s="7" t="n"/>
      <c r="J364" s="7" t="n"/>
    </row>
    <row r="365" ht="15" customHeight="1" s="5">
      <c r="B365" s="7" t="n"/>
      <c r="J365" s="7" t="n"/>
    </row>
    <row r="366" ht="15" customHeight="1" s="5">
      <c r="B366" s="7" t="n"/>
      <c r="J366" s="7" t="n"/>
    </row>
    <row r="367" ht="15" customHeight="1" s="5">
      <c r="B367" s="7" t="n"/>
      <c r="J367" s="7" t="n"/>
    </row>
    <row r="368" ht="15" customHeight="1" s="5">
      <c r="B368" s="7" t="n"/>
      <c r="J368" s="7" t="n"/>
    </row>
    <row r="369" ht="15" customHeight="1" s="5">
      <c r="B369" s="7" t="n"/>
      <c r="J369" s="7" t="n"/>
    </row>
    <row r="370" ht="15" customHeight="1" s="5">
      <c r="B370" s="7" t="n"/>
      <c r="J370" s="7" t="n"/>
    </row>
    <row r="371" ht="15" customHeight="1" s="5">
      <c r="B371" s="7" t="n"/>
      <c r="J371" s="7" t="n"/>
    </row>
    <row r="372" ht="15" customHeight="1" s="5">
      <c r="B372" s="7" t="n"/>
      <c r="J372" s="7" t="n"/>
    </row>
    <row r="373" ht="15" customHeight="1" s="5">
      <c r="B373" s="7" t="n"/>
      <c r="J373" s="7" t="n"/>
    </row>
    <row r="374" ht="15" customHeight="1" s="5">
      <c r="B374" s="7" t="n"/>
      <c r="J374" s="7" t="n"/>
    </row>
    <row r="375" ht="15" customHeight="1" s="5">
      <c r="B375" s="7" t="n"/>
      <c r="J375" s="7" t="n"/>
    </row>
    <row r="376" ht="15" customHeight="1" s="5">
      <c r="B376" s="7" t="n"/>
      <c r="J376" s="7" t="n"/>
    </row>
    <row r="377" ht="15" customHeight="1" s="5">
      <c r="B377" s="7" t="n"/>
      <c r="J377" s="7" t="n"/>
    </row>
    <row r="378" ht="15" customHeight="1" s="5">
      <c r="B378" s="7" t="n"/>
      <c r="J378" s="7" t="n"/>
    </row>
    <row r="379" ht="15" customHeight="1" s="5">
      <c r="B379" s="7" t="n"/>
      <c r="J379" s="7" t="n"/>
    </row>
    <row r="380" ht="15" customHeight="1" s="5">
      <c r="B380" s="7" t="n"/>
      <c r="J380" s="7" t="n"/>
    </row>
    <row r="381" ht="15" customHeight="1" s="5">
      <c r="B381" s="7" t="n"/>
      <c r="J381" s="7" t="n"/>
    </row>
    <row r="382" ht="15" customHeight="1" s="5">
      <c r="B382" s="7" t="n"/>
      <c r="J382" s="7" t="n"/>
    </row>
    <row r="383" ht="15" customHeight="1" s="5">
      <c r="B383" s="7" t="n"/>
      <c r="J383" s="7" t="n"/>
    </row>
    <row r="384" ht="15" customHeight="1" s="5">
      <c r="B384" s="7" t="n"/>
      <c r="J384" s="7" t="n"/>
    </row>
    <row r="385" ht="15" customHeight="1" s="5">
      <c r="B385" s="7" t="n"/>
      <c r="J385" s="7" t="n"/>
    </row>
    <row r="386" ht="15" customHeight="1" s="5">
      <c r="B386" s="7" t="n"/>
      <c r="J386" s="7" t="n"/>
    </row>
    <row r="387" ht="15" customHeight="1" s="5">
      <c r="B387" s="7" t="n"/>
      <c r="J387" s="7" t="n"/>
    </row>
    <row r="388" ht="15" customHeight="1" s="5">
      <c r="B388" s="7" t="n"/>
      <c r="J388" s="7" t="n"/>
    </row>
    <row r="389" ht="15" customHeight="1" s="5">
      <c r="B389" s="7" t="n"/>
      <c r="J389" s="7" t="n"/>
    </row>
    <row r="390" ht="15" customHeight="1" s="5">
      <c r="B390" s="7" t="n"/>
      <c r="J390" s="7" t="n"/>
    </row>
    <row r="391" ht="15" customHeight="1" s="5">
      <c r="B391" s="7" t="n"/>
      <c r="J391" s="7" t="n"/>
    </row>
    <row r="392" ht="15" customHeight="1" s="5">
      <c r="B392" s="7" t="n"/>
      <c r="J392" s="7" t="n"/>
    </row>
    <row r="393" ht="15" customHeight="1" s="5">
      <c r="B393" s="7" t="n"/>
      <c r="J393" s="7" t="n"/>
    </row>
    <row r="394" ht="15" customHeight="1" s="5">
      <c r="B394" s="7" t="n"/>
      <c r="J394" s="7" t="n"/>
    </row>
    <row r="395" ht="15" customHeight="1" s="5">
      <c r="B395" s="7" t="n"/>
      <c r="J395" s="7" t="n"/>
    </row>
    <row r="396" ht="15" customHeight="1" s="5">
      <c r="B396" s="7" t="n"/>
      <c r="J396" s="7" t="n"/>
    </row>
    <row r="397" ht="15" customHeight="1" s="5">
      <c r="B397" s="7" t="n"/>
      <c r="J397" s="7" t="n"/>
    </row>
    <row r="398" ht="15" customHeight="1" s="5">
      <c r="B398" s="7" t="n"/>
      <c r="J398" s="7" t="n"/>
    </row>
    <row r="399" ht="15" customHeight="1" s="5">
      <c r="B399" s="7" t="n"/>
      <c r="J399" s="7" t="n"/>
    </row>
    <row r="400" ht="15" customHeight="1" s="5">
      <c r="B400" s="7" t="n"/>
      <c r="J400" s="7" t="n"/>
    </row>
    <row r="401" ht="15" customHeight="1" s="5">
      <c r="B401" s="7" t="n"/>
      <c r="J401" s="7" t="n"/>
    </row>
    <row r="402" ht="15" customHeight="1" s="5">
      <c r="B402" s="7" t="n"/>
      <c r="J402" s="7" t="n"/>
    </row>
    <row r="403" ht="15" customHeight="1" s="5">
      <c r="B403" s="7" t="n"/>
      <c r="J403" s="7" t="n"/>
    </row>
    <row r="404" ht="15" customHeight="1" s="5">
      <c r="B404" s="7" t="n"/>
      <c r="J404" s="7" t="n"/>
    </row>
    <row r="405" ht="15" customHeight="1" s="5">
      <c r="B405" s="7" t="n"/>
      <c r="J405" s="7" t="n"/>
    </row>
    <row r="406" ht="15" customHeight="1" s="5">
      <c r="B406" s="7" t="n"/>
      <c r="J406" s="7" t="n"/>
    </row>
    <row r="407" ht="15" customHeight="1" s="5">
      <c r="B407" s="7" t="n"/>
      <c r="J407" s="7" t="n"/>
    </row>
    <row r="408" ht="15" customHeight="1" s="5">
      <c r="B408" s="7" t="n"/>
      <c r="J408" s="7" t="n"/>
    </row>
    <row r="409" ht="15" customHeight="1" s="5">
      <c r="B409" s="7" t="n"/>
      <c r="J409" s="7" t="n"/>
    </row>
    <row r="410" ht="15" customHeight="1" s="5">
      <c r="B410" s="7" t="n"/>
      <c r="J410" s="7" t="n"/>
    </row>
    <row r="411" ht="15" customHeight="1" s="5">
      <c r="B411" s="7" t="n"/>
      <c r="J411" s="7" t="n"/>
    </row>
    <row r="412" ht="15" customHeight="1" s="5">
      <c r="B412" s="7" t="n"/>
      <c r="J412" s="7" t="n"/>
    </row>
    <row r="413" ht="15" customHeight="1" s="5">
      <c r="B413" s="7" t="n"/>
      <c r="J413" s="7" t="n"/>
    </row>
    <row r="414" ht="15" customHeight="1" s="5">
      <c r="B414" s="7" t="n"/>
      <c r="J414" s="7" t="n"/>
    </row>
    <row r="415" ht="15" customHeight="1" s="5">
      <c r="B415" s="7" t="n"/>
      <c r="J415" s="7" t="n"/>
    </row>
    <row r="416" ht="15" customHeight="1" s="5">
      <c r="B416" s="7" t="n"/>
      <c r="J416" s="7" t="n"/>
    </row>
    <row r="417" ht="15" customHeight="1" s="5">
      <c r="B417" s="7" t="n"/>
      <c r="J417" s="7" t="n"/>
    </row>
    <row r="418" ht="15" customHeight="1" s="5">
      <c r="B418" s="7" t="n"/>
      <c r="J418" s="7" t="n"/>
    </row>
    <row r="419" ht="15" customHeight="1" s="5">
      <c r="B419" s="7" t="n"/>
      <c r="J419" s="7" t="n"/>
    </row>
    <row r="420" ht="15" customHeight="1" s="5">
      <c r="B420" s="7" t="n"/>
      <c r="J420" s="7" t="n"/>
    </row>
    <row r="421" ht="15" customHeight="1" s="5">
      <c r="B421" s="7" t="n"/>
      <c r="J421" s="7" t="n"/>
    </row>
    <row r="422" ht="15" customHeight="1" s="5">
      <c r="B422" s="7" t="n"/>
      <c r="J422" s="7" t="n"/>
    </row>
    <row r="423" ht="15" customHeight="1" s="5">
      <c r="B423" s="7" t="n"/>
      <c r="J423" s="7" t="n"/>
    </row>
    <row r="424" ht="15" customHeight="1" s="5">
      <c r="B424" s="7" t="n"/>
      <c r="J424" s="7" t="n"/>
    </row>
    <row r="425" ht="15" customHeight="1" s="5">
      <c r="B425" s="7" t="n"/>
      <c r="J425" s="7" t="n"/>
    </row>
    <row r="426" ht="15" customHeight="1" s="5">
      <c r="B426" s="7" t="n"/>
      <c r="J426" s="7" t="n"/>
    </row>
    <row r="427" ht="15" customHeight="1" s="5">
      <c r="B427" s="7" t="n"/>
      <c r="J427" s="7" t="n"/>
    </row>
    <row r="428" ht="15" customHeight="1" s="5">
      <c r="B428" s="7" t="n"/>
      <c r="J428" s="7" t="n"/>
    </row>
    <row r="429" ht="15" customHeight="1" s="5">
      <c r="B429" s="7" t="n"/>
      <c r="J429" s="7" t="n"/>
    </row>
    <row r="430" ht="15" customHeight="1" s="5">
      <c r="B430" s="7" t="n"/>
      <c r="J430" s="7" t="n"/>
    </row>
    <row r="431" ht="15" customHeight="1" s="5">
      <c r="B431" s="7" t="n"/>
      <c r="J431" s="7" t="n"/>
    </row>
    <row r="432" ht="15" customHeight="1" s="5">
      <c r="B432" s="7" t="n"/>
      <c r="J432" s="7" t="n"/>
    </row>
    <row r="433" ht="15" customHeight="1" s="5">
      <c r="B433" s="7" t="n"/>
      <c r="J433" s="7" t="n"/>
    </row>
    <row r="434" ht="15" customHeight="1" s="5">
      <c r="B434" s="7" t="n"/>
      <c r="J434" s="7" t="n"/>
    </row>
    <row r="435" ht="15" customHeight="1" s="5">
      <c r="B435" s="7" t="n"/>
      <c r="J435" s="7" t="n"/>
    </row>
    <row r="436" ht="15" customHeight="1" s="5">
      <c r="B436" s="7" t="n"/>
      <c r="J436" s="7" t="n"/>
    </row>
    <row r="437" ht="15" customHeight="1" s="5">
      <c r="B437" s="7" t="n"/>
      <c r="J437" s="7" t="n"/>
    </row>
    <row r="438" ht="15" customHeight="1" s="5">
      <c r="B438" s="7" t="n"/>
      <c r="J438" s="7" t="n"/>
    </row>
    <row r="439" ht="15" customHeight="1" s="5">
      <c r="B439" s="7" t="n"/>
      <c r="J439" s="7" t="n"/>
    </row>
    <row r="440" ht="15" customHeight="1" s="5">
      <c r="B440" s="7" t="n"/>
      <c r="J440" s="7" t="n"/>
    </row>
    <row r="441" ht="15" customHeight="1" s="5">
      <c r="B441" s="7" t="n"/>
      <c r="J441" s="7" t="n"/>
    </row>
    <row r="442" ht="15" customHeight="1" s="5">
      <c r="B442" s="7" t="n"/>
      <c r="J442" s="7" t="n"/>
    </row>
    <row r="443" ht="15" customHeight="1" s="5">
      <c r="B443" s="7" t="n"/>
      <c r="J443" s="7" t="n"/>
    </row>
    <row r="444" ht="15" customHeight="1" s="5">
      <c r="B444" s="7" t="n"/>
      <c r="J444" s="7" t="n"/>
    </row>
    <row r="445" ht="15" customHeight="1" s="5">
      <c r="B445" s="7" t="n"/>
      <c r="J445" s="7" t="n"/>
    </row>
    <row r="446" ht="15" customHeight="1" s="5">
      <c r="B446" s="7" t="n"/>
      <c r="J446" s="7" t="n"/>
    </row>
    <row r="447" ht="15" customHeight="1" s="5">
      <c r="B447" s="7" t="n"/>
      <c r="J447" s="7" t="n"/>
    </row>
    <row r="448" ht="15" customHeight="1" s="5">
      <c r="B448" s="7" t="n"/>
      <c r="J448" s="7" t="n"/>
    </row>
    <row r="449" ht="15" customHeight="1" s="5">
      <c r="B449" s="7" t="n"/>
      <c r="J449" s="7" t="n"/>
    </row>
    <row r="450" ht="15" customHeight="1" s="5">
      <c r="B450" s="7" t="n"/>
      <c r="J450" s="7" t="n"/>
    </row>
    <row r="451" ht="15" customHeight="1" s="5">
      <c r="B451" s="7" t="n"/>
      <c r="J451" s="7" t="n"/>
    </row>
    <row r="452" ht="15" customHeight="1" s="5">
      <c r="B452" s="7" t="n"/>
      <c r="J452" s="7" t="n"/>
    </row>
    <row r="453" ht="15" customHeight="1" s="5">
      <c r="B453" s="7" t="n"/>
      <c r="J453" s="7" t="n"/>
    </row>
    <row r="454" ht="15" customHeight="1" s="5">
      <c r="B454" s="7" t="n"/>
      <c r="J454" s="7" t="n"/>
    </row>
    <row r="455" ht="15" customHeight="1" s="5">
      <c r="B455" s="7" t="n"/>
      <c r="J455" s="7" t="n"/>
    </row>
    <row r="456" ht="15" customHeight="1" s="5">
      <c r="B456" s="7" t="n"/>
      <c r="J456" s="7" t="n"/>
    </row>
    <row r="457" ht="15" customHeight="1" s="5">
      <c r="B457" s="7" t="n"/>
      <c r="J457" s="7" t="n"/>
    </row>
    <row r="458" ht="15" customHeight="1" s="5">
      <c r="B458" s="7" t="n"/>
      <c r="J458" s="7" t="n"/>
    </row>
    <row r="459" ht="15" customHeight="1" s="5">
      <c r="B459" s="7" t="n"/>
      <c r="J459" s="7" t="n"/>
    </row>
    <row r="460" ht="15" customHeight="1" s="5">
      <c r="B460" s="7" t="n"/>
      <c r="J460" s="7" t="n"/>
    </row>
    <row r="461" ht="15" customHeight="1" s="5">
      <c r="B461" s="7" t="n"/>
      <c r="J461" s="7" t="n"/>
    </row>
    <row r="462" ht="15" customHeight="1" s="5">
      <c r="B462" s="7" t="n"/>
      <c r="J462" s="7" t="n"/>
    </row>
    <row r="463" ht="15" customHeight="1" s="5">
      <c r="B463" s="7" t="n"/>
      <c r="J463" s="7" t="n"/>
    </row>
    <row r="464" ht="15" customHeight="1" s="5">
      <c r="B464" s="7" t="n"/>
      <c r="J464" s="7" t="n"/>
    </row>
    <row r="465" ht="15" customHeight="1" s="5">
      <c r="B465" s="7" t="n"/>
      <c r="J465" s="7" t="n"/>
    </row>
    <row r="466" ht="15" customHeight="1" s="5">
      <c r="B466" s="7" t="n"/>
      <c r="J466" s="7" t="n"/>
    </row>
    <row r="467" ht="15" customHeight="1" s="5">
      <c r="B467" s="7" t="n"/>
      <c r="J467" s="7" t="n"/>
    </row>
    <row r="468" ht="15" customHeight="1" s="5">
      <c r="B468" s="7" t="n"/>
      <c r="J468" s="7" t="n"/>
    </row>
    <row r="469" ht="15" customHeight="1" s="5">
      <c r="B469" s="7" t="n"/>
      <c r="J469" s="7" t="n"/>
    </row>
    <row r="470" ht="15" customHeight="1" s="5">
      <c r="B470" s="7" t="n"/>
      <c r="J470" s="7" t="n"/>
    </row>
    <row r="471" ht="15" customHeight="1" s="5">
      <c r="B471" s="7" t="n"/>
      <c r="J471" s="7" t="n"/>
    </row>
    <row r="472" ht="15" customHeight="1" s="5">
      <c r="B472" s="7" t="n"/>
      <c r="J472" s="7" t="n"/>
    </row>
    <row r="473" ht="15" customHeight="1" s="5">
      <c r="B473" s="7" t="n"/>
      <c r="J473" s="7" t="n"/>
    </row>
    <row r="474" ht="15" customHeight="1" s="5">
      <c r="B474" s="7" t="n"/>
      <c r="J474" s="7" t="n"/>
    </row>
    <row r="475" ht="15" customHeight="1" s="5">
      <c r="B475" s="7" t="n"/>
      <c r="J475" s="7" t="n"/>
    </row>
    <row r="476" ht="15" customHeight="1" s="5">
      <c r="B476" s="7" t="n"/>
      <c r="J476" s="7" t="n"/>
    </row>
    <row r="477" ht="15" customHeight="1" s="5">
      <c r="B477" s="7" t="n"/>
      <c r="J477" s="7" t="n"/>
    </row>
    <row r="478" ht="15" customHeight="1" s="5">
      <c r="B478" s="7" t="n"/>
      <c r="J478" s="7" t="n"/>
    </row>
    <row r="479" ht="15" customHeight="1" s="5">
      <c r="B479" s="7" t="n"/>
      <c r="J479" s="7" t="n"/>
    </row>
    <row r="480" ht="15" customHeight="1" s="5">
      <c r="B480" s="7" t="n"/>
      <c r="J480" s="7" t="n"/>
    </row>
    <row r="481" ht="15" customHeight="1" s="5">
      <c r="B481" s="7" t="n"/>
      <c r="J481" s="7" t="n"/>
    </row>
    <row r="482" ht="15" customHeight="1" s="5">
      <c r="B482" s="7" t="n"/>
      <c r="J482" s="7" t="n"/>
    </row>
    <row r="483" ht="15" customHeight="1" s="5">
      <c r="B483" s="7" t="n"/>
      <c r="J483" s="7" t="n"/>
    </row>
    <row r="484" ht="15" customHeight="1" s="5">
      <c r="B484" s="7" t="n"/>
      <c r="J484" s="7" t="n"/>
    </row>
    <row r="485" ht="15" customHeight="1" s="5">
      <c r="B485" s="7" t="n"/>
      <c r="J485" s="7" t="n"/>
    </row>
    <row r="486" ht="15" customHeight="1" s="5">
      <c r="B486" s="7" t="n"/>
      <c r="J486" s="7" t="n"/>
    </row>
    <row r="487" ht="15" customHeight="1" s="5">
      <c r="B487" s="7" t="n"/>
      <c r="J487" s="7" t="n"/>
    </row>
    <row r="488" ht="15" customHeight="1" s="5">
      <c r="B488" s="7" t="n"/>
      <c r="J488" s="7" t="n"/>
    </row>
    <row r="489" ht="15" customHeight="1" s="5">
      <c r="B489" s="7" t="n"/>
      <c r="J489" s="7" t="n"/>
    </row>
    <row r="490" ht="15" customHeight="1" s="5">
      <c r="B490" s="7" t="n"/>
      <c r="J490" s="7" t="n"/>
    </row>
    <row r="491" ht="15" customHeight="1" s="5">
      <c r="B491" s="7" t="n"/>
      <c r="J491" s="7" t="n"/>
    </row>
    <row r="492" ht="15" customHeight="1" s="5">
      <c r="B492" s="7" t="n"/>
      <c r="J492" s="7" t="n"/>
    </row>
    <row r="493" ht="15" customHeight="1" s="5">
      <c r="B493" s="7" t="n"/>
      <c r="J493" s="7" t="n"/>
    </row>
    <row r="494" ht="15" customHeight="1" s="5">
      <c r="B494" s="7" t="n"/>
      <c r="J494" s="7" t="n"/>
    </row>
    <row r="495" ht="15" customHeight="1" s="5">
      <c r="B495" s="7" t="n"/>
      <c r="J495" s="7" t="n"/>
    </row>
    <row r="496" ht="15" customHeight="1" s="5">
      <c r="B496" s="7" t="n"/>
      <c r="J496" s="7" t="n"/>
    </row>
    <row r="497" ht="15" customHeight="1" s="5">
      <c r="B497" s="7" t="n"/>
      <c r="J497" s="7" t="n"/>
    </row>
    <row r="498" ht="15" customHeight="1" s="5">
      <c r="B498" s="7" t="n"/>
      <c r="J498" s="7" t="n"/>
    </row>
    <row r="499" ht="15" customHeight="1" s="5">
      <c r="B499" s="7" t="n"/>
      <c r="J499" s="7" t="n"/>
    </row>
    <row r="500" ht="15" customHeight="1" s="5">
      <c r="B500" s="7" t="n"/>
      <c r="J500" s="7" t="n"/>
    </row>
    <row r="501" ht="15" customHeight="1" s="5">
      <c r="B501" s="7" t="n"/>
      <c r="J501" s="7" t="n"/>
    </row>
    <row r="502" ht="15" customHeight="1" s="5">
      <c r="B502" s="7" t="n"/>
      <c r="J502" s="7" t="n"/>
    </row>
    <row r="503" ht="15" customHeight="1" s="5">
      <c r="B503" s="7" t="n"/>
      <c r="J503" s="7" t="n"/>
    </row>
    <row r="504" ht="15" customHeight="1" s="5">
      <c r="B504" s="7" t="n"/>
      <c r="J504" s="7" t="n"/>
    </row>
    <row r="505" ht="15" customHeight="1" s="5">
      <c r="B505" s="7" t="n"/>
      <c r="J505" s="7" t="n"/>
    </row>
    <row r="506" ht="15" customHeight="1" s="5">
      <c r="B506" s="7" t="n"/>
      <c r="J506" s="7" t="n"/>
    </row>
    <row r="507" ht="15" customHeight="1" s="5">
      <c r="B507" s="7" t="n"/>
      <c r="J507" s="7" t="n"/>
    </row>
    <row r="508" ht="15" customHeight="1" s="5">
      <c r="B508" s="7" t="n"/>
      <c r="J508" s="7" t="n"/>
    </row>
    <row r="509" ht="15" customHeight="1" s="5">
      <c r="B509" s="7" t="n"/>
      <c r="J509" s="7" t="n"/>
    </row>
    <row r="510" ht="15" customHeight="1" s="5">
      <c r="B510" s="7" t="n"/>
      <c r="J510" s="7" t="n"/>
    </row>
    <row r="511" ht="15" customHeight="1" s="5">
      <c r="B511" s="7" t="n"/>
      <c r="J511" s="7" t="n"/>
    </row>
    <row r="512" ht="15" customHeight="1" s="5">
      <c r="B512" s="7" t="n"/>
      <c r="J512" s="7" t="n"/>
    </row>
    <row r="513" ht="15" customHeight="1" s="5">
      <c r="B513" s="7" t="n"/>
      <c r="J513" s="7" t="n"/>
    </row>
    <row r="514" ht="15" customHeight="1" s="5">
      <c r="B514" s="7" t="n"/>
      <c r="J514" s="7" t="n"/>
    </row>
    <row r="515" ht="15" customHeight="1" s="5">
      <c r="B515" s="7" t="n"/>
      <c r="J515" s="7" t="n"/>
    </row>
    <row r="516" ht="15" customHeight="1" s="5">
      <c r="B516" s="7" t="n"/>
      <c r="J516" s="7" t="n"/>
    </row>
    <row r="517" ht="15" customHeight="1" s="5">
      <c r="B517" s="7" t="n"/>
      <c r="J517" s="7" t="n"/>
    </row>
    <row r="518" ht="15" customHeight="1" s="5">
      <c r="B518" s="7" t="n"/>
      <c r="J518" s="7" t="n"/>
    </row>
    <row r="519" ht="15" customHeight="1" s="5">
      <c r="B519" s="7" t="n"/>
      <c r="J519" s="7" t="n"/>
    </row>
    <row r="520" ht="15" customHeight="1" s="5">
      <c r="B520" s="7" t="n"/>
      <c r="J520" s="7" t="n"/>
    </row>
    <row r="521" ht="15" customHeight="1" s="5">
      <c r="B521" s="7" t="n"/>
      <c r="J521" s="7" t="n"/>
    </row>
    <row r="522" ht="15" customHeight="1" s="5">
      <c r="B522" s="7" t="n"/>
      <c r="J522" s="7" t="n"/>
    </row>
    <row r="523" ht="15" customHeight="1" s="5">
      <c r="B523" s="7" t="n"/>
      <c r="J523" s="7" t="n"/>
    </row>
    <row r="524" ht="15" customHeight="1" s="5">
      <c r="B524" s="7" t="n"/>
      <c r="J524" s="7" t="n"/>
    </row>
    <row r="525" ht="15" customHeight="1" s="5">
      <c r="B525" s="7" t="n"/>
      <c r="J525" s="7" t="n"/>
    </row>
    <row r="526" ht="15" customHeight="1" s="5">
      <c r="B526" s="7" t="n"/>
      <c r="J526" s="7" t="n"/>
    </row>
    <row r="527" ht="15" customHeight="1" s="5">
      <c r="B527" s="7" t="n"/>
      <c r="J527" s="7" t="n"/>
    </row>
    <row r="528" ht="15" customHeight="1" s="5">
      <c r="B528" s="7" t="n"/>
      <c r="J528" s="7" t="n"/>
    </row>
    <row r="529" ht="15" customHeight="1" s="5">
      <c r="B529" s="7" t="n"/>
      <c r="J529" s="7" t="n"/>
    </row>
    <row r="530" ht="15" customHeight="1" s="5">
      <c r="B530" s="7" t="n"/>
      <c r="J530" s="7" t="n"/>
    </row>
    <row r="531" ht="15" customHeight="1" s="5">
      <c r="B531" s="7" t="n"/>
      <c r="J531" s="7" t="n"/>
    </row>
    <row r="532" ht="15" customHeight="1" s="5">
      <c r="B532" s="7" t="n"/>
      <c r="J532" s="7" t="n"/>
    </row>
    <row r="533" ht="15" customHeight="1" s="5">
      <c r="B533" s="7" t="n"/>
      <c r="J533" s="7" t="n"/>
    </row>
    <row r="534" ht="15" customHeight="1" s="5">
      <c r="B534" s="7" t="n"/>
      <c r="J534" s="7" t="n"/>
    </row>
    <row r="535" ht="15" customHeight="1" s="5">
      <c r="B535" s="7" t="n"/>
      <c r="J535" s="7" t="n"/>
    </row>
    <row r="536" ht="15" customHeight="1" s="5">
      <c r="B536" s="7" t="n"/>
      <c r="J536" s="7" t="n"/>
    </row>
    <row r="537" ht="15" customHeight="1" s="5">
      <c r="B537" s="7" t="n"/>
      <c r="J537" s="7" t="n"/>
    </row>
    <row r="538" ht="15" customHeight="1" s="5">
      <c r="B538" s="7" t="n"/>
      <c r="J538" s="7" t="n"/>
    </row>
    <row r="539" ht="15" customHeight="1" s="5">
      <c r="B539" s="7" t="n"/>
      <c r="J539" s="7" t="n"/>
    </row>
    <row r="540" ht="15" customHeight="1" s="5">
      <c r="B540" s="7" t="n"/>
      <c r="J540" s="7" t="n"/>
    </row>
    <row r="541" ht="15" customHeight="1" s="5">
      <c r="B541" s="7" t="n"/>
      <c r="J541" s="7" t="n"/>
    </row>
  </sheetData>
  <dataValidations count="6">
    <dataValidation sqref="J2:J541" showDropDown="0" showInputMessage="0" showErrorMessage="0" allowBlank="1" errorTitle="Not in Config list" error="Value not in Config; will still be saved." promptTitle="Decision Status" prompt="Pick from Config → Decision Status" type="list" errorStyle="warning" operator="between">
      <formula1>"Open,In Review,Approved,Rejected,Closed"</formula1>
      <formula2>0</formula2>
    </dataValidation>
    <dataValidation sqref="B2:B541" showDropDown="0" showInputMessage="0" showErrorMessage="0" allowBlank="1" errorTitle="Not in Config list" error="Value not in Config; will still be saved." promptTitle="Decision Type" prompt="Pick from Config → Decision Type" type="list" errorStyle="warning" operator="between">
      <formula1>"Project,Program,Portfolio,Funding,SteerCo,Architecture,Risk,General"</formula1>
      <formula2>0</formula2>
    </dataValidation>
    <dataValidation sqref="I2:I541" showDropDown="0" showInputMessage="0" showErrorMessage="0" allowBlank="1" errorTitle="Not in Config list" error="Value not in Config; will still be saved." promptTitle="Risk Probability" prompt="Pick from Config → Risk Probability" type="list" errorStyle="warning" operator="between">
      <formula1>"Low,Medium,High"</formula1>
      <formula2>0</formula2>
    </dataValidation>
    <dataValidation sqref="J2:J1041" showDropDown="0" showInputMessage="0" showErrorMessage="0" allowBlank="1" errorTitle="Not in Config list" error="Value not in Config; will still be saved." promptTitle="Decision Status" prompt="Pick from Config → Decision Status" type="list" errorStyle="warning">
      <formula1>"Open,In Review,Approved,Rejected,Closed"</formula1>
    </dataValidation>
    <dataValidation sqref="B2:B1041" showDropDown="0" showInputMessage="0" showErrorMessage="0" allowBlank="1" errorTitle="Not in Config list" error="Value not in Config; will still be saved." promptTitle="Decision Type" prompt="Pick from Config → Decision Type" type="list" errorStyle="warning">
      <formula1>"Project,Program,Portfolio,Funding,SteerCo,Architecture,Risk,General"</formula1>
    </dataValidation>
    <dataValidation sqref="I2:I1041" showDropDown="0" showInputMessage="0" showErrorMessage="0" allowBlank="1" errorTitle="Not in Config list" error="Value not in Config; will still be saved." promptTitle="Risk Probability" prompt="Pick from Config → Risk Probability" type="list" errorStyle="warning">
      <formula1>"Low,Medium,High"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5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Action ID</t>
        </is>
      </c>
      <c r="B1" s="6" t="inlineStr">
        <is>
          <t>Project ID</t>
        </is>
      </c>
      <c r="C1" s="6" t="inlineStr">
        <is>
          <t>Description</t>
        </is>
      </c>
      <c r="D1" s="6" t="inlineStr">
        <is>
          <t>Owner</t>
        </is>
      </c>
      <c r="E1" s="6" t="inlineStr">
        <is>
          <t>Due Date</t>
        </is>
      </c>
      <c r="F1" s="6" t="inlineStr">
        <is>
          <t>Priority</t>
        </is>
      </c>
      <c r="G1" s="6" t="inlineStr">
        <is>
          <t>Status</t>
        </is>
      </c>
      <c r="H1" s="6" t="inlineStr">
        <is>
          <t>Comments</t>
        </is>
      </c>
    </row>
    <row r="2" ht="15" customHeight="1" s="5">
      <c r="A2" s="7" t="inlineStr">
        <is>
          <t>ACT001</t>
        </is>
      </c>
      <c r="B2" s="7" t="inlineStr">
        <is>
          <t>PRJ017</t>
        </is>
      </c>
      <c r="C2" s="7" t="inlineStr">
        <is>
          <t>Close out stage gate evidence</t>
        </is>
      </c>
      <c r="D2" s="7" t="inlineStr">
        <is>
          <t>Carlos Diaz</t>
        </is>
      </c>
      <c r="E2" s="8" t="n">
        <v>46029</v>
      </c>
      <c r="F2" s="7" t="inlineStr">
        <is>
          <t>High</t>
        </is>
      </c>
      <c r="G2" s="7" t="inlineStr">
        <is>
          <t>Complete</t>
        </is>
      </c>
    </row>
    <row r="3" ht="15" customHeight="1" s="5">
      <c r="A3" s="7" t="inlineStr">
        <is>
          <t>ACT002</t>
        </is>
      </c>
      <c r="B3" s="7" t="inlineStr">
        <is>
          <t>PRJ033</t>
        </is>
      </c>
      <c r="C3" s="7" t="inlineStr">
        <is>
          <t>Publish SteerCo pack</t>
        </is>
      </c>
      <c r="D3" s="7" t="inlineStr">
        <is>
          <t>Mike Johnson</t>
        </is>
      </c>
      <c r="E3" s="8" t="n">
        <v>46028</v>
      </c>
      <c r="F3" s="7" t="inlineStr">
        <is>
          <t>Low</t>
        </is>
      </c>
      <c r="G3" s="7" t="inlineStr">
        <is>
          <t>Overdue</t>
        </is>
      </c>
    </row>
    <row r="4" ht="15" customHeight="1" s="5">
      <c r="A4" s="7" t="inlineStr">
        <is>
          <t>ACT003</t>
        </is>
      </c>
      <c r="B4" s="7" t="inlineStr">
        <is>
          <t>PRJ001</t>
        </is>
      </c>
      <c r="C4" s="7" t="inlineStr">
        <is>
          <t>Update risk register</t>
        </is>
      </c>
      <c r="D4" s="7" t="inlineStr">
        <is>
          <t>Mike Johnson</t>
        </is>
      </c>
      <c r="E4" s="8" t="n">
        <v>46050</v>
      </c>
      <c r="F4" s="7" t="inlineStr">
        <is>
          <t>High</t>
        </is>
      </c>
      <c r="G4" s="7" t="inlineStr">
        <is>
          <t>Overdue</t>
        </is>
      </c>
    </row>
    <row r="5" ht="15" customHeight="1" s="5">
      <c r="A5" s="7" t="inlineStr">
        <is>
          <t>ACT004</t>
        </is>
      </c>
      <c r="B5" s="7" t="inlineStr">
        <is>
          <t>PRJ035</t>
        </is>
      </c>
      <c r="C5" s="7" t="inlineStr">
        <is>
          <t>Resolve blocker on environment</t>
        </is>
      </c>
      <c r="D5" s="7" t="inlineStr">
        <is>
          <t>Jane Doe</t>
        </is>
      </c>
      <c r="E5" s="8" t="n">
        <v>46139</v>
      </c>
      <c r="F5" s="7" t="inlineStr">
        <is>
          <t>Low</t>
        </is>
      </c>
      <c r="G5" s="7" t="inlineStr">
        <is>
          <t>Overdue</t>
        </is>
      </c>
    </row>
    <row r="6" ht="15" customHeight="1" s="5">
      <c r="A6" s="7" t="inlineStr">
        <is>
          <t>ACT005</t>
        </is>
      </c>
      <c r="B6" s="7" t="inlineStr">
        <is>
          <t>PRJ021</t>
        </is>
      </c>
      <c r="C6" s="7" t="inlineStr">
        <is>
          <t>Schedule architecture review</t>
        </is>
      </c>
      <c r="D6" s="7" t="inlineStr">
        <is>
          <t>Mike Johnson</t>
        </is>
      </c>
      <c r="E6" s="8" t="n">
        <v>46132</v>
      </c>
      <c r="F6" s="7" t="inlineStr">
        <is>
          <t>Low</t>
        </is>
      </c>
      <c r="G6" s="7" t="inlineStr">
        <is>
          <t>Complete</t>
        </is>
      </c>
    </row>
    <row r="7" ht="15" customHeight="1" s="5">
      <c r="A7" s="7" t="inlineStr">
        <is>
          <t>ACT006</t>
        </is>
      </c>
      <c r="B7" s="7" t="inlineStr">
        <is>
          <t>PRJ014</t>
        </is>
      </c>
      <c r="C7" s="7" t="inlineStr">
        <is>
          <t>Submit funding paper</t>
        </is>
      </c>
      <c r="D7" s="7" t="inlineStr">
        <is>
          <t>John Smith</t>
        </is>
      </c>
      <c r="E7" s="8" t="n">
        <v>46144</v>
      </c>
      <c r="F7" s="7" t="inlineStr">
        <is>
          <t>Low</t>
        </is>
      </c>
      <c r="G7" s="7" t="inlineStr">
        <is>
          <t>Complete</t>
        </is>
      </c>
    </row>
    <row r="8" ht="15" customHeight="1" s="5">
      <c r="A8" s="7" t="inlineStr">
        <is>
          <t>ACT007</t>
        </is>
      </c>
      <c r="B8" s="7" t="inlineStr">
        <is>
          <t>PRJ016</t>
        </is>
      </c>
      <c r="C8" s="7" t="inlineStr">
        <is>
          <t>Confirm vendor SOW</t>
        </is>
      </c>
      <c r="D8" s="7" t="inlineStr">
        <is>
          <t>Jane Doe</t>
        </is>
      </c>
      <c r="E8" s="8" t="n">
        <v>46216</v>
      </c>
      <c r="F8" s="7" t="inlineStr">
        <is>
          <t>High</t>
        </is>
      </c>
      <c r="G8" s="7" t="inlineStr">
        <is>
          <t>Overdue</t>
        </is>
      </c>
    </row>
    <row r="9" ht="15" customHeight="1" s="5">
      <c r="A9" s="7" t="inlineStr">
        <is>
          <t>ACT008</t>
        </is>
      </c>
      <c r="B9" s="7" t="inlineStr">
        <is>
          <t>PRJ009</t>
        </is>
      </c>
      <c r="C9" s="7" t="inlineStr">
        <is>
          <t>Schedule architecture review</t>
        </is>
      </c>
      <c r="D9" s="7" t="inlineStr">
        <is>
          <t>Alex Brown</t>
        </is>
      </c>
      <c r="E9" s="8" t="n">
        <v>46083</v>
      </c>
      <c r="F9" s="7" t="inlineStr">
        <is>
          <t>High</t>
        </is>
      </c>
      <c r="G9" s="7" t="inlineStr">
        <is>
          <t>Overdue</t>
        </is>
      </c>
    </row>
    <row r="10" ht="15" customHeight="1" s="5">
      <c r="A10" s="7" t="inlineStr">
        <is>
          <t>ACT009</t>
        </is>
      </c>
      <c r="B10" s="7" t="inlineStr">
        <is>
          <t>PRJ018</t>
        </is>
      </c>
      <c r="C10" s="7" t="inlineStr">
        <is>
          <t>Update risk register</t>
        </is>
      </c>
      <c r="D10" s="7" t="inlineStr">
        <is>
          <t>Priya Patel</t>
        </is>
      </c>
      <c r="E10" s="8" t="n">
        <v>46158</v>
      </c>
      <c r="F10" s="7" t="inlineStr">
        <is>
          <t>Low</t>
        </is>
      </c>
      <c r="G10" s="7" t="inlineStr">
        <is>
          <t>Overdue</t>
        </is>
      </c>
    </row>
    <row r="11" ht="15" customHeight="1" s="5">
      <c r="A11" s="7" t="inlineStr">
        <is>
          <t>ACT010</t>
        </is>
      </c>
      <c r="B11" s="7" t="inlineStr">
        <is>
          <t>PRJ036</t>
        </is>
      </c>
      <c r="C11" s="7" t="inlineStr">
        <is>
          <t>Publish SteerCo pack</t>
        </is>
      </c>
      <c r="D11" s="7" t="inlineStr">
        <is>
          <t>Mike Johnson</t>
        </is>
      </c>
      <c r="E11" s="8" t="n">
        <v>46115</v>
      </c>
      <c r="F11" s="7" t="inlineStr">
        <is>
          <t>Medium</t>
        </is>
      </c>
      <c r="G11" s="7" t="inlineStr">
        <is>
          <t>Overdue</t>
        </is>
      </c>
    </row>
    <row r="12" ht="15" customHeight="1" s="5">
      <c r="A12" s="7" t="inlineStr">
        <is>
          <t>ACT011</t>
        </is>
      </c>
      <c r="B12" s="7" t="inlineStr">
        <is>
          <t>PRJ026</t>
        </is>
      </c>
      <c r="C12" s="7" t="inlineStr">
        <is>
          <t>Resolve blocker on environment</t>
        </is>
      </c>
      <c r="D12" s="7" t="inlineStr">
        <is>
          <t>John Smith</t>
        </is>
      </c>
      <c r="E12" s="8" t="n">
        <v>46173</v>
      </c>
      <c r="F12" s="7" t="inlineStr">
        <is>
          <t>Medium</t>
        </is>
      </c>
      <c r="G12" s="7" t="inlineStr">
        <is>
          <t>Overdue</t>
        </is>
      </c>
    </row>
    <row r="13" ht="15" customHeight="1" s="5">
      <c r="A13" s="7" t="inlineStr">
        <is>
          <t>ACT012</t>
        </is>
      </c>
      <c r="B13" s="7" t="inlineStr">
        <is>
          <t>PRJ010</t>
        </is>
      </c>
      <c r="C13" s="7" t="inlineStr">
        <is>
          <t>Schedule architecture review</t>
        </is>
      </c>
      <c r="D13" s="7" t="inlineStr">
        <is>
          <t>Jane Doe</t>
        </is>
      </c>
      <c r="E13" s="8" t="n">
        <v>46180</v>
      </c>
      <c r="F13" s="7" t="inlineStr">
        <is>
          <t>High</t>
        </is>
      </c>
      <c r="G13" s="7" t="inlineStr">
        <is>
          <t>Overdue</t>
        </is>
      </c>
    </row>
    <row r="14" ht="15" customHeight="1" s="5">
      <c r="A14" s="7" t="inlineStr">
        <is>
          <t>ACT013</t>
        </is>
      </c>
      <c r="B14" s="7" t="inlineStr">
        <is>
          <t>PRJ018</t>
        </is>
      </c>
      <c r="C14" s="7" t="inlineStr">
        <is>
          <t>Submit funding paper</t>
        </is>
      </c>
      <c r="D14" s="7" t="inlineStr">
        <is>
          <t>Priya Patel</t>
        </is>
      </c>
      <c r="E14" s="8" t="n">
        <v>46168</v>
      </c>
      <c r="F14" s="7" t="inlineStr">
        <is>
          <t>Low</t>
        </is>
      </c>
      <c r="G14" s="7" t="inlineStr">
        <is>
          <t>Complete</t>
        </is>
      </c>
    </row>
    <row r="15" ht="15" customHeight="1" s="5">
      <c r="A15" s="7" t="inlineStr">
        <is>
          <t>ACT014</t>
        </is>
      </c>
      <c r="B15" s="7" t="inlineStr">
        <is>
          <t>PRJ024</t>
        </is>
      </c>
      <c r="C15" s="7" t="inlineStr">
        <is>
          <t>Schedule architecture review</t>
        </is>
      </c>
      <c r="D15" s="7" t="inlineStr">
        <is>
          <t>Priya Patel</t>
        </is>
      </c>
      <c r="E15" s="8" t="n">
        <v>46056</v>
      </c>
      <c r="F15" s="7" t="inlineStr">
        <is>
          <t>Low</t>
        </is>
      </c>
      <c r="G15" s="7" t="inlineStr">
        <is>
          <t>Complete</t>
        </is>
      </c>
    </row>
    <row r="16" ht="15" customHeight="1" s="5">
      <c r="A16" s="7" t="inlineStr">
        <is>
          <t>ACT015</t>
        </is>
      </c>
      <c r="B16" s="7" t="inlineStr">
        <is>
          <t>PRJ039</t>
        </is>
      </c>
      <c r="C16" s="7" t="inlineStr">
        <is>
          <t>Update risk register</t>
        </is>
      </c>
      <c r="D16" s="7" t="inlineStr">
        <is>
          <t>Sarah Lee</t>
        </is>
      </c>
      <c r="E16" s="8" t="n">
        <v>46217</v>
      </c>
      <c r="F16" s="7" t="inlineStr">
        <is>
          <t>High</t>
        </is>
      </c>
      <c r="G16" s="7" t="inlineStr">
        <is>
          <t>Complete</t>
        </is>
      </c>
    </row>
    <row r="17" ht="15" customHeight="1" s="5">
      <c r="A17" s="7" t="inlineStr">
        <is>
          <t>ACT016</t>
        </is>
      </c>
      <c r="B17" s="7" t="inlineStr">
        <is>
          <t>PRJ025</t>
        </is>
      </c>
      <c r="C17" s="7" t="inlineStr">
        <is>
          <t>Confirm vendor SOW</t>
        </is>
      </c>
      <c r="D17" s="7" t="inlineStr">
        <is>
          <t>Alex Brown</t>
        </is>
      </c>
      <c r="E17" s="8" t="n">
        <v>46087</v>
      </c>
      <c r="F17" s="7" t="inlineStr">
        <is>
          <t>High</t>
        </is>
      </c>
      <c r="G17" s="7" t="inlineStr">
        <is>
          <t>Overdue</t>
        </is>
      </c>
    </row>
    <row r="18" ht="15" customHeight="1" s="5">
      <c r="A18" s="7" t="inlineStr">
        <is>
          <t>ACT017</t>
        </is>
      </c>
      <c r="B18" s="7" t="inlineStr">
        <is>
          <t>PRJ008</t>
        </is>
      </c>
      <c r="C18" s="7" t="inlineStr">
        <is>
          <t>Schedule architecture review</t>
        </is>
      </c>
      <c r="D18" s="7" t="inlineStr">
        <is>
          <t>John Smith</t>
        </is>
      </c>
      <c r="E18" s="8" t="n">
        <v>46026</v>
      </c>
      <c r="F18" s="7" t="inlineStr">
        <is>
          <t>Low</t>
        </is>
      </c>
      <c r="G18" s="7" t="inlineStr">
        <is>
          <t>Overdue</t>
        </is>
      </c>
    </row>
    <row r="19" ht="15" customHeight="1" s="5">
      <c r="A19" s="7" t="inlineStr">
        <is>
          <t>ACT018</t>
        </is>
      </c>
      <c r="B19" s="7" t="inlineStr">
        <is>
          <t>PRJ005</t>
        </is>
      </c>
      <c r="C19" s="7" t="inlineStr">
        <is>
          <t>Publish SteerCo pack</t>
        </is>
      </c>
      <c r="D19" s="7" t="inlineStr">
        <is>
          <t>Priya Patel</t>
        </is>
      </c>
      <c r="E19" s="8" t="n">
        <v>46147</v>
      </c>
      <c r="F19" s="7" t="inlineStr">
        <is>
          <t>High</t>
        </is>
      </c>
      <c r="G19" s="7" t="inlineStr">
        <is>
          <t>Overdue</t>
        </is>
      </c>
    </row>
    <row r="20" ht="15" customHeight="1" s="5">
      <c r="A20" s="7" t="inlineStr">
        <is>
          <t>ACT019</t>
        </is>
      </c>
      <c r="B20" s="7" t="inlineStr">
        <is>
          <t>PRJ018</t>
        </is>
      </c>
      <c r="C20" s="7" t="inlineStr">
        <is>
          <t>Update risk register</t>
        </is>
      </c>
      <c r="D20" s="7" t="inlineStr">
        <is>
          <t>Carlos Diaz</t>
        </is>
      </c>
      <c r="E20" s="8" t="n">
        <v>46099</v>
      </c>
      <c r="F20" s="7" t="inlineStr">
        <is>
          <t>High</t>
        </is>
      </c>
      <c r="G20" s="7" t="inlineStr">
        <is>
          <t>Overdue</t>
        </is>
      </c>
    </row>
    <row r="21" ht="15" customHeight="1" s="5">
      <c r="A21" s="7" t="inlineStr">
        <is>
          <t>ACT020</t>
        </is>
      </c>
      <c r="B21" s="7" t="inlineStr">
        <is>
          <t>PRJ007</t>
        </is>
      </c>
      <c r="C21" s="7" t="inlineStr">
        <is>
          <t>Resolve blocker on environment</t>
        </is>
      </c>
      <c r="D21" s="7" t="inlineStr">
        <is>
          <t>Jane Doe</t>
        </is>
      </c>
      <c r="E21" s="8" t="n">
        <v>46077</v>
      </c>
      <c r="F21" s="7" t="inlineStr">
        <is>
          <t>Medium</t>
        </is>
      </c>
      <c r="G21" s="7" t="inlineStr">
        <is>
          <t>Overdue</t>
        </is>
      </c>
    </row>
    <row r="22" ht="15" customHeight="1" s="5">
      <c r="A22" s="7" t="inlineStr">
        <is>
          <t>ACT021</t>
        </is>
      </c>
      <c r="B22" s="7" t="inlineStr">
        <is>
          <t>PRJ012</t>
        </is>
      </c>
      <c r="C22" s="7" t="inlineStr">
        <is>
          <t>Schedule architecture review</t>
        </is>
      </c>
      <c r="D22" s="7" t="inlineStr">
        <is>
          <t>Priya Patel</t>
        </is>
      </c>
      <c r="E22" s="8" t="n">
        <v>46033</v>
      </c>
      <c r="F22" s="7" t="inlineStr">
        <is>
          <t>Medium</t>
        </is>
      </c>
      <c r="G22" s="7" t="inlineStr">
        <is>
          <t>Overdue</t>
        </is>
      </c>
    </row>
    <row r="23" ht="15" customHeight="1" s="5">
      <c r="A23" s="7" t="inlineStr">
        <is>
          <t>ACT022</t>
        </is>
      </c>
      <c r="B23" s="7" t="inlineStr">
        <is>
          <t>PRJ007</t>
        </is>
      </c>
      <c r="C23" s="7" t="inlineStr">
        <is>
          <t>Schedule architecture review</t>
        </is>
      </c>
      <c r="D23" s="7" t="inlineStr">
        <is>
          <t>Mike Johnson</t>
        </is>
      </c>
      <c r="E23" s="8" t="n">
        <v>46157</v>
      </c>
      <c r="F23" s="7" t="inlineStr">
        <is>
          <t>Low</t>
        </is>
      </c>
      <c r="G23" s="7" t="inlineStr">
        <is>
          <t>Overdue</t>
        </is>
      </c>
    </row>
    <row r="24" ht="15" customHeight="1" s="5">
      <c r="A24" s="7" t="inlineStr">
        <is>
          <t>ACT023</t>
        </is>
      </c>
      <c r="B24" s="7" t="inlineStr">
        <is>
          <t>PRJ036</t>
        </is>
      </c>
      <c r="C24" s="7" t="inlineStr">
        <is>
          <t>Publish SteerCo pack</t>
        </is>
      </c>
      <c r="D24" s="7" t="inlineStr">
        <is>
          <t>Alex Brown</t>
        </is>
      </c>
      <c r="E24" s="8" t="n">
        <v>46153</v>
      </c>
      <c r="F24" s="7" t="inlineStr">
        <is>
          <t>High</t>
        </is>
      </c>
      <c r="G24" s="7" t="inlineStr">
        <is>
          <t>Overdue</t>
        </is>
      </c>
    </row>
    <row r="25" ht="15" customHeight="1" s="5">
      <c r="A25" s="7" t="inlineStr">
        <is>
          <t>ACT024</t>
        </is>
      </c>
      <c r="B25" s="7" t="inlineStr">
        <is>
          <t>PRJ021</t>
        </is>
      </c>
      <c r="C25" s="7" t="inlineStr">
        <is>
          <t>Close out stage gate evidence</t>
        </is>
      </c>
      <c r="D25" s="7" t="inlineStr">
        <is>
          <t>Sarah Lee</t>
        </is>
      </c>
      <c r="E25" s="8" t="n">
        <v>46019</v>
      </c>
      <c r="F25" s="7" t="inlineStr">
        <is>
          <t>High</t>
        </is>
      </c>
      <c r="G25" s="7" t="inlineStr">
        <is>
          <t>Overdue</t>
        </is>
      </c>
    </row>
    <row r="26" ht="15" customHeight="1" s="5">
      <c r="A26" s="7" t="inlineStr">
        <is>
          <t>ACT025</t>
        </is>
      </c>
      <c r="B26" s="7" t="inlineStr">
        <is>
          <t>PRJ035</t>
        </is>
      </c>
      <c r="C26" s="7" t="inlineStr">
        <is>
          <t>Schedule architecture review</t>
        </is>
      </c>
      <c r="D26" s="7" t="inlineStr">
        <is>
          <t>Alex Brown</t>
        </is>
      </c>
      <c r="E26" s="8" t="n">
        <v>46095</v>
      </c>
      <c r="F26" s="7" t="inlineStr">
        <is>
          <t>Medium</t>
        </is>
      </c>
      <c r="G26" s="7" t="inlineStr">
        <is>
          <t>Complete</t>
        </is>
      </c>
    </row>
    <row r="27" ht="15" customHeight="1" s="5">
      <c r="A27" s="7" t="inlineStr">
        <is>
          <t>ACT026</t>
        </is>
      </c>
      <c r="B27" s="7" t="inlineStr">
        <is>
          <t>PRJ009</t>
        </is>
      </c>
      <c r="C27" s="7" t="inlineStr">
        <is>
          <t>Publish SteerCo pack</t>
        </is>
      </c>
      <c r="D27" s="7" t="inlineStr">
        <is>
          <t>John Smith</t>
        </is>
      </c>
      <c r="E27" s="8" t="n">
        <v>46129</v>
      </c>
      <c r="F27" s="7" t="inlineStr">
        <is>
          <t>Low</t>
        </is>
      </c>
      <c r="G27" s="7" t="inlineStr">
        <is>
          <t>Complete</t>
        </is>
      </c>
    </row>
    <row r="28" ht="15" customHeight="1" s="5">
      <c r="A28" s="7" t="inlineStr">
        <is>
          <t>ACT027</t>
        </is>
      </c>
      <c r="B28" s="7" t="inlineStr">
        <is>
          <t>PRJ010</t>
        </is>
      </c>
      <c r="C28" s="7" t="inlineStr">
        <is>
          <t>Submit funding paper</t>
        </is>
      </c>
      <c r="D28" s="7" t="inlineStr">
        <is>
          <t>Jane Doe</t>
        </is>
      </c>
      <c r="E28" s="8" t="n">
        <v>46138</v>
      </c>
      <c r="F28" s="7" t="inlineStr">
        <is>
          <t>High</t>
        </is>
      </c>
      <c r="G28" s="7" t="inlineStr">
        <is>
          <t>Complete</t>
        </is>
      </c>
    </row>
    <row r="29" ht="15" customHeight="1" s="5">
      <c r="A29" s="7" t="inlineStr">
        <is>
          <t>ACT028</t>
        </is>
      </c>
      <c r="B29" s="7" t="inlineStr">
        <is>
          <t>PRJ018</t>
        </is>
      </c>
      <c r="C29" s="7" t="inlineStr">
        <is>
          <t>Confirm vendor SOW</t>
        </is>
      </c>
      <c r="D29" s="7" t="inlineStr">
        <is>
          <t>Priya Patel</t>
        </is>
      </c>
      <c r="E29" s="8" t="n">
        <v>46103</v>
      </c>
      <c r="F29" s="7" t="inlineStr">
        <is>
          <t>Low</t>
        </is>
      </c>
      <c r="G29" s="7" t="inlineStr">
        <is>
          <t>Complete</t>
        </is>
      </c>
    </row>
    <row r="30" ht="15" customHeight="1" s="5">
      <c r="A30" s="7" t="inlineStr">
        <is>
          <t>ACT029</t>
        </is>
      </c>
      <c r="B30" s="7" t="inlineStr">
        <is>
          <t>PRJ016</t>
        </is>
      </c>
      <c r="C30" s="7" t="inlineStr">
        <is>
          <t>Submit funding paper</t>
        </is>
      </c>
      <c r="D30" s="7" t="inlineStr">
        <is>
          <t>Alex Brown</t>
        </is>
      </c>
      <c r="E30" s="8" t="n">
        <v>46101</v>
      </c>
      <c r="F30" s="7" t="inlineStr">
        <is>
          <t>Medium</t>
        </is>
      </c>
      <c r="G30" s="7" t="inlineStr">
        <is>
          <t>Complete</t>
        </is>
      </c>
    </row>
    <row r="31" ht="15" customHeight="1" s="5">
      <c r="A31" s="7" t="inlineStr">
        <is>
          <t>ACT030</t>
        </is>
      </c>
      <c r="B31" s="7" t="inlineStr">
        <is>
          <t>PRJ012</t>
        </is>
      </c>
      <c r="C31" s="7" t="inlineStr">
        <is>
          <t>Resolve blocker on environment</t>
        </is>
      </c>
      <c r="D31" s="7" t="inlineStr">
        <is>
          <t>Mike Johnson</t>
        </is>
      </c>
      <c r="E31" s="8" t="n">
        <v>46187</v>
      </c>
      <c r="F31" s="7" t="inlineStr">
        <is>
          <t>Medium</t>
        </is>
      </c>
      <c r="G31" s="7" t="inlineStr">
        <is>
          <t>Overdue</t>
        </is>
      </c>
    </row>
    <row r="32" ht="15" customHeight="1" s="5">
      <c r="A32" s="7" t="inlineStr">
        <is>
          <t>ACT031</t>
        </is>
      </c>
      <c r="B32" s="7" t="inlineStr">
        <is>
          <t>PRJ018</t>
        </is>
      </c>
      <c r="C32" s="7" t="inlineStr">
        <is>
          <t>Resolve blocker on environment</t>
        </is>
      </c>
      <c r="D32" s="7" t="inlineStr">
        <is>
          <t>Alex Brown</t>
        </is>
      </c>
      <c r="E32" s="8" t="n">
        <v>46135</v>
      </c>
      <c r="F32" s="7" t="inlineStr">
        <is>
          <t>Low</t>
        </is>
      </c>
      <c r="G32" s="7" t="inlineStr">
        <is>
          <t>Overdue</t>
        </is>
      </c>
    </row>
    <row r="33" ht="15" customHeight="1" s="5">
      <c r="A33" s="7" t="inlineStr">
        <is>
          <t>ACT032</t>
        </is>
      </c>
      <c r="B33" s="7" t="inlineStr">
        <is>
          <t>PRJ020</t>
        </is>
      </c>
      <c r="C33" s="7" t="inlineStr">
        <is>
          <t>Submit funding paper</t>
        </is>
      </c>
      <c r="D33" s="7" t="inlineStr">
        <is>
          <t>Carlos Diaz</t>
        </is>
      </c>
      <c r="E33" s="8" t="n">
        <v>46215</v>
      </c>
      <c r="F33" s="7" t="inlineStr">
        <is>
          <t>High</t>
        </is>
      </c>
      <c r="G33" s="7" t="inlineStr">
        <is>
          <t>Overdue</t>
        </is>
      </c>
    </row>
    <row r="34" ht="15" customHeight="1" s="5">
      <c r="A34" s="7" t="inlineStr">
        <is>
          <t>ACT033</t>
        </is>
      </c>
      <c r="B34" s="7" t="inlineStr">
        <is>
          <t>PRJ021</t>
        </is>
      </c>
      <c r="C34" s="7" t="inlineStr">
        <is>
          <t>Close out stage gate evidence</t>
        </is>
      </c>
      <c r="D34" s="7" t="inlineStr">
        <is>
          <t>John Smith</t>
        </is>
      </c>
      <c r="E34" s="8" t="n">
        <v>46085</v>
      </c>
      <c r="F34" s="7" t="inlineStr">
        <is>
          <t>Low</t>
        </is>
      </c>
      <c r="G34" s="7" t="inlineStr">
        <is>
          <t>Overdue</t>
        </is>
      </c>
    </row>
    <row r="35" ht="15" customHeight="1" s="5">
      <c r="A35" s="7" t="inlineStr">
        <is>
          <t>ACT034</t>
        </is>
      </c>
      <c r="B35" s="7" t="inlineStr">
        <is>
          <t>PRJ016</t>
        </is>
      </c>
      <c r="C35" s="7" t="inlineStr">
        <is>
          <t>Confirm vendor SOW</t>
        </is>
      </c>
      <c r="D35" s="7" t="inlineStr">
        <is>
          <t>Jane Doe</t>
        </is>
      </c>
      <c r="E35" s="8" t="n">
        <v>46027</v>
      </c>
      <c r="F35" s="7" t="inlineStr">
        <is>
          <t>Low</t>
        </is>
      </c>
      <c r="G35" s="7" t="inlineStr">
        <is>
          <t>Overdue</t>
        </is>
      </c>
    </row>
    <row r="36" ht="15" customHeight="1" s="5">
      <c r="A36" s="7" t="inlineStr">
        <is>
          <t>ACT035</t>
        </is>
      </c>
      <c r="B36" s="7" t="inlineStr">
        <is>
          <t>PRJ019</t>
        </is>
      </c>
      <c r="C36" s="7" t="inlineStr">
        <is>
          <t>Schedule architecture review</t>
        </is>
      </c>
      <c r="D36" s="7" t="inlineStr">
        <is>
          <t>Sarah Lee</t>
        </is>
      </c>
      <c r="E36" s="8" t="n">
        <v>46021</v>
      </c>
      <c r="F36" s="7" t="inlineStr">
        <is>
          <t>High</t>
        </is>
      </c>
      <c r="G36" s="7" t="inlineStr">
        <is>
          <t>Overdue</t>
        </is>
      </c>
    </row>
    <row r="37" ht="15" customHeight="1" s="5">
      <c r="A37" s="7" t="inlineStr">
        <is>
          <t>ACT036</t>
        </is>
      </c>
      <c r="B37" s="7" t="inlineStr">
        <is>
          <t>PRJ033</t>
        </is>
      </c>
      <c r="C37" s="7" t="inlineStr">
        <is>
          <t>Submit funding paper</t>
        </is>
      </c>
      <c r="D37" s="7" t="inlineStr">
        <is>
          <t>Jane Doe</t>
        </is>
      </c>
      <c r="E37" s="8" t="n">
        <v>46115</v>
      </c>
      <c r="F37" s="7" t="inlineStr">
        <is>
          <t>Medium</t>
        </is>
      </c>
      <c r="G37" s="7" t="inlineStr">
        <is>
          <t>Complete</t>
        </is>
      </c>
    </row>
    <row r="38" ht="15" customHeight="1" s="5">
      <c r="A38" s="7" t="inlineStr">
        <is>
          <t>ACT037</t>
        </is>
      </c>
      <c r="B38" s="7" t="inlineStr">
        <is>
          <t>PRJ035</t>
        </is>
      </c>
      <c r="C38" s="7" t="inlineStr">
        <is>
          <t>Submit funding paper</t>
        </is>
      </c>
      <c r="D38" s="7" t="inlineStr">
        <is>
          <t>John Smith</t>
        </is>
      </c>
      <c r="E38" s="8" t="n">
        <v>46134</v>
      </c>
      <c r="F38" s="7" t="inlineStr">
        <is>
          <t>Medium</t>
        </is>
      </c>
      <c r="G38" s="7" t="inlineStr">
        <is>
          <t>Complete</t>
        </is>
      </c>
    </row>
    <row r="39" ht="15" customHeight="1" s="5">
      <c r="A39" s="7" t="inlineStr">
        <is>
          <t>ACT038</t>
        </is>
      </c>
      <c r="B39" s="7" t="inlineStr">
        <is>
          <t>PRJ013</t>
        </is>
      </c>
      <c r="C39" s="7" t="inlineStr">
        <is>
          <t>Close out stage gate evidence</t>
        </is>
      </c>
      <c r="D39" s="7" t="inlineStr">
        <is>
          <t>Priya Patel</t>
        </is>
      </c>
      <c r="E39" s="8" t="n">
        <v>46010</v>
      </c>
      <c r="F39" s="7" t="inlineStr">
        <is>
          <t>High</t>
        </is>
      </c>
      <c r="G39" s="7" t="inlineStr">
        <is>
          <t>Complete</t>
        </is>
      </c>
    </row>
    <row r="40" ht="15" customHeight="1" s="5">
      <c r="A40" s="7" t="inlineStr">
        <is>
          <t>ACT039</t>
        </is>
      </c>
      <c r="B40" s="7" t="inlineStr">
        <is>
          <t>PRJ035</t>
        </is>
      </c>
      <c r="C40" s="7" t="inlineStr">
        <is>
          <t>Submit funding paper</t>
        </is>
      </c>
      <c r="D40" s="7" t="inlineStr">
        <is>
          <t>Mike Johnson</t>
        </is>
      </c>
      <c r="E40" s="8" t="n">
        <v>46189</v>
      </c>
      <c r="F40" s="7" t="inlineStr">
        <is>
          <t>High</t>
        </is>
      </c>
      <c r="G40" s="7" t="inlineStr">
        <is>
          <t>Overdue</t>
        </is>
      </c>
    </row>
    <row r="41" ht="15" customHeight="1" s="5">
      <c r="A41" s="7" t="inlineStr">
        <is>
          <t>ACT040</t>
        </is>
      </c>
      <c r="B41" s="7" t="inlineStr">
        <is>
          <t>PRJ034</t>
        </is>
      </c>
      <c r="C41" s="7" t="inlineStr">
        <is>
          <t>Submit funding paper</t>
        </is>
      </c>
      <c r="D41" s="7" t="inlineStr">
        <is>
          <t>Alex Brown</t>
        </is>
      </c>
      <c r="E41" s="8" t="n">
        <v>46196</v>
      </c>
      <c r="F41" s="7" t="inlineStr">
        <is>
          <t>High</t>
        </is>
      </c>
      <c r="G41" s="7" t="inlineStr">
        <is>
          <t>Complete</t>
        </is>
      </c>
    </row>
    <row r="42" ht="15" customHeight="1" s="5">
      <c r="A42" s="7" t="inlineStr">
        <is>
          <t>ACT041</t>
        </is>
      </c>
      <c r="B42" s="7" t="inlineStr">
        <is>
          <t>PRJ011</t>
        </is>
      </c>
      <c r="C42" s="7" t="inlineStr">
        <is>
          <t>Submit funding paper</t>
        </is>
      </c>
      <c r="D42" s="7" t="inlineStr">
        <is>
          <t>Carlos Diaz</t>
        </is>
      </c>
      <c r="E42" s="8" t="n">
        <v>46162</v>
      </c>
      <c r="F42" s="7" t="inlineStr">
        <is>
          <t>Low</t>
        </is>
      </c>
      <c r="G42" s="7" t="inlineStr">
        <is>
          <t>Overdue</t>
        </is>
      </c>
    </row>
    <row r="43" ht="15" customHeight="1" s="5">
      <c r="A43" s="7" t="inlineStr">
        <is>
          <t>ACT042</t>
        </is>
      </c>
      <c r="B43" s="7" t="inlineStr">
        <is>
          <t>PRJ005</t>
        </is>
      </c>
      <c r="C43" s="7" t="inlineStr">
        <is>
          <t>Publish SteerCo pack</t>
        </is>
      </c>
      <c r="D43" s="7" t="inlineStr">
        <is>
          <t>Carlos Diaz</t>
        </is>
      </c>
      <c r="E43" s="8" t="n">
        <v>46064</v>
      </c>
      <c r="F43" s="7" t="inlineStr">
        <is>
          <t>High</t>
        </is>
      </c>
      <c r="G43" s="7" t="inlineStr">
        <is>
          <t>Overdue</t>
        </is>
      </c>
    </row>
    <row r="44" ht="15" customHeight="1" s="5">
      <c r="A44" s="7" t="inlineStr">
        <is>
          <t>ACT043</t>
        </is>
      </c>
      <c r="B44" s="7" t="inlineStr">
        <is>
          <t>PRJ004</t>
        </is>
      </c>
      <c r="C44" s="7" t="inlineStr">
        <is>
          <t>Resolve blocker on environment</t>
        </is>
      </c>
      <c r="D44" s="7" t="inlineStr">
        <is>
          <t>Sarah Lee</t>
        </is>
      </c>
      <c r="E44" s="8" t="n">
        <v>46138</v>
      </c>
      <c r="F44" s="7" t="inlineStr">
        <is>
          <t>Medium</t>
        </is>
      </c>
      <c r="G44" s="7" t="inlineStr">
        <is>
          <t>Overdue</t>
        </is>
      </c>
    </row>
    <row r="45" ht="15" customHeight="1" s="5">
      <c r="A45" s="7" t="inlineStr">
        <is>
          <t>ACT044</t>
        </is>
      </c>
      <c r="B45" s="7" t="inlineStr">
        <is>
          <t>PRJ008</t>
        </is>
      </c>
      <c r="C45" s="7" t="inlineStr">
        <is>
          <t>Publish SteerCo pack</t>
        </is>
      </c>
      <c r="D45" s="7" t="inlineStr">
        <is>
          <t>Priya Patel</t>
        </is>
      </c>
      <c r="E45" s="8" t="n">
        <v>46050</v>
      </c>
      <c r="F45" s="7" t="inlineStr">
        <is>
          <t>High</t>
        </is>
      </c>
      <c r="G45" s="7" t="inlineStr">
        <is>
          <t>Overdue</t>
        </is>
      </c>
    </row>
    <row r="46" ht="15" customHeight="1" s="5">
      <c r="A46" s="7" t="inlineStr">
        <is>
          <t>ACT045</t>
        </is>
      </c>
      <c r="B46" s="7" t="inlineStr">
        <is>
          <t>PRJ019</t>
        </is>
      </c>
      <c r="C46" s="7" t="inlineStr">
        <is>
          <t>Publish SteerCo pack</t>
        </is>
      </c>
      <c r="D46" s="7" t="inlineStr">
        <is>
          <t>Sarah Lee</t>
        </is>
      </c>
      <c r="E46" s="8" t="n">
        <v>46145</v>
      </c>
      <c r="F46" s="7" t="inlineStr">
        <is>
          <t>Medium</t>
        </is>
      </c>
      <c r="G46" s="7" t="inlineStr">
        <is>
          <t>Overdue</t>
        </is>
      </c>
    </row>
    <row r="47" ht="15" customHeight="1" s="5">
      <c r="A47" s="7" t="inlineStr">
        <is>
          <t>ACT046</t>
        </is>
      </c>
      <c r="B47" s="7" t="inlineStr">
        <is>
          <t>PRJ001</t>
        </is>
      </c>
      <c r="C47" s="7" t="inlineStr">
        <is>
          <t>Submit funding paper</t>
        </is>
      </c>
      <c r="D47" s="7" t="inlineStr">
        <is>
          <t>Priya Patel</t>
        </is>
      </c>
      <c r="E47" s="8" t="n">
        <v>46074</v>
      </c>
      <c r="F47" s="7" t="inlineStr">
        <is>
          <t>Low</t>
        </is>
      </c>
      <c r="G47" s="7" t="inlineStr">
        <is>
          <t>Overdue</t>
        </is>
      </c>
    </row>
    <row r="48" ht="15" customHeight="1" s="5">
      <c r="A48" s="7" t="inlineStr">
        <is>
          <t>ACT047</t>
        </is>
      </c>
      <c r="B48" s="7" t="inlineStr">
        <is>
          <t>PRJ020</t>
        </is>
      </c>
      <c r="C48" s="7" t="inlineStr">
        <is>
          <t>Submit funding paper</t>
        </is>
      </c>
      <c r="D48" s="7" t="inlineStr">
        <is>
          <t>Alex Brown</t>
        </is>
      </c>
      <c r="E48" s="8" t="n">
        <v>46107</v>
      </c>
      <c r="F48" s="7" t="inlineStr">
        <is>
          <t>High</t>
        </is>
      </c>
      <c r="G48" s="7" t="inlineStr">
        <is>
          <t>Overdue</t>
        </is>
      </c>
    </row>
    <row r="49" ht="15" customHeight="1" s="5">
      <c r="A49" s="7" t="inlineStr">
        <is>
          <t>ACT048</t>
        </is>
      </c>
      <c r="B49" s="7" t="inlineStr">
        <is>
          <t>PRJ032</t>
        </is>
      </c>
      <c r="C49" s="7" t="inlineStr">
        <is>
          <t>Confirm vendor SOW</t>
        </is>
      </c>
      <c r="D49" s="7" t="inlineStr">
        <is>
          <t>Mike Johnson</t>
        </is>
      </c>
      <c r="E49" s="8" t="n">
        <v>46125</v>
      </c>
      <c r="F49" s="7" t="inlineStr">
        <is>
          <t>High</t>
        </is>
      </c>
      <c r="G49" s="7" t="inlineStr">
        <is>
          <t>Complete</t>
        </is>
      </c>
    </row>
    <row r="50" ht="15" customHeight="1" s="5">
      <c r="A50" s="7" t="inlineStr">
        <is>
          <t>ACT049</t>
        </is>
      </c>
      <c r="B50" s="7" t="inlineStr">
        <is>
          <t>PRJ022</t>
        </is>
      </c>
      <c r="C50" s="7" t="inlineStr">
        <is>
          <t>Publish SteerCo pack</t>
        </is>
      </c>
      <c r="D50" s="7" t="inlineStr">
        <is>
          <t>Mike Johnson</t>
        </is>
      </c>
      <c r="E50" s="8" t="n">
        <v>46164</v>
      </c>
      <c r="F50" s="7" t="inlineStr">
        <is>
          <t>High</t>
        </is>
      </c>
      <c r="G50" s="7" t="inlineStr">
        <is>
          <t>Overdue</t>
        </is>
      </c>
    </row>
    <row r="51" ht="15" customHeight="1" s="5">
      <c r="A51" s="7" t="inlineStr">
        <is>
          <t>ACT050</t>
        </is>
      </c>
      <c r="B51" s="7" t="inlineStr">
        <is>
          <t>PRJ012</t>
        </is>
      </c>
      <c r="C51" s="7" t="inlineStr">
        <is>
          <t>Resolve blocker on environment</t>
        </is>
      </c>
      <c r="D51" s="7" t="inlineStr">
        <is>
          <t>Mike Johnson</t>
        </is>
      </c>
      <c r="E51" s="8" t="n">
        <v>46008</v>
      </c>
      <c r="F51" s="7" t="inlineStr">
        <is>
          <t>High</t>
        </is>
      </c>
      <c r="G51" s="7" t="inlineStr">
        <is>
          <t>Overdue</t>
        </is>
      </c>
    </row>
    <row r="52" ht="15" customHeight="1" s="5">
      <c r="A52" s="7" t="inlineStr">
        <is>
          <t>ACT051</t>
        </is>
      </c>
      <c r="B52" s="7" t="inlineStr">
        <is>
          <t>PRJ032</t>
        </is>
      </c>
      <c r="C52" s="7" t="inlineStr">
        <is>
          <t>Update risk register</t>
        </is>
      </c>
      <c r="D52" s="7" t="inlineStr">
        <is>
          <t>John Smith</t>
        </is>
      </c>
      <c r="E52" s="8" t="n">
        <v>46032</v>
      </c>
      <c r="F52" s="7" t="inlineStr">
        <is>
          <t>Low</t>
        </is>
      </c>
      <c r="G52" s="7" t="inlineStr">
        <is>
          <t>Overdue</t>
        </is>
      </c>
    </row>
    <row r="53" ht="15" customHeight="1" s="5">
      <c r="A53" s="7" t="inlineStr">
        <is>
          <t>ACT052</t>
        </is>
      </c>
      <c r="B53" s="7" t="inlineStr">
        <is>
          <t>PRJ027</t>
        </is>
      </c>
      <c r="C53" s="7" t="inlineStr">
        <is>
          <t>Confirm vendor SOW</t>
        </is>
      </c>
      <c r="D53" s="7" t="inlineStr">
        <is>
          <t>Sarah Lee</t>
        </is>
      </c>
      <c r="E53" s="8" t="n">
        <v>46138</v>
      </c>
      <c r="F53" s="7" t="inlineStr">
        <is>
          <t>High</t>
        </is>
      </c>
      <c r="G53" s="7" t="inlineStr">
        <is>
          <t>Overdue</t>
        </is>
      </c>
    </row>
    <row r="54" ht="15" customHeight="1" s="5">
      <c r="A54" s="7" t="inlineStr">
        <is>
          <t>ACT053</t>
        </is>
      </c>
      <c r="B54" s="7" t="inlineStr">
        <is>
          <t>PRJ017</t>
        </is>
      </c>
      <c r="C54" s="7" t="inlineStr">
        <is>
          <t>Update risk register</t>
        </is>
      </c>
      <c r="D54" s="7" t="inlineStr">
        <is>
          <t>Sarah Lee</t>
        </is>
      </c>
      <c r="E54" s="8" t="n">
        <v>46046</v>
      </c>
      <c r="F54" s="7" t="inlineStr">
        <is>
          <t>Medium</t>
        </is>
      </c>
      <c r="G54" s="7" t="inlineStr">
        <is>
          <t>Complete</t>
        </is>
      </c>
    </row>
    <row r="55" ht="15" customHeight="1" s="5">
      <c r="A55" s="7" t="inlineStr">
        <is>
          <t>ACT054</t>
        </is>
      </c>
      <c r="B55" s="7" t="inlineStr">
        <is>
          <t>PRJ024</t>
        </is>
      </c>
      <c r="C55" s="7" t="inlineStr">
        <is>
          <t>Resolve blocker on environment</t>
        </is>
      </c>
      <c r="D55" s="7" t="inlineStr">
        <is>
          <t>Jane Doe</t>
        </is>
      </c>
      <c r="E55" s="8" t="n">
        <v>46102</v>
      </c>
      <c r="F55" s="7" t="inlineStr">
        <is>
          <t>Low</t>
        </is>
      </c>
      <c r="G55" s="7" t="inlineStr">
        <is>
          <t>Overdue</t>
        </is>
      </c>
    </row>
    <row r="56" ht="15" customHeight="1" s="5">
      <c r="A56" s="7" t="inlineStr">
        <is>
          <t>ACT055</t>
        </is>
      </c>
      <c r="B56" s="7" t="inlineStr">
        <is>
          <t>PRJ007</t>
        </is>
      </c>
      <c r="C56" s="7" t="inlineStr">
        <is>
          <t>Resolve blocker on environment</t>
        </is>
      </c>
      <c r="D56" s="7" t="inlineStr">
        <is>
          <t>Priya Patel</t>
        </is>
      </c>
      <c r="E56" s="8" t="n">
        <v>46214</v>
      </c>
      <c r="F56" s="7" t="inlineStr">
        <is>
          <t>Medium</t>
        </is>
      </c>
      <c r="G56" s="7" t="inlineStr">
        <is>
          <t>Overdue</t>
        </is>
      </c>
    </row>
    <row r="57" ht="15" customHeight="1" s="5">
      <c r="A57" s="7" t="inlineStr">
        <is>
          <t>ACT056</t>
        </is>
      </c>
      <c r="B57" s="7" t="inlineStr">
        <is>
          <t>PRJ023</t>
        </is>
      </c>
      <c r="C57" s="7" t="inlineStr">
        <is>
          <t>Submit funding paper</t>
        </is>
      </c>
      <c r="D57" s="7" t="inlineStr">
        <is>
          <t>Sarah Lee</t>
        </is>
      </c>
      <c r="E57" s="8" t="n">
        <v>46048</v>
      </c>
      <c r="F57" s="7" t="inlineStr">
        <is>
          <t>High</t>
        </is>
      </c>
      <c r="G57" s="7" t="inlineStr">
        <is>
          <t>Overdue</t>
        </is>
      </c>
    </row>
    <row r="58" ht="15" customHeight="1" s="5">
      <c r="A58" s="7" t="inlineStr">
        <is>
          <t>ACT057</t>
        </is>
      </c>
      <c r="B58" s="7" t="inlineStr">
        <is>
          <t>PRJ013</t>
        </is>
      </c>
      <c r="C58" s="7" t="inlineStr">
        <is>
          <t>Confirm vendor SOW</t>
        </is>
      </c>
      <c r="D58" s="7" t="inlineStr">
        <is>
          <t>Jane Doe</t>
        </is>
      </c>
      <c r="E58" s="8" t="n">
        <v>46098</v>
      </c>
      <c r="F58" s="7" t="inlineStr">
        <is>
          <t>Medium</t>
        </is>
      </c>
      <c r="G58" s="7" t="inlineStr">
        <is>
          <t>Complete</t>
        </is>
      </c>
    </row>
    <row r="59" ht="15" customHeight="1" s="5">
      <c r="A59" s="7" t="inlineStr">
        <is>
          <t>ACT058</t>
        </is>
      </c>
      <c r="B59" s="7" t="inlineStr">
        <is>
          <t>PRJ026</t>
        </is>
      </c>
      <c r="C59" s="7" t="inlineStr">
        <is>
          <t>Resolve blocker on environment</t>
        </is>
      </c>
      <c r="D59" s="7" t="inlineStr">
        <is>
          <t>Priya Patel</t>
        </is>
      </c>
      <c r="E59" s="8" t="n">
        <v>46017</v>
      </c>
      <c r="F59" s="7" t="inlineStr">
        <is>
          <t>Medium</t>
        </is>
      </c>
      <c r="G59" s="7" t="inlineStr">
        <is>
          <t>Overdue</t>
        </is>
      </c>
    </row>
    <row r="60" ht="15" customHeight="1" s="5">
      <c r="A60" s="7" t="inlineStr">
        <is>
          <t>ACT059</t>
        </is>
      </c>
      <c r="B60" s="7" t="inlineStr">
        <is>
          <t>PRJ013</t>
        </is>
      </c>
      <c r="C60" s="7" t="inlineStr">
        <is>
          <t>Resolve blocker on environment</t>
        </is>
      </c>
      <c r="D60" s="7" t="inlineStr">
        <is>
          <t>Priya Patel</t>
        </is>
      </c>
      <c r="E60" s="8" t="n">
        <v>46015</v>
      </c>
      <c r="F60" s="7" t="inlineStr">
        <is>
          <t>Medium</t>
        </is>
      </c>
      <c r="G60" s="7" t="inlineStr">
        <is>
          <t>Overdue</t>
        </is>
      </c>
    </row>
    <row r="61" ht="15" customHeight="1" s="5">
      <c r="A61" s="7" t="inlineStr">
        <is>
          <t>ACT060</t>
        </is>
      </c>
      <c r="B61" s="7" t="inlineStr">
        <is>
          <t>PRJ032</t>
        </is>
      </c>
      <c r="C61" s="7" t="inlineStr">
        <is>
          <t>Schedule architecture review</t>
        </is>
      </c>
      <c r="D61" s="7" t="inlineStr">
        <is>
          <t>Sarah Lee</t>
        </is>
      </c>
      <c r="E61" s="8" t="n">
        <v>46037</v>
      </c>
      <c r="F61" s="7" t="inlineStr">
        <is>
          <t>Low</t>
        </is>
      </c>
      <c r="G61" s="7" t="inlineStr">
        <is>
          <t>Overdue</t>
        </is>
      </c>
    </row>
    <row r="62" ht="15" customHeight="1" s="5">
      <c r="F62" s="7" t="n"/>
      <c r="G62" s="7" t="n"/>
    </row>
    <row r="63" ht="15" customHeight="1" s="5">
      <c r="F63" s="7" t="n"/>
      <c r="G63" s="7" t="n"/>
    </row>
    <row r="64" ht="15" customHeight="1" s="5">
      <c r="F64" s="7" t="n"/>
      <c r="G64" s="7" t="n"/>
    </row>
    <row r="65" ht="15" customHeight="1" s="5">
      <c r="F65" s="7" t="n"/>
      <c r="G65" s="7" t="n"/>
    </row>
    <row r="66" ht="15" customHeight="1" s="5">
      <c r="F66" s="7" t="n"/>
      <c r="G66" s="7" t="n"/>
    </row>
    <row r="67" ht="15" customHeight="1" s="5">
      <c r="F67" s="7" t="n"/>
      <c r="G67" s="7" t="n"/>
    </row>
    <row r="68" ht="15" customHeight="1" s="5">
      <c r="F68" s="7" t="n"/>
      <c r="G68" s="7" t="n"/>
    </row>
    <row r="69" ht="15" customHeight="1" s="5">
      <c r="F69" s="7" t="n"/>
      <c r="G69" s="7" t="n"/>
    </row>
    <row r="70" ht="15" customHeight="1" s="5">
      <c r="F70" s="7" t="n"/>
      <c r="G70" s="7" t="n"/>
    </row>
    <row r="71" ht="15" customHeight="1" s="5">
      <c r="F71" s="7" t="n"/>
      <c r="G71" s="7" t="n"/>
    </row>
    <row r="72" ht="15" customHeight="1" s="5">
      <c r="F72" s="7" t="n"/>
      <c r="G72" s="7" t="n"/>
    </row>
    <row r="73" ht="15" customHeight="1" s="5">
      <c r="F73" s="7" t="n"/>
      <c r="G73" s="7" t="n"/>
    </row>
    <row r="74" ht="15" customHeight="1" s="5">
      <c r="F74" s="7" t="n"/>
      <c r="G74" s="7" t="n"/>
    </row>
    <row r="75" ht="15" customHeight="1" s="5">
      <c r="F75" s="7" t="n"/>
      <c r="G75" s="7" t="n"/>
    </row>
    <row r="76" ht="15" customHeight="1" s="5">
      <c r="F76" s="7" t="n"/>
      <c r="G76" s="7" t="n"/>
    </row>
    <row r="77" ht="15" customHeight="1" s="5">
      <c r="F77" s="7" t="n"/>
      <c r="G77" s="7" t="n"/>
    </row>
    <row r="78" ht="15" customHeight="1" s="5">
      <c r="F78" s="7" t="n"/>
      <c r="G78" s="7" t="n"/>
    </row>
    <row r="79" ht="15" customHeight="1" s="5">
      <c r="F79" s="7" t="n"/>
      <c r="G79" s="7" t="n"/>
    </row>
    <row r="80" ht="15" customHeight="1" s="5">
      <c r="F80" s="7" t="n"/>
      <c r="G80" s="7" t="n"/>
    </row>
    <row r="81" ht="15" customHeight="1" s="5">
      <c r="F81" s="7" t="n"/>
      <c r="G81" s="7" t="n"/>
    </row>
    <row r="82" ht="15" customHeight="1" s="5">
      <c r="F82" s="7" t="n"/>
      <c r="G82" s="7" t="n"/>
    </row>
    <row r="83" ht="15" customHeight="1" s="5">
      <c r="F83" s="7" t="n"/>
      <c r="G83" s="7" t="n"/>
    </row>
    <row r="84" ht="15" customHeight="1" s="5">
      <c r="F84" s="7" t="n"/>
      <c r="G84" s="7" t="n"/>
    </row>
    <row r="85" ht="15" customHeight="1" s="5">
      <c r="F85" s="7" t="n"/>
      <c r="G85" s="7" t="n"/>
    </row>
    <row r="86" ht="15" customHeight="1" s="5">
      <c r="F86" s="7" t="n"/>
      <c r="G86" s="7" t="n"/>
    </row>
    <row r="87" ht="15" customHeight="1" s="5">
      <c r="F87" s="7" t="n"/>
      <c r="G87" s="7" t="n"/>
    </row>
    <row r="88" ht="15" customHeight="1" s="5">
      <c r="F88" s="7" t="n"/>
      <c r="G88" s="7" t="n"/>
    </row>
    <row r="89" ht="15" customHeight="1" s="5">
      <c r="F89" s="7" t="n"/>
      <c r="G89" s="7" t="n"/>
    </row>
    <row r="90" ht="15" customHeight="1" s="5">
      <c r="F90" s="7" t="n"/>
      <c r="G90" s="7" t="n"/>
    </row>
    <row r="91" ht="15" customHeight="1" s="5">
      <c r="F91" s="7" t="n"/>
      <c r="G91" s="7" t="n"/>
    </row>
    <row r="92" ht="15" customHeight="1" s="5">
      <c r="F92" s="7" t="n"/>
      <c r="G92" s="7" t="n"/>
    </row>
    <row r="93" ht="15" customHeight="1" s="5">
      <c r="F93" s="7" t="n"/>
      <c r="G93" s="7" t="n"/>
    </row>
    <row r="94" ht="15" customHeight="1" s="5">
      <c r="F94" s="7" t="n"/>
      <c r="G94" s="7" t="n"/>
    </row>
    <row r="95" ht="15" customHeight="1" s="5">
      <c r="F95" s="7" t="n"/>
      <c r="G95" s="7" t="n"/>
    </row>
    <row r="96" ht="15" customHeight="1" s="5">
      <c r="F96" s="7" t="n"/>
      <c r="G96" s="7" t="n"/>
    </row>
    <row r="97" ht="15" customHeight="1" s="5">
      <c r="F97" s="7" t="n"/>
      <c r="G97" s="7" t="n"/>
    </row>
    <row r="98" ht="15" customHeight="1" s="5">
      <c r="F98" s="7" t="n"/>
      <c r="G98" s="7" t="n"/>
    </row>
    <row r="99" ht="15" customHeight="1" s="5">
      <c r="F99" s="7" t="n"/>
      <c r="G99" s="7" t="n"/>
    </row>
    <row r="100" ht="15" customHeight="1" s="5">
      <c r="F100" s="7" t="n"/>
      <c r="G100" s="7" t="n"/>
    </row>
    <row r="101" ht="15" customHeight="1" s="5">
      <c r="F101" s="7" t="n"/>
      <c r="G101" s="7" t="n"/>
    </row>
    <row r="102" ht="15" customHeight="1" s="5">
      <c r="F102" s="7" t="n"/>
      <c r="G102" s="7" t="n"/>
    </row>
    <row r="103" ht="15" customHeight="1" s="5">
      <c r="F103" s="7" t="n"/>
      <c r="G103" s="7" t="n"/>
    </row>
    <row r="104" ht="15" customHeight="1" s="5">
      <c r="F104" s="7" t="n"/>
      <c r="G104" s="7" t="n"/>
    </row>
    <row r="105" ht="15" customHeight="1" s="5">
      <c r="F105" s="7" t="n"/>
      <c r="G105" s="7" t="n"/>
    </row>
    <row r="106" ht="15" customHeight="1" s="5">
      <c r="F106" s="7" t="n"/>
      <c r="G106" s="7" t="n"/>
    </row>
    <row r="107" ht="15" customHeight="1" s="5">
      <c r="F107" s="7" t="n"/>
      <c r="G107" s="7" t="n"/>
    </row>
    <row r="108" ht="15" customHeight="1" s="5">
      <c r="F108" s="7" t="n"/>
      <c r="G108" s="7" t="n"/>
    </row>
    <row r="109" ht="15" customHeight="1" s="5">
      <c r="F109" s="7" t="n"/>
      <c r="G109" s="7" t="n"/>
    </row>
    <row r="110" ht="15" customHeight="1" s="5">
      <c r="F110" s="7" t="n"/>
      <c r="G110" s="7" t="n"/>
    </row>
    <row r="111" ht="15" customHeight="1" s="5">
      <c r="F111" s="7" t="n"/>
      <c r="G111" s="7" t="n"/>
    </row>
    <row r="112" ht="15" customHeight="1" s="5">
      <c r="F112" s="7" t="n"/>
      <c r="G112" s="7" t="n"/>
    </row>
    <row r="113" ht="15" customHeight="1" s="5">
      <c r="F113" s="7" t="n"/>
      <c r="G113" s="7" t="n"/>
    </row>
    <row r="114" ht="15" customHeight="1" s="5">
      <c r="F114" s="7" t="n"/>
      <c r="G114" s="7" t="n"/>
    </row>
    <row r="115" ht="15" customHeight="1" s="5">
      <c r="F115" s="7" t="n"/>
      <c r="G115" s="7" t="n"/>
    </row>
    <row r="116" ht="15" customHeight="1" s="5">
      <c r="F116" s="7" t="n"/>
      <c r="G116" s="7" t="n"/>
    </row>
    <row r="117" ht="15" customHeight="1" s="5">
      <c r="F117" s="7" t="n"/>
      <c r="G117" s="7" t="n"/>
    </row>
    <row r="118" ht="15" customHeight="1" s="5">
      <c r="F118" s="7" t="n"/>
      <c r="G118" s="7" t="n"/>
    </row>
    <row r="119" ht="15" customHeight="1" s="5">
      <c r="F119" s="7" t="n"/>
      <c r="G119" s="7" t="n"/>
    </row>
    <row r="120" ht="15" customHeight="1" s="5">
      <c r="F120" s="7" t="n"/>
      <c r="G120" s="7" t="n"/>
    </row>
    <row r="121" ht="15" customHeight="1" s="5">
      <c r="F121" s="7" t="n"/>
      <c r="G121" s="7" t="n"/>
    </row>
    <row r="122" ht="15" customHeight="1" s="5">
      <c r="F122" s="7" t="n"/>
      <c r="G122" s="7" t="n"/>
    </row>
    <row r="123" ht="15" customHeight="1" s="5">
      <c r="F123" s="7" t="n"/>
      <c r="G123" s="7" t="n"/>
    </row>
    <row r="124" ht="15" customHeight="1" s="5">
      <c r="F124" s="7" t="n"/>
      <c r="G124" s="7" t="n"/>
    </row>
    <row r="125" ht="15" customHeight="1" s="5">
      <c r="F125" s="7" t="n"/>
      <c r="G125" s="7" t="n"/>
    </row>
    <row r="126" ht="15" customHeight="1" s="5">
      <c r="F126" s="7" t="n"/>
      <c r="G126" s="7" t="n"/>
    </row>
    <row r="127" ht="15" customHeight="1" s="5">
      <c r="F127" s="7" t="n"/>
      <c r="G127" s="7" t="n"/>
    </row>
    <row r="128" ht="15" customHeight="1" s="5">
      <c r="F128" s="7" t="n"/>
      <c r="G128" s="7" t="n"/>
    </row>
    <row r="129" ht="15" customHeight="1" s="5">
      <c r="F129" s="7" t="n"/>
      <c r="G129" s="7" t="n"/>
    </row>
    <row r="130" ht="15" customHeight="1" s="5">
      <c r="F130" s="7" t="n"/>
      <c r="G130" s="7" t="n"/>
    </row>
    <row r="131" ht="15" customHeight="1" s="5">
      <c r="F131" s="7" t="n"/>
      <c r="G131" s="7" t="n"/>
    </row>
    <row r="132" ht="15" customHeight="1" s="5">
      <c r="F132" s="7" t="n"/>
      <c r="G132" s="7" t="n"/>
    </row>
    <row r="133" ht="15" customHeight="1" s="5">
      <c r="F133" s="7" t="n"/>
      <c r="G133" s="7" t="n"/>
    </row>
    <row r="134" ht="15" customHeight="1" s="5">
      <c r="F134" s="7" t="n"/>
      <c r="G134" s="7" t="n"/>
    </row>
    <row r="135" ht="15" customHeight="1" s="5">
      <c r="F135" s="7" t="n"/>
      <c r="G135" s="7" t="n"/>
    </row>
    <row r="136" ht="15" customHeight="1" s="5">
      <c r="F136" s="7" t="n"/>
      <c r="G136" s="7" t="n"/>
    </row>
    <row r="137" ht="15" customHeight="1" s="5">
      <c r="F137" s="7" t="n"/>
      <c r="G137" s="7" t="n"/>
    </row>
    <row r="138" ht="15" customHeight="1" s="5">
      <c r="F138" s="7" t="n"/>
      <c r="G138" s="7" t="n"/>
    </row>
    <row r="139" ht="15" customHeight="1" s="5">
      <c r="F139" s="7" t="n"/>
      <c r="G139" s="7" t="n"/>
    </row>
    <row r="140" ht="15" customHeight="1" s="5">
      <c r="F140" s="7" t="n"/>
      <c r="G140" s="7" t="n"/>
    </row>
    <row r="141" ht="15" customHeight="1" s="5">
      <c r="F141" s="7" t="n"/>
      <c r="G141" s="7" t="n"/>
    </row>
    <row r="142" ht="15" customHeight="1" s="5">
      <c r="F142" s="7" t="n"/>
      <c r="G142" s="7" t="n"/>
    </row>
    <row r="143" ht="15" customHeight="1" s="5">
      <c r="F143" s="7" t="n"/>
      <c r="G143" s="7" t="n"/>
    </row>
    <row r="144" ht="15" customHeight="1" s="5">
      <c r="F144" s="7" t="n"/>
      <c r="G144" s="7" t="n"/>
    </row>
    <row r="145" ht="15" customHeight="1" s="5">
      <c r="F145" s="7" t="n"/>
      <c r="G145" s="7" t="n"/>
    </row>
    <row r="146" ht="15" customHeight="1" s="5">
      <c r="F146" s="7" t="n"/>
      <c r="G146" s="7" t="n"/>
    </row>
    <row r="147" ht="15" customHeight="1" s="5">
      <c r="F147" s="7" t="n"/>
      <c r="G147" s="7" t="n"/>
    </row>
    <row r="148" ht="15" customHeight="1" s="5">
      <c r="F148" s="7" t="n"/>
      <c r="G148" s="7" t="n"/>
    </row>
    <row r="149" ht="15" customHeight="1" s="5">
      <c r="F149" s="7" t="n"/>
      <c r="G149" s="7" t="n"/>
    </row>
    <row r="150" ht="15" customHeight="1" s="5">
      <c r="F150" s="7" t="n"/>
      <c r="G150" s="7" t="n"/>
    </row>
    <row r="151" ht="15" customHeight="1" s="5">
      <c r="F151" s="7" t="n"/>
      <c r="G151" s="7" t="n"/>
    </row>
    <row r="152" ht="15" customHeight="1" s="5">
      <c r="F152" s="7" t="n"/>
      <c r="G152" s="7" t="n"/>
    </row>
    <row r="153" ht="15" customHeight="1" s="5">
      <c r="F153" s="7" t="n"/>
      <c r="G153" s="7" t="n"/>
    </row>
    <row r="154" ht="15" customHeight="1" s="5">
      <c r="F154" s="7" t="n"/>
      <c r="G154" s="7" t="n"/>
    </row>
    <row r="155" ht="15" customHeight="1" s="5">
      <c r="F155" s="7" t="n"/>
      <c r="G155" s="7" t="n"/>
    </row>
    <row r="156" ht="15" customHeight="1" s="5">
      <c r="F156" s="7" t="n"/>
      <c r="G156" s="7" t="n"/>
    </row>
    <row r="157" ht="15" customHeight="1" s="5">
      <c r="F157" s="7" t="n"/>
      <c r="G157" s="7" t="n"/>
    </row>
    <row r="158" ht="15" customHeight="1" s="5">
      <c r="F158" s="7" t="n"/>
      <c r="G158" s="7" t="n"/>
    </row>
    <row r="159" ht="15" customHeight="1" s="5">
      <c r="F159" s="7" t="n"/>
      <c r="G159" s="7" t="n"/>
    </row>
    <row r="160" ht="15" customHeight="1" s="5">
      <c r="F160" s="7" t="n"/>
      <c r="G160" s="7" t="n"/>
    </row>
    <row r="161" ht="15" customHeight="1" s="5">
      <c r="F161" s="7" t="n"/>
      <c r="G161" s="7" t="n"/>
    </row>
    <row r="162" ht="15" customHeight="1" s="5">
      <c r="F162" s="7" t="n"/>
      <c r="G162" s="7" t="n"/>
    </row>
    <row r="163" ht="15" customHeight="1" s="5">
      <c r="F163" s="7" t="n"/>
      <c r="G163" s="7" t="n"/>
    </row>
    <row r="164" ht="15" customHeight="1" s="5">
      <c r="F164" s="7" t="n"/>
      <c r="G164" s="7" t="n"/>
    </row>
    <row r="165" ht="15" customHeight="1" s="5">
      <c r="F165" s="7" t="n"/>
      <c r="G165" s="7" t="n"/>
    </row>
    <row r="166" ht="15" customHeight="1" s="5">
      <c r="F166" s="7" t="n"/>
      <c r="G166" s="7" t="n"/>
    </row>
    <row r="167" ht="15" customHeight="1" s="5">
      <c r="F167" s="7" t="n"/>
      <c r="G167" s="7" t="n"/>
    </row>
    <row r="168" ht="15" customHeight="1" s="5">
      <c r="F168" s="7" t="n"/>
      <c r="G168" s="7" t="n"/>
    </row>
    <row r="169" ht="15" customHeight="1" s="5">
      <c r="F169" s="7" t="n"/>
      <c r="G169" s="7" t="n"/>
    </row>
    <row r="170" ht="15" customHeight="1" s="5">
      <c r="F170" s="7" t="n"/>
      <c r="G170" s="7" t="n"/>
    </row>
    <row r="171" ht="15" customHeight="1" s="5">
      <c r="F171" s="7" t="n"/>
      <c r="G171" s="7" t="n"/>
    </row>
    <row r="172" ht="15" customHeight="1" s="5">
      <c r="F172" s="7" t="n"/>
      <c r="G172" s="7" t="n"/>
    </row>
    <row r="173" ht="15" customHeight="1" s="5">
      <c r="F173" s="7" t="n"/>
      <c r="G173" s="7" t="n"/>
    </row>
    <row r="174" ht="15" customHeight="1" s="5">
      <c r="F174" s="7" t="n"/>
      <c r="G174" s="7" t="n"/>
    </row>
    <row r="175" ht="15" customHeight="1" s="5">
      <c r="F175" s="7" t="n"/>
      <c r="G175" s="7" t="n"/>
    </row>
    <row r="176" ht="15" customHeight="1" s="5">
      <c r="F176" s="7" t="n"/>
      <c r="G176" s="7" t="n"/>
    </row>
    <row r="177" ht="15" customHeight="1" s="5">
      <c r="F177" s="7" t="n"/>
      <c r="G177" s="7" t="n"/>
    </row>
    <row r="178" ht="15" customHeight="1" s="5">
      <c r="F178" s="7" t="n"/>
      <c r="G178" s="7" t="n"/>
    </row>
    <row r="179" ht="15" customHeight="1" s="5">
      <c r="F179" s="7" t="n"/>
      <c r="G179" s="7" t="n"/>
    </row>
    <row r="180" ht="15" customHeight="1" s="5">
      <c r="F180" s="7" t="n"/>
      <c r="G180" s="7" t="n"/>
    </row>
    <row r="181" ht="15" customHeight="1" s="5">
      <c r="F181" s="7" t="n"/>
      <c r="G181" s="7" t="n"/>
    </row>
    <row r="182" ht="15" customHeight="1" s="5">
      <c r="F182" s="7" t="n"/>
      <c r="G182" s="7" t="n"/>
    </row>
    <row r="183" ht="15" customHeight="1" s="5">
      <c r="F183" s="7" t="n"/>
      <c r="G183" s="7" t="n"/>
    </row>
    <row r="184" ht="15" customHeight="1" s="5">
      <c r="F184" s="7" t="n"/>
      <c r="G184" s="7" t="n"/>
    </row>
    <row r="185" ht="15" customHeight="1" s="5">
      <c r="F185" s="7" t="n"/>
      <c r="G185" s="7" t="n"/>
    </row>
    <row r="186" ht="15" customHeight="1" s="5">
      <c r="F186" s="7" t="n"/>
      <c r="G186" s="7" t="n"/>
    </row>
    <row r="187" ht="15" customHeight="1" s="5">
      <c r="F187" s="7" t="n"/>
      <c r="G187" s="7" t="n"/>
    </row>
    <row r="188" ht="15" customHeight="1" s="5">
      <c r="F188" s="7" t="n"/>
      <c r="G188" s="7" t="n"/>
    </row>
    <row r="189" ht="15" customHeight="1" s="5">
      <c r="F189" s="7" t="n"/>
      <c r="G189" s="7" t="n"/>
    </row>
    <row r="190" ht="15" customHeight="1" s="5">
      <c r="F190" s="7" t="n"/>
      <c r="G190" s="7" t="n"/>
    </row>
    <row r="191" ht="15" customHeight="1" s="5">
      <c r="F191" s="7" t="n"/>
      <c r="G191" s="7" t="n"/>
    </row>
    <row r="192" ht="15" customHeight="1" s="5">
      <c r="F192" s="7" t="n"/>
      <c r="G192" s="7" t="n"/>
    </row>
    <row r="193" ht="15" customHeight="1" s="5">
      <c r="F193" s="7" t="n"/>
      <c r="G193" s="7" t="n"/>
    </row>
    <row r="194" ht="15" customHeight="1" s="5">
      <c r="F194" s="7" t="n"/>
      <c r="G194" s="7" t="n"/>
    </row>
    <row r="195" ht="15" customHeight="1" s="5">
      <c r="F195" s="7" t="n"/>
      <c r="G195" s="7" t="n"/>
    </row>
    <row r="196" ht="15" customHeight="1" s="5">
      <c r="F196" s="7" t="n"/>
      <c r="G196" s="7" t="n"/>
    </row>
    <row r="197" ht="15" customHeight="1" s="5">
      <c r="F197" s="7" t="n"/>
      <c r="G197" s="7" t="n"/>
    </row>
    <row r="198" ht="15" customHeight="1" s="5">
      <c r="F198" s="7" t="n"/>
      <c r="G198" s="7" t="n"/>
    </row>
    <row r="199" ht="15" customHeight="1" s="5">
      <c r="F199" s="7" t="n"/>
      <c r="G199" s="7" t="n"/>
    </row>
    <row r="200" ht="15" customHeight="1" s="5">
      <c r="F200" s="7" t="n"/>
      <c r="G200" s="7" t="n"/>
    </row>
    <row r="201" ht="15" customHeight="1" s="5">
      <c r="F201" s="7" t="n"/>
      <c r="G201" s="7" t="n"/>
    </row>
    <row r="202" ht="15" customHeight="1" s="5">
      <c r="F202" s="7" t="n"/>
      <c r="G202" s="7" t="n"/>
    </row>
    <row r="203" ht="15" customHeight="1" s="5">
      <c r="F203" s="7" t="n"/>
      <c r="G203" s="7" t="n"/>
    </row>
    <row r="204" ht="15" customHeight="1" s="5">
      <c r="F204" s="7" t="n"/>
      <c r="G204" s="7" t="n"/>
    </row>
    <row r="205" ht="15" customHeight="1" s="5">
      <c r="F205" s="7" t="n"/>
      <c r="G205" s="7" t="n"/>
    </row>
    <row r="206" ht="15" customHeight="1" s="5">
      <c r="F206" s="7" t="n"/>
      <c r="G206" s="7" t="n"/>
    </row>
    <row r="207" ht="15" customHeight="1" s="5">
      <c r="F207" s="7" t="n"/>
      <c r="G207" s="7" t="n"/>
    </row>
    <row r="208" ht="15" customHeight="1" s="5">
      <c r="F208" s="7" t="n"/>
      <c r="G208" s="7" t="n"/>
    </row>
    <row r="209" ht="15" customHeight="1" s="5">
      <c r="F209" s="7" t="n"/>
      <c r="G209" s="7" t="n"/>
    </row>
    <row r="210" ht="15" customHeight="1" s="5">
      <c r="F210" s="7" t="n"/>
      <c r="G210" s="7" t="n"/>
    </row>
    <row r="211" ht="15" customHeight="1" s="5">
      <c r="F211" s="7" t="n"/>
      <c r="G211" s="7" t="n"/>
    </row>
    <row r="212" ht="15" customHeight="1" s="5">
      <c r="F212" s="7" t="n"/>
      <c r="G212" s="7" t="n"/>
    </row>
    <row r="213" ht="15" customHeight="1" s="5">
      <c r="F213" s="7" t="n"/>
      <c r="G213" s="7" t="n"/>
    </row>
    <row r="214" ht="15" customHeight="1" s="5">
      <c r="F214" s="7" t="n"/>
      <c r="G214" s="7" t="n"/>
    </row>
    <row r="215" ht="15" customHeight="1" s="5">
      <c r="F215" s="7" t="n"/>
      <c r="G215" s="7" t="n"/>
    </row>
    <row r="216" ht="15" customHeight="1" s="5">
      <c r="F216" s="7" t="n"/>
      <c r="G216" s="7" t="n"/>
    </row>
    <row r="217" ht="15" customHeight="1" s="5">
      <c r="F217" s="7" t="n"/>
      <c r="G217" s="7" t="n"/>
    </row>
    <row r="218" ht="15" customHeight="1" s="5">
      <c r="F218" s="7" t="n"/>
      <c r="G218" s="7" t="n"/>
    </row>
    <row r="219" ht="15" customHeight="1" s="5">
      <c r="F219" s="7" t="n"/>
      <c r="G219" s="7" t="n"/>
    </row>
    <row r="220" ht="15" customHeight="1" s="5">
      <c r="F220" s="7" t="n"/>
      <c r="G220" s="7" t="n"/>
    </row>
    <row r="221" ht="15" customHeight="1" s="5">
      <c r="F221" s="7" t="n"/>
      <c r="G221" s="7" t="n"/>
    </row>
    <row r="222" ht="15" customHeight="1" s="5">
      <c r="F222" s="7" t="n"/>
      <c r="G222" s="7" t="n"/>
    </row>
    <row r="223" ht="15" customHeight="1" s="5">
      <c r="F223" s="7" t="n"/>
      <c r="G223" s="7" t="n"/>
    </row>
    <row r="224" ht="15" customHeight="1" s="5">
      <c r="F224" s="7" t="n"/>
      <c r="G224" s="7" t="n"/>
    </row>
    <row r="225" ht="15" customHeight="1" s="5">
      <c r="F225" s="7" t="n"/>
      <c r="G225" s="7" t="n"/>
    </row>
    <row r="226" ht="15" customHeight="1" s="5">
      <c r="F226" s="7" t="n"/>
      <c r="G226" s="7" t="n"/>
    </row>
    <row r="227" ht="15" customHeight="1" s="5">
      <c r="F227" s="7" t="n"/>
      <c r="G227" s="7" t="n"/>
    </row>
    <row r="228" ht="15" customHeight="1" s="5">
      <c r="F228" s="7" t="n"/>
      <c r="G228" s="7" t="n"/>
    </row>
    <row r="229" ht="15" customHeight="1" s="5">
      <c r="F229" s="7" t="n"/>
      <c r="G229" s="7" t="n"/>
    </row>
    <row r="230" ht="15" customHeight="1" s="5">
      <c r="F230" s="7" t="n"/>
      <c r="G230" s="7" t="n"/>
    </row>
    <row r="231" ht="15" customHeight="1" s="5">
      <c r="F231" s="7" t="n"/>
      <c r="G231" s="7" t="n"/>
    </row>
    <row r="232" ht="15" customHeight="1" s="5">
      <c r="F232" s="7" t="n"/>
      <c r="G232" s="7" t="n"/>
    </row>
    <row r="233" ht="15" customHeight="1" s="5">
      <c r="F233" s="7" t="n"/>
      <c r="G233" s="7" t="n"/>
    </row>
    <row r="234" ht="15" customHeight="1" s="5">
      <c r="F234" s="7" t="n"/>
      <c r="G234" s="7" t="n"/>
    </row>
    <row r="235" ht="15" customHeight="1" s="5">
      <c r="F235" s="7" t="n"/>
      <c r="G235" s="7" t="n"/>
    </row>
    <row r="236" ht="15" customHeight="1" s="5">
      <c r="F236" s="7" t="n"/>
      <c r="G236" s="7" t="n"/>
    </row>
    <row r="237" ht="15" customHeight="1" s="5">
      <c r="F237" s="7" t="n"/>
      <c r="G237" s="7" t="n"/>
    </row>
    <row r="238" ht="15" customHeight="1" s="5">
      <c r="F238" s="7" t="n"/>
      <c r="G238" s="7" t="n"/>
    </row>
    <row r="239" ht="15" customHeight="1" s="5">
      <c r="F239" s="7" t="n"/>
      <c r="G239" s="7" t="n"/>
    </row>
    <row r="240" ht="15" customHeight="1" s="5">
      <c r="F240" s="7" t="n"/>
      <c r="G240" s="7" t="n"/>
    </row>
    <row r="241" ht="15" customHeight="1" s="5">
      <c r="F241" s="7" t="n"/>
      <c r="G241" s="7" t="n"/>
    </row>
    <row r="242" ht="15" customHeight="1" s="5">
      <c r="F242" s="7" t="n"/>
      <c r="G242" s="7" t="n"/>
    </row>
    <row r="243" ht="15" customHeight="1" s="5">
      <c r="F243" s="7" t="n"/>
      <c r="G243" s="7" t="n"/>
    </row>
    <row r="244" ht="15" customHeight="1" s="5">
      <c r="F244" s="7" t="n"/>
      <c r="G244" s="7" t="n"/>
    </row>
    <row r="245" ht="15" customHeight="1" s="5">
      <c r="F245" s="7" t="n"/>
      <c r="G245" s="7" t="n"/>
    </row>
    <row r="246" ht="15" customHeight="1" s="5">
      <c r="F246" s="7" t="n"/>
      <c r="G246" s="7" t="n"/>
    </row>
    <row r="247" ht="15" customHeight="1" s="5">
      <c r="F247" s="7" t="n"/>
      <c r="G247" s="7" t="n"/>
    </row>
    <row r="248" ht="15" customHeight="1" s="5">
      <c r="F248" s="7" t="n"/>
      <c r="G248" s="7" t="n"/>
    </row>
    <row r="249" ht="15" customHeight="1" s="5">
      <c r="F249" s="7" t="n"/>
      <c r="G249" s="7" t="n"/>
    </row>
    <row r="250" ht="15" customHeight="1" s="5">
      <c r="F250" s="7" t="n"/>
      <c r="G250" s="7" t="n"/>
    </row>
    <row r="251" ht="15" customHeight="1" s="5">
      <c r="F251" s="7" t="n"/>
      <c r="G251" s="7" t="n"/>
    </row>
    <row r="252" ht="15" customHeight="1" s="5">
      <c r="F252" s="7" t="n"/>
      <c r="G252" s="7" t="n"/>
    </row>
    <row r="253" ht="15" customHeight="1" s="5">
      <c r="F253" s="7" t="n"/>
      <c r="G253" s="7" t="n"/>
    </row>
    <row r="254" ht="15" customHeight="1" s="5">
      <c r="F254" s="7" t="n"/>
      <c r="G254" s="7" t="n"/>
    </row>
    <row r="255" ht="15" customHeight="1" s="5">
      <c r="F255" s="7" t="n"/>
      <c r="G255" s="7" t="n"/>
    </row>
    <row r="256" ht="15" customHeight="1" s="5">
      <c r="F256" s="7" t="n"/>
      <c r="G256" s="7" t="n"/>
    </row>
    <row r="257" ht="15" customHeight="1" s="5">
      <c r="F257" s="7" t="n"/>
      <c r="G257" s="7" t="n"/>
    </row>
    <row r="258" ht="15" customHeight="1" s="5">
      <c r="F258" s="7" t="n"/>
      <c r="G258" s="7" t="n"/>
    </row>
    <row r="259" ht="15" customHeight="1" s="5">
      <c r="F259" s="7" t="n"/>
      <c r="G259" s="7" t="n"/>
    </row>
    <row r="260" ht="15" customHeight="1" s="5">
      <c r="F260" s="7" t="n"/>
      <c r="G260" s="7" t="n"/>
    </row>
    <row r="261" ht="15" customHeight="1" s="5">
      <c r="F261" s="7" t="n"/>
      <c r="G261" s="7" t="n"/>
    </row>
    <row r="262" ht="15" customHeight="1" s="5">
      <c r="F262" s="7" t="n"/>
      <c r="G262" s="7" t="n"/>
    </row>
    <row r="263" ht="15" customHeight="1" s="5">
      <c r="F263" s="7" t="n"/>
      <c r="G263" s="7" t="n"/>
    </row>
    <row r="264" ht="15" customHeight="1" s="5">
      <c r="F264" s="7" t="n"/>
      <c r="G264" s="7" t="n"/>
    </row>
    <row r="265" ht="15" customHeight="1" s="5">
      <c r="F265" s="7" t="n"/>
      <c r="G265" s="7" t="n"/>
    </row>
    <row r="266" ht="15" customHeight="1" s="5">
      <c r="F266" s="7" t="n"/>
      <c r="G266" s="7" t="n"/>
    </row>
    <row r="267" ht="15" customHeight="1" s="5">
      <c r="F267" s="7" t="n"/>
      <c r="G267" s="7" t="n"/>
    </row>
    <row r="268" ht="15" customHeight="1" s="5">
      <c r="F268" s="7" t="n"/>
      <c r="G268" s="7" t="n"/>
    </row>
    <row r="269" ht="15" customHeight="1" s="5">
      <c r="F269" s="7" t="n"/>
      <c r="G269" s="7" t="n"/>
    </row>
    <row r="270" ht="15" customHeight="1" s="5">
      <c r="F270" s="7" t="n"/>
      <c r="G270" s="7" t="n"/>
    </row>
    <row r="271" ht="15" customHeight="1" s="5">
      <c r="F271" s="7" t="n"/>
      <c r="G271" s="7" t="n"/>
    </row>
    <row r="272" ht="15" customHeight="1" s="5">
      <c r="F272" s="7" t="n"/>
      <c r="G272" s="7" t="n"/>
    </row>
    <row r="273" ht="15" customHeight="1" s="5">
      <c r="F273" s="7" t="n"/>
      <c r="G273" s="7" t="n"/>
    </row>
    <row r="274" ht="15" customHeight="1" s="5">
      <c r="F274" s="7" t="n"/>
      <c r="G274" s="7" t="n"/>
    </row>
    <row r="275" ht="15" customHeight="1" s="5">
      <c r="F275" s="7" t="n"/>
      <c r="G275" s="7" t="n"/>
    </row>
    <row r="276" ht="15" customHeight="1" s="5">
      <c r="F276" s="7" t="n"/>
      <c r="G276" s="7" t="n"/>
    </row>
    <row r="277" ht="15" customHeight="1" s="5">
      <c r="F277" s="7" t="n"/>
      <c r="G277" s="7" t="n"/>
    </row>
    <row r="278" ht="15" customHeight="1" s="5">
      <c r="F278" s="7" t="n"/>
      <c r="G278" s="7" t="n"/>
    </row>
    <row r="279" ht="15" customHeight="1" s="5">
      <c r="F279" s="7" t="n"/>
      <c r="G279" s="7" t="n"/>
    </row>
    <row r="280" ht="15" customHeight="1" s="5">
      <c r="F280" s="7" t="n"/>
      <c r="G280" s="7" t="n"/>
    </row>
    <row r="281" ht="15" customHeight="1" s="5">
      <c r="F281" s="7" t="n"/>
      <c r="G281" s="7" t="n"/>
    </row>
    <row r="282" ht="15" customHeight="1" s="5">
      <c r="F282" s="7" t="n"/>
      <c r="G282" s="7" t="n"/>
    </row>
    <row r="283" ht="15" customHeight="1" s="5">
      <c r="F283" s="7" t="n"/>
      <c r="G283" s="7" t="n"/>
    </row>
    <row r="284" ht="15" customHeight="1" s="5">
      <c r="F284" s="7" t="n"/>
      <c r="G284" s="7" t="n"/>
    </row>
    <row r="285" ht="15" customHeight="1" s="5">
      <c r="F285" s="7" t="n"/>
      <c r="G285" s="7" t="n"/>
    </row>
    <row r="286" ht="15" customHeight="1" s="5">
      <c r="F286" s="7" t="n"/>
      <c r="G286" s="7" t="n"/>
    </row>
    <row r="287" ht="15" customHeight="1" s="5">
      <c r="F287" s="7" t="n"/>
      <c r="G287" s="7" t="n"/>
    </row>
    <row r="288" ht="15" customHeight="1" s="5">
      <c r="F288" s="7" t="n"/>
      <c r="G288" s="7" t="n"/>
    </row>
    <row r="289" ht="15" customHeight="1" s="5">
      <c r="F289" s="7" t="n"/>
      <c r="G289" s="7" t="n"/>
    </row>
    <row r="290" ht="15" customHeight="1" s="5">
      <c r="F290" s="7" t="n"/>
      <c r="G290" s="7" t="n"/>
    </row>
    <row r="291" ht="15" customHeight="1" s="5">
      <c r="F291" s="7" t="n"/>
      <c r="G291" s="7" t="n"/>
    </row>
    <row r="292" ht="15" customHeight="1" s="5">
      <c r="F292" s="7" t="n"/>
      <c r="G292" s="7" t="n"/>
    </row>
    <row r="293" ht="15" customHeight="1" s="5">
      <c r="F293" s="7" t="n"/>
      <c r="G293" s="7" t="n"/>
    </row>
    <row r="294" ht="15" customHeight="1" s="5">
      <c r="F294" s="7" t="n"/>
      <c r="G294" s="7" t="n"/>
    </row>
    <row r="295" ht="15" customHeight="1" s="5">
      <c r="F295" s="7" t="n"/>
      <c r="G295" s="7" t="n"/>
    </row>
    <row r="296" ht="15" customHeight="1" s="5">
      <c r="F296" s="7" t="n"/>
      <c r="G296" s="7" t="n"/>
    </row>
    <row r="297" ht="15" customHeight="1" s="5">
      <c r="F297" s="7" t="n"/>
      <c r="G297" s="7" t="n"/>
    </row>
    <row r="298" ht="15" customHeight="1" s="5">
      <c r="F298" s="7" t="n"/>
      <c r="G298" s="7" t="n"/>
    </row>
    <row r="299" ht="15" customHeight="1" s="5">
      <c r="F299" s="7" t="n"/>
      <c r="G299" s="7" t="n"/>
    </row>
    <row r="300" ht="15" customHeight="1" s="5">
      <c r="F300" s="7" t="n"/>
      <c r="G300" s="7" t="n"/>
    </row>
    <row r="301" ht="15" customHeight="1" s="5">
      <c r="F301" s="7" t="n"/>
      <c r="G301" s="7" t="n"/>
    </row>
    <row r="302" ht="15" customHeight="1" s="5">
      <c r="F302" s="7" t="n"/>
      <c r="G302" s="7" t="n"/>
    </row>
    <row r="303" ht="15" customHeight="1" s="5">
      <c r="F303" s="7" t="n"/>
      <c r="G303" s="7" t="n"/>
    </row>
    <row r="304" ht="15" customHeight="1" s="5">
      <c r="F304" s="7" t="n"/>
      <c r="G304" s="7" t="n"/>
    </row>
    <row r="305" ht="15" customHeight="1" s="5">
      <c r="F305" s="7" t="n"/>
      <c r="G305" s="7" t="n"/>
    </row>
    <row r="306" ht="15" customHeight="1" s="5">
      <c r="F306" s="7" t="n"/>
      <c r="G306" s="7" t="n"/>
    </row>
    <row r="307" ht="15" customHeight="1" s="5">
      <c r="F307" s="7" t="n"/>
      <c r="G307" s="7" t="n"/>
    </row>
    <row r="308" ht="15" customHeight="1" s="5">
      <c r="F308" s="7" t="n"/>
      <c r="G308" s="7" t="n"/>
    </row>
    <row r="309" ht="15" customHeight="1" s="5">
      <c r="F309" s="7" t="n"/>
      <c r="G309" s="7" t="n"/>
    </row>
    <row r="310" ht="15" customHeight="1" s="5">
      <c r="F310" s="7" t="n"/>
      <c r="G310" s="7" t="n"/>
    </row>
    <row r="311" ht="15" customHeight="1" s="5">
      <c r="F311" s="7" t="n"/>
      <c r="G311" s="7" t="n"/>
    </row>
    <row r="312" ht="15" customHeight="1" s="5">
      <c r="F312" s="7" t="n"/>
      <c r="G312" s="7" t="n"/>
    </row>
    <row r="313" ht="15" customHeight="1" s="5">
      <c r="F313" s="7" t="n"/>
      <c r="G313" s="7" t="n"/>
    </row>
    <row r="314" ht="15" customHeight="1" s="5">
      <c r="F314" s="7" t="n"/>
      <c r="G314" s="7" t="n"/>
    </row>
    <row r="315" ht="15" customHeight="1" s="5">
      <c r="F315" s="7" t="n"/>
      <c r="G315" s="7" t="n"/>
    </row>
    <row r="316" ht="15" customHeight="1" s="5">
      <c r="F316" s="7" t="n"/>
      <c r="G316" s="7" t="n"/>
    </row>
    <row r="317" ht="15" customHeight="1" s="5">
      <c r="F317" s="7" t="n"/>
      <c r="G317" s="7" t="n"/>
    </row>
    <row r="318" ht="15" customHeight="1" s="5">
      <c r="F318" s="7" t="n"/>
      <c r="G318" s="7" t="n"/>
    </row>
    <row r="319" ht="15" customHeight="1" s="5">
      <c r="F319" s="7" t="n"/>
      <c r="G319" s="7" t="n"/>
    </row>
    <row r="320" ht="15" customHeight="1" s="5">
      <c r="F320" s="7" t="n"/>
      <c r="G320" s="7" t="n"/>
    </row>
    <row r="321" ht="15" customHeight="1" s="5">
      <c r="F321" s="7" t="n"/>
      <c r="G321" s="7" t="n"/>
    </row>
    <row r="322" ht="15" customHeight="1" s="5">
      <c r="F322" s="7" t="n"/>
      <c r="G322" s="7" t="n"/>
    </row>
    <row r="323" ht="15" customHeight="1" s="5">
      <c r="F323" s="7" t="n"/>
      <c r="G323" s="7" t="n"/>
    </row>
    <row r="324" ht="15" customHeight="1" s="5">
      <c r="F324" s="7" t="n"/>
      <c r="G324" s="7" t="n"/>
    </row>
    <row r="325" ht="15" customHeight="1" s="5">
      <c r="F325" s="7" t="n"/>
      <c r="G325" s="7" t="n"/>
    </row>
    <row r="326" ht="15" customHeight="1" s="5">
      <c r="F326" s="7" t="n"/>
      <c r="G326" s="7" t="n"/>
    </row>
    <row r="327" ht="15" customHeight="1" s="5">
      <c r="F327" s="7" t="n"/>
      <c r="G327" s="7" t="n"/>
    </row>
    <row r="328" ht="15" customHeight="1" s="5">
      <c r="F328" s="7" t="n"/>
      <c r="G328" s="7" t="n"/>
    </row>
    <row r="329" ht="15" customHeight="1" s="5">
      <c r="F329" s="7" t="n"/>
      <c r="G329" s="7" t="n"/>
    </row>
    <row r="330" ht="15" customHeight="1" s="5">
      <c r="F330" s="7" t="n"/>
      <c r="G330" s="7" t="n"/>
    </row>
    <row r="331" ht="15" customHeight="1" s="5">
      <c r="F331" s="7" t="n"/>
      <c r="G331" s="7" t="n"/>
    </row>
    <row r="332" ht="15" customHeight="1" s="5">
      <c r="F332" s="7" t="n"/>
      <c r="G332" s="7" t="n"/>
    </row>
    <row r="333" ht="15" customHeight="1" s="5">
      <c r="F333" s="7" t="n"/>
      <c r="G333" s="7" t="n"/>
    </row>
    <row r="334" ht="15" customHeight="1" s="5">
      <c r="F334" s="7" t="n"/>
      <c r="G334" s="7" t="n"/>
    </row>
    <row r="335" ht="15" customHeight="1" s="5">
      <c r="F335" s="7" t="n"/>
      <c r="G335" s="7" t="n"/>
    </row>
    <row r="336" ht="15" customHeight="1" s="5">
      <c r="F336" s="7" t="n"/>
      <c r="G336" s="7" t="n"/>
    </row>
    <row r="337" ht="15" customHeight="1" s="5">
      <c r="F337" s="7" t="n"/>
      <c r="G337" s="7" t="n"/>
    </row>
    <row r="338" ht="15" customHeight="1" s="5">
      <c r="F338" s="7" t="n"/>
      <c r="G338" s="7" t="n"/>
    </row>
    <row r="339" ht="15" customHeight="1" s="5">
      <c r="F339" s="7" t="n"/>
      <c r="G339" s="7" t="n"/>
    </row>
    <row r="340" ht="15" customHeight="1" s="5">
      <c r="F340" s="7" t="n"/>
      <c r="G340" s="7" t="n"/>
    </row>
    <row r="341" ht="15" customHeight="1" s="5">
      <c r="F341" s="7" t="n"/>
      <c r="G341" s="7" t="n"/>
    </row>
    <row r="342" ht="15" customHeight="1" s="5">
      <c r="F342" s="7" t="n"/>
      <c r="G342" s="7" t="n"/>
    </row>
    <row r="343" ht="15" customHeight="1" s="5">
      <c r="F343" s="7" t="n"/>
      <c r="G343" s="7" t="n"/>
    </row>
    <row r="344" ht="15" customHeight="1" s="5">
      <c r="F344" s="7" t="n"/>
      <c r="G344" s="7" t="n"/>
    </row>
    <row r="345" ht="15" customHeight="1" s="5">
      <c r="F345" s="7" t="n"/>
      <c r="G345" s="7" t="n"/>
    </row>
    <row r="346" ht="15" customHeight="1" s="5">
      <c r="F346" s="7" t="n"/>
      <c r="G346" s="7" t="n"/>
    </row>
    <row r="347" ht="15" customHeight="1" s="5">
      <c r="F347" s="7" t="n"/>
      <c r="G347" s="7" t="n"/>
    </row>
    <row r="348" ht="15" customHeight="1" s="5">
      <c r="F348" s="7" t="n"/>
      <c r="G348" s="7" t="n"/>
    </row>
    <row r="349" ht="15" customHeight="1" s="5">
      <c r="F349" s="7" t="n"/>
      <c r="G349" s="7" t="n"/>
    </row>
    <row r="350" ht="15" customHeight="1" s="5">
      <c r="F350" s="7" t="n"/>
      <c r="G350" s="7" t="n"/>
    </row>
    <row r="351" ht="15" customHeight="1" s="5">
      <c r="F351" s="7" t="n"/>
      <c r="G351" s="7" t="n"/>
    </row>
    <row r="352" ht="15" customHeight="1" s="5">
      <c r="F352" s="7" t="n"/>
      <c r="G352" s="7" t="n"/>
    </row>
    <row r="353" ht="15" customHeight="1" s="5">
      <c r="F353" s="7" t="n"/>
      <c r="G353" s="7" t="n"/>
    </row>
    <row r="354" ht="15" customHeight="1" s="5">
      <c r="F354" s="7" t="n"/>
      <c r="G354" s="7" t="n"/>
    </row>
    <row r="355" ht="15" customHeight="1" s="5">
      <c r="F355" s="7" t="n"/>
      <c r="G355" s="7" t="n"/>
    </row>
    <row r="356" ht="15" customHeight="1" s="5">
      <c r="F356" s="7" t="n"/>
      <c r="G356" s="7" t="n"/>
    </row>
    <row r="357" ht="15" customHeight="1" s="5">
      <c r="F357" s="7" t="n"/>
      <c r="G357" s="7" t="n"/>
    </row>
    <row r="358" ht="15" customHeight="1" s="5">
      <c r="F358" s="7" t="n"/>
      <c r="G358" s="7" t="n"/>
    </row>
    <row r="359" ht="15" customHeight="1" s="5">
      <c r="F359" s="7" t="n"/>
      <c r="G359" s="7" t="n"/>
    </row>
    <row r="360" ht="15" customHeight="1" s="5">
      <c r="F360" s="7" t="n"/>
      <c r="G360" s="7" t="n"/>
    </row>
    <row r="361" ht="15" customHeight="1" s="5">
      <c r="F361" s="7" t="n"/>
      <c r="G361" s="7" t="n"/>
    </row>
    <row r="362" ht="15" customHeight="1" s="5">
      <c r="F362" s="7" t="n"/>
      <c r="G362" s="7" t="n"/>
    </row>
    <row r="363" ht="15" customHeight="1" s="5">
      <c r="F363" s="7" t="n"/>
      <c r="G363" s="7" t="n"/>
    </row>
    <row r="364" ht="15" customHeight="1" s="5">
      <c r="F364" s="7" t="n"/>
      <c r="G364" s="7" t="n"/>
    </row>
    <row r="365" ht="15" customHeight="1" s="5">
      <c r="F365" s="7" t="n"/>
      <c r="G365" s="7" t="n"/>
    </row>
    <row r="366" ht="15" customHeight="1" s="5">
      <c r="F366" s="7" t="n"/>
      <c r="G366" s="7" t="n"/>
    </row>
    <row r="367" ht="15" customHeight="1" s="5">
      <c r="F367" s="7" t="n"/>
      <c r="G367" s="7" t="n"/>
    </row>
    <row r="368" ht="15" customHeight="1" s="5">
      <c r="F368" s="7" t="n"/>
      <c r="G368" s="7" t="n"/>
    </row>
    <row r="369" ht="15" customHeight="1" s="5">
      <c r="F369" s="7" t="n"/>
      <c r="G369" s="7" t="n"/>
    </row>
    <row r="370" ht="15" customHeight="1" s="5">
      <c r="F370" s="7" t="n"/>
      <c r="G370" s="7" t="n"/>
    </row>
    <row r="371" ht="15" customHeight="1" s="5">
      <c r="F371" s="7" t="n"/>
      <c r="G371" s="7" t="n"/>
    </row>
    <row r="372" ht="15" customHeight="1" s="5">
      <c r="F372" s="7" t="n"/>
      <c r="G372" s="7" t="n"/>
    </row>
    <row r="373" ht="15" customHeight="1" s="5">
      <c r="F373" s="7" t="n"/>
      <c r="G373" s="7" t="n"/>
    </row>
    <row r="374" ht="15" customHeight="1" s="5">
      <c r="F374" s="7" t="n"/>
      <c r="G374" s="7" t="n"/>
    </row>
    <row r="375" ht="15" customHeight="1" s="5">
      <c r="F375" s="7" t="n"/>
      <c r="G375" s="7" t="n"/>
    </row>
    <row r="376" ht="15" customHeight="1" s="5">
      <c r="F376" s="7" t="n"/>
      <c r="G376" s="7" t="n"/>
    </row>
    <row r="377" ht="15" customHeight="1" s="5">
      <c r="F377" s="7" t="n"/>
      <c r="G377" s="7" t="n"/>
    </row>
    <row r="378" ht="15" customHeight="1" s="5">
      <c r="F378" s="7" t="n"/>
      <c r="G378" s="7" t="n"/>
    </row>
    <row r="379" ht="15" customHeight="1" s="5">
      <c r="F379" s="7" t="n"/>
      <c r="G379" s="7" t="n"/>
    </row>
    <row r="380" ht="15" customHeight="1" s="5">
      <c r="F380" s="7" t="n"/>
      <c r="G380" s="7" t="n"/>
    </row>
    <row r="381" ht="15" customHeight="1" s="5">
      <c r="F381" s="7" t="n"/>
      <c r="G381" s="7" t="n"/>
    </row>
    <row r="382" ht="15" customHeight="1" s="5">
      <c r="F382" s="7" t="n"/>
      <c r="G382" s="7" t="n"/>
    </row>
    <row r="383" ht="15" customHeight="1" s="5">
      <c r="F383" s="7" t="n"/>
      <c r="G383" s="7" t="n"/>
    </row>
    <row r="384" ht="15" customHeight="1" s="5">
      <c r="F384" s="7" t="n"/>
      <c r="G384" s="7" t="n"/>
    </row>
    <row r="385" ht="15" customHeight="1" s="5">
      <c r="F385" s="7" t="n"/>
      <c r="G385" s="7" t="n"/>
    </row>
    <row r="386" ht="15" customHeight="1" s="5">
      <c r="F386" s="7" t="n"/>
      <c r="G386" s="7" t="n"/>
    </row>
    <row r="387" ht="15" customHeight="1" s="5">
      <c r="F387" s="7" t="n"/>
      <c r="G387" s="7" t="n"/>
    </row>
    <row r="388" ht="15" customHeight="1" s="5">
      <c r="F388" s="7" t="n"/>
      <c r="G388" s="7" t="n"/>
    </row>
    <row r="389" ht="15" customHeight="1" s="5">
      <c r="F389" s="7" t="n"/>
      <c r="G389" s="7" t="n"/>
    </row>
    <row r="390" ht="15" customHeight="1" s="5">
      <c r="F390" s="7" t="n"/>
      <c r="G390" s="7" t="n"/>
    </row>
    <row r="391" ht="15" customHeight="1" s="5">
      <c r="F391" s="7" t="n"/>
      <c r="G391" s="7" t="n"/>
    </row>
    <row r="392" ht="15" customHeight="1" s="5">
      <c r="F392" s="7" t="n"/>
      <c r="G392" s="7" t="n"/>
    </row>
    <row r="393" ht="15" customHeight="1" s="5">
      <c r="F393" s="7" t="n"/>
      <c r="G393" s="7" t="n"/>
    </row>
    <row r="394" ht="15" customHeight="1" s="5">
      <c r="F394" s="7" t="n"/>
      <c r="G394" s="7" t="n"/>
    </row>
    <row r="395" ht="15" customHeight="1" s="5">
      <c r="F395" s="7" t="n"/>
      <c r="G395" s="7" t="n"/>
    </row>
    <row r="396" ht="15" customHeight="1" s="5">
      <c r="F396" s="7" t="n"/>
      <c r="G396" s="7" t="n"/>
    </row>
    <row r="397" ht="15" customHeight="1" s="5">
      <c r="F397" s="7" t="n"/>
      <c r="G397" s="7" t="n"/>
    </row>
    <row r="398" ht="15" customHeight="1" s="5">
      <c r="F398" s="7" t="n"/>
      <c r="G398" s="7" t="n"/>
    </row>
    <row r="399" ht="15" customHeight="1" s="5">
      <c r="F399" s="7" t="n"/>
      <c r="G399" s="7" t="n"/>
    </row>
    <row r="400" ht="15" customHeight="1" s="5">
      <c r="F400" s="7" t="n"/>
      <c r="G400" s="7" t="n"/>
    </row>
    <row r="401" ht="15" customHeight="1" s="5">
      <c r="F401" s="7" t="n"/>
      <c r="G401" s="7" t="n"/>
    </row>
    <row r="402" ht="15" customHeight="1" s="5">
      <c r="F402" s="7" t="n"/>
      <c r="G402" s="7" t="n"/>
    </row>
    <row r="403" ht="15" customHeight="1" s="5">
      <c r="F403" s="7" t="n"/>
      <c r="G403" s="7" t="n"/>
    </row>
    <row r="404" ht="15" customHeight="1" s="5">
      <c r="F404" s="7" t="n"/>
      <c r="G404" s="7" t="n"/>
    </row>
    <row r="405" ht="15" customHeight="1" s="5">
      <c r="F405" s="7" t="n"/>
      <c r="G405" s="7" t="n"/>
    </row>
    <row r="406" ht="15" customHeight="1" s="5">
      <c r="F406" s="7" t="n"/>
      <c r="G406" s="7" t="n"/>
    </row>
    <row r="407" ht="15" customHeight="1" s="5">
      <c r="F407" s="7" t="n"/>
      <c r="G407" s="7" t="n"/>
    </row>
    <row r="408" ht="15" customHeight="1" s="5">
      <c r="F408" s="7" t="n"/>
      <c r="G408" s="7" t="n"/>
    </row>
    <row r="409" ht="15" customHeight="1" s="5">
      <c r="F409" s="7" t="n"/>
      <c r="G409" s="7" t="n"/>
    </row>
    <row r="410" ht="15" customHeight="1" s="5">
      <c r="F410" s="7" t="n"/>
      <c r="G410" s="7" t="n"/>
    </row>
    <row r="411" ht="15" customHeight="1" s="5">
      <c r="F411" s="7" t="n"/>
      <c r="G411" s="7" t="n"/>
    </row>
    <row r="412" ht="15" customHeight="1" s="5">
      <c r="F412" s="7" t="n"/>
      <c r="G412" s="7" t="n"/>
    </row>
    <row r="413" ht="15" customHeight="1" s="5">
      <c r="F413" s="7" t="n"/>
      <c r="G413" s="7" t="n"/>
    </row>
    <row r="414" ht="15" customHeight="1" s="5">
      <c r="F414" s="7" t="n"/>
      <c r="G414" s="7" t="n"/>
    </row>
    <row r="415" ht="15" customHeight="1" s="5">
      <c r="F415" s="7" t="n"/>
      <c r="G415" s="7" t="n"/>
    </row>
    <row r="416" ht="15" customHeight="1" s="5">
      <c r="F416" s="7" t="n"/>
      <c r="G416" s="7" t="n"/>
    </row>
    <row r="417" ht="15" customHeight="1" s="5">
      <c r="F417" s="7" t="n"/>
      <c r="G417" s="7" t="n"/>
    </row>
    <row r="418" ht="15" customHeight="1" s="5">
      <c r="F418" s="7" t="n"/>
      <c r="G418" s="7" t="n"/>
    </row>
    <row r="419" ht="15" customHeight="1" s="5">
      <c r="F419" s="7" t="n"/>
      <c r="G419" s="7" t="n"/>
    </row>
    <row r="420" ht="15" customHeight="1" s="5">
      <c r="F420" s="7" t="n"/>
      <c r="G420" s="7" t="n"/>
    </row>
    <row r="421" ht="15" customHeight="1" s="5">
      <c r="F421" s="7" t="n"/>
      <c r="G421" s="7" t="n"/>
    </row>
    <row r="422" ht="15" customHeight="1" s="5">
      <c r="F422" s="7" t="n"/>
      <c r="G422" s="7" t="n"/>
    </row>
    <row r="423" ht="15" customHeight="1" s="5">
      <c r="F423" s="7" t="n"/>
      <c r="G423" s="7" t="n"/>
    </row>
    <row r="424" ht="15" customHeight="1" s="5">
      <c r="F424" s="7" t="n"/>
      <c r="G424" s="7" t="n"/>
    </row>
    <row r="425" ht="15" customHeight="1" s="5">
      <c r="F425" s="7" t="n"/>
      <c r="G425" s="7" t="n"/>
    </row>
    <row r="426" ht="15" customHeight="1" s="5">
      <c r="F426" s="7" t="n"/>
      <c r="G426" s="7" t="n"/>
    </row>
    <row r="427" ht="15" customHeight="1" s="5">
      <c r="F427" s="7" t="n"/>
      <c r="G427" s="7" t="n"/>
    </row>
    <row r="428" ht="15" customHeight="1" s="5">
      <c r="F428" s="7" t="n"/>
      <c r="G428" s="7" t="n"/>
    </row>
    <row r="429" ht="15" customHeight="1" s="5">
      <c r="F429" s="7" t="n"/>
      <c r="G429" s="7" t="n"/>
    </row>
    <row r="430" ht="15" customHeight="1" s="5">
      <c r="F430" s="7" t="n"/>
      <c r="G430" s="7" t="n"/>
    </row>
    <row r="431" ht="15" customHeight="1" s="5">
      <c r="F431" s="7" t="n"/>
      <c r="G431" s="7" t="n"/>
    </row>
    <row r="432" ht="15" customHeight="1" s="5">
      <c r="F432" s="7" t="n"/>
      <c r="G432" s="7" t="n"/>
    </row>
    <row r="433" ht="15" customHeight="1" s="5">
      <c r="F433" s="7" t="n"/>
      <c r="G433" s="7" t="n"/>
    </row>
    <row r="434" ht="15" customHeight="1" s="5">
      <c r="F434" s="7" t="n"/>
      <c r="G434" s="7" t="n"/>
    </row>
    <row r="435" ht="15" customHeight="1" s="5">
      <c r="F435" s="7" t="n"/>
      <c r="G435" s="7" t="n"/>
    </row>
    <row r="436" ht="15" customHeight="1" s="5">
      <c r="F436" s="7" t="n"/>
      <c r="G436" s="7" t="n"/>
    </row>
    <row r="437" ht="15" customHeight="1" s="5">
      <c r="F437" s="7" t="n"/>
      <c r="G437" s="7" t="n"/>
    </row>
    <row r="438" ht="15" customHeight="1" s="5">
      <c r="F438" s="7" t="n"/>
      <c r="G438" s="7" t="n"/>
    </row>
    <row r="439" ht="15" customHeight="1" s="5">
      <c r="F439" s="7" t="n"/>
      <c r="G439" s="7" t="n"/>
    </row>
    <row r="440" ht="15" customHeight="1" s="5">
      <c r="F440" s="7" t="n"/>
      <c r="G440" s="7" t="n"/>
    </row>
    <row r="441" ht="15" customHeight="1" s="5">
      <c r="F441" s="7" t="n"/>
      <c r="G441" s="7" t="n"/>
    </row>
    <row r="442" ht="15" customHeight="1" s="5">
      <c r="F442" s="7" t="n"/>
      <c r="G442" s="7" t="n"/>
    </row>
    <row r="443" ht="15" customHeight="1" s="5">
      <c r="F443" s="7" t="n"/>
      <c r="G443" s="7" t="n"/>
    </row>
    <row r="444" ht="15" customHeight="1" s="5">
      <c r="F444" s="7" t="n"/>
      <c r="G444" s="7" t="n"/>
    </row>
    <row r="445" ht="15" customHeight="1" s="5">
      <c r="F445" s="7" t="n"/>
      <c r="G445" s="7" t="n"/>
    </row>
    <row r="446" ht="15" customHeight="1" s="5">
      <c r="F446" s="7" t="n"/>
      <c r="G446" s="7" t="n"/>
    </row>
    <row r="447" ht="15" customHeight="1" s="5">
      <c r="F447" s="7" t="n"/>
      <c r="G447" s="7" t="n"/>
    </row>
    <row r="448" ht="15" customHeight="1" s="5">
      <c r="F448" s="7" t="n"/>
      <c r="G448" s="7" t="n"/>
    </row>
    <row r="449" ht="15" customHeight="1" s="5">
      <c r="F449" s="7" t="n"/>
      <c r="G449" s="7" t="n"/>
    </row>
    <row r="450" ht="15" customHeight="1" s="5">
      <c r="F450" s="7" t="n"/>
      <c r="G450" s="7" t="n"/>
    </row>
    <row r="451" ht="15" customHeight="1" s="5">
      <c r="F451" s="7" t="n"/>
      <c r="G451" s="7" t="n"/>
    </row>
    <row r="452" ht="15" customHeight="1" s="5">
      <c r="F452" s="7" t="n"/>
      <c r="G452" s="7" t="n"/>
    </row>
    <row r="453" ht="15" customHeight="1" s="5">
      <c r="F453" s="7" t="n"/>
      <c r="G453" s="7" t="n"/>
    </row>
    <row r="454" ht="15" customHeight="1" s="5">
      <c r="F454" s="7" t="n"/>
      <c r="G454" s="7" t="n"/>
    </row>
    <row r="455" ht="15" customHeight="1" s="5">
      <c r="F455" s="7" t="n"/>
      <c r="G455" s="7" t="n"/>
    </row>
    <row r="456" ht="15" customHeight="1" s="5">
      <c r="F456" s="7" t="n"/>
      <c r="G456" s="7" t="n"/>
    </row>
    <row r="457" ht="15" customHeight="1" s="5">
      <c r="F457" s="7" t="n"/>
      <c r="G457" s="7" t="n"/>
    </row>
    <row r="458" ht="15" customHeight="1" s="5">
      <c r="F458" s="7" t="n"/>
      <c r="G458" s="7" t="n"/>
    </row>
    <row r="459" ht="15" customHeight="1" s="5">
      <c r="F459" s="7" t="n"/>
      <c r="G459" s="7" t="n"/>
    </row>
    <row r="460" ht="15" customHeight="1" s="5">
      <c r="F460" s="7" t="n"/>
      <c r="G460" s="7" t="n"/>
    </row>
    <row r="461" ht="15" customHeight="1" s="5">
      <c r="F461" s="7" t="n"/>
      <c r="G461" s="7" t="n"/>
    </row>
    <row r="462" ht="15" customHeight="1" s="5">
      <c r="F462" s="7" t="n"/>
      <c r="G462" s="7" t="n"/>
    </row>
    <row r="463" ht="15" customHeight="1" s="5">
      <c r="F463" s="7" t="n"/>
      <c r="G463" s="7" t="n"/>
    </row>
    <row r="464" ht="15" customHeight="1" s="5">
      <c r="F464" s="7" t="n"/>
      <c r="G464" s="7" t="n"/>
    </row>
    <row r="465" ht="15" customHeight="1" s="5">
      <c r="F465" s="7" t="n"/>
      <c r="G465" s="7" t="n"/>
    </row>
    <row r="466" ht="15" customHeight="1" s="5">
      <c r="F466" s="7" t="n"/>
      <c r="G466" s="7" t="n"/>
    </row>
    <row r="467" ht="15" customHeight="1" s="5">
      <c r="F467" s="7" t="n"/>
      <c r="G467" s="7" t="n"/>
    </row>
    <row r="468" ht="15" customHeight="1" s="5">
      <c r="F468" s="7" t="n"/>
      <c r="G468" s="7" t="n"/>
    </row>
    <row r="469" ht="15" customHeight="1" s="5">
      <c r="F469" s="7" t="n"/>
      <c r="G469" s="7" t="n"/>
    </row>
    <row r="470" ht="15" customHeight="1" s="5">
      <c r="F470" s="7" t="n"/>
      <c r="G470" s="7" t="n"/>
    </row>
    <row r="471" ht="15" customHeight="1" s="5">
      <c r="F471" s="7" t="n"/>
      <c r="G471" s="7" t="n"/>
    </row>
    <row r="472" ht="15" customHeight="1" s="5">
      <c r="F472" s="7" t="n"/>
      <c r="G472" s="7" t="n"/>
    </row>
    <row r="473" ht="15" customHeight="1" s="5">
      <c r="F473" s="7" t="n"/>
      <c r="G473" s="7" t="n"/>
    </row>
    <row r="474" ht="15" customHeight="1" s="5">
      <c r="F474" s="7" t="n"/>
      <c r="G474" s="7" t="n"/>
    </row>
    <row r="475" ht="15" customHeight="1" s="5">
      <c r="F475" s="7" t="n"/>
      <c r="G475" s="7" t="n"/>
    </row>
    <row r="476" ht="15" customHeight="1" s="5">
      <c r="F476" s="7" t="n"/>
      <c r="G476" s="7" t="n"/>
    </row>
    <row r="477" ht="15" customHeight="1" s="5">
      <c r="F477" s="7" t="n"/>
      <c r="G477" s="7" t="n"/>
    </row>
    <row r="478" ht="15" customHeight="1" s="5">
      <c r="F478" s="7" t="n"/>
      <c r="G478" s="7" t="n"/>
    </row>
    <row r="479" ht="15" customHeight="1" s="5">
      <c r="F479" s="7" t="n"/>
      <c r="G479" s="7" t="n"/>
    </row>
    <row r="480" ht="15" customHeight="1" s="5">
      <c r="F480" s="7" t="n"/>
      <c r="G480" s="7" t="n"/>
    </row>
    <row r="481" ht="15" customHeight="1" s="5">
      <c r="F481" s="7" t="n"/>
      <c r="G481" s="7" t="n"/>
    </row>
    <row r="482" ht="15" customHeight="1" s="5">
      <c r="F482" s="7" t="n"/>
      <c r="G482" s="7" t="n"/>
    </row>
    <row r="483" ht="15" customHeight="1" s="5">
      <c r="F483" s="7" t="n"/>
      <c r="G483" s="7" t="n"/>
    </row>
    <row r="484" ht="15" customHeight="1" s="5">
      <c r="F484" s="7" t="n"/>
      <c r="G484" s="7" t="n"/>
    </row>
    <row r="485" ht="15" customHeight="1" s="5">
      <c r="F485" s="7" t="n"/>
      <c r="G485" s="7" t="n"/>
    </row>
    <row r="486" ht="15" customHeight="1" s="5">
      <c r="F486" s="7" t="n"/>
      <c r="G486" s="7" t="n"/>
    </row>
    <row r="487" ht="15" customHeight="1" s="5">
      <c r="F487" s="7" t="n"/>
      <c r="G487" s="7" t="n"/>
    </row>
    <row r="488" ht="15" customHeight="1" s="5">
      <c r="F488" s="7" t="n"/>
      <c r="G488" s="7" t="n"/>
    </row>
    <row r="489" ht="15" customHeight="1" s="5">
      <c r="F489" s="7" t="n"/>
      <c r="G489" s="7" t="n"/>
    </row>
    <row r="490" ht="15" customHeight="1" s="5">
      <c r="F490" s="7" t="n"/>
      <c r="G490" s="7" t="n"/>
    </row>
    <row r="491" ht="15" customHeight="1" s="5">
      <c r="F491" s="7" t="n"/>
      <c r="G491" s="7" t="n"/>
    </row>
    <row r="492" ht="15" customHeight="1" s="5">
      <c r="F492" s="7" t="n"/>
      <c r="G492" s="7" t="n"/>
    </row>
    <row r="493" ht="15" customHeight="1" s="5">
      <c r="F493" s="7" t="n"/>
      <c r="G493" s="7" t="n"/>
    </row>
    <row r="494" ht="15" customHeight="1" s="5">
      <c r="F494" s="7" t="n"/>
      <c r="G494" s="7" t="n"/>
    </row>
    <row r="495" ht="15" customHeight="1" s="5">
      <c r="F495" s="7" t="n"/>
      <c r="G495" s="7" t="n"/>
    </row>
    <row r="496" ht="15" customHeight="1" s="5">
      <c r="F496" s="7" t="n"/>
      <c r="G496" s="7" t="n"/>
    </row>
    <row r="497" ht="15" customHeight="1" s="5">
      <c r="F497" s="7" t="n"/>
      <c r="G497" s="7" t="n"/>
    </row>
    <row r="498" ht="15" customHeight="1" s="5">
      <c r="F498" s="7" t="n"/>
      <c r="G498" s="7" t="n"/>
    </row>
    <row r="499" ht="15" customHeight="1" s="5">
      <c r="F499" s="7" t="n"/>
      <c r="G499" s="7" t="n"/>
    </row>
    <row r="500" ht="15" customHeight="1" s="5">
      <c r="F500" s="7" t="n"/>
      <c r="G500" s="7" t="n"/>
    </row>
    <row r="501" ht="15" customHeight="1" s="5">
      <c r="F501" s="7" t="n"/>
      <c r="G501" s="7" t="n"/>
    </row>
    <row r="502" ht="15" customHeight="1" s="5">
      <c r="F502" s="7" t="n"/>
      <c r="G502" s="7" t="n"/>
    </row>
    <row r="503" ht="15" customHeight="1" s="5">
      <c r="F503" s="7" t="n"/>
      <c r="G503" s="7" t="n"/>
    </row>
    <row r="504" ht="15" customHeight="1" s="5">
      <c r="F504" s="7" t="n"/>
      <c r="G504" s="7" t="n"/>
    </row>
    <row r="505" ht="15" customHeight="1" s="5">
      <c r="F505" s="7" t="n"/>
      <c r="G505" s="7" t="n"/>
    </row>
    <row r="506" ht="15" customHeight="1" s="5">
      <c r="F506" s="7" t="n"/>
      <c r="G506" s="7" t="n"/>
    </row>
    <row r="507" ht="15" customHeight="1" s="5">
      <c r="F507" s="7" t="n"/>
      <c r="G507" s="7" t="n"/>
    </row>
    <row r="508" ht="15" customHeight="1" s="5">
      <c r="F508" s="7" t="n"/>
      <c r="G508" s="7" t="n"/>
    </row>
    <row r="509" ht="15" customHeight="1" s="5">
      <c r="F509" s="7" t="n"/>
      <c r="G509" s="7" t="n"/>
    </row>
    <row r="510" ht="15" customHeight="1" s="5">
      <c r="F510" s="7" t="n"/>
      <c r="G510" s="7" t="n"/>
    </row>
    <row r="511" ht="15" customHeight="1" s="5">
      <c r="F511" s="7" t="n"/>
      <c r="G511" s="7" t="n"/>
    </row>
    <row r="512" ht="15" customHeight="1" s="5">
      <c r="F512" s="7" t="n"/>
      <c r="G512" s="7" t="n"/>
    </row>
    <row r="513" ht="15" customHeight="1" s="5">
      <c r="F513" s="7" t="n"/>
      <c r="G513" s="7" t="n"/>
    </row>
    <row r="514" ht="15" customHeight="1" s="5">
      <c r="F514" s="7" t="n"/>
      <c r="G514" s="7" t="n"/>
    </row>
    <row r="515" ht="15" customHeight="1" s="5">
      <c r="F515" s="7" t="n"/>
      <c r="G515" s="7" t="n"/>
    </row>
    <row r="516" ht="15" customHeight="1" s="5">
      <c r="F516" s="7" t="n"/>
      <c r="G516" s="7" t="n"/>
    </row>
    <row r="517" ht="15" customHeight="1" s="5">
      <c r="F517" s="7" t="n"/>
      <c r="G517" s="7" t="n"/>
    </row>
    <row r="518" ht="15" customHeight="1" s="5">
      <c r="F518" s="7" t="n"/>
      <c r="G518" s="7" t="n"/>
    </row>
    <row r="519" ht="15" customHeight="1" s="5">
      <c r="F519" s="7" t="n"/>
      <c r="G519" s="7" t="n"/>
    </row>
    <row r="520" ht="15" customHeight="1" s="5">
      <c r="F520" s="7" t="n"/>
      <c r="G520" s="7" t="n"/>
    </row>
    <row r="521" ht="15" customHeight="1" s="5">
      <c r="F521" s="7" t="n"/>
      <c r="G521" s="7" t="n"/>
    </row>
    <row r="522" ht="15" customHeight="1" s="5">
      <c r="F522" s="7" t="n"/>
      <c r="G522" s="7" t="n"/>
    </row>
    <row r="523" ht="15" customHeight="1" s="5">
      <c r="F523" s="7" t="n"/>
      <c r="G523" s="7" t="n"/>
    </row>
    <row r="524" ht="15" customHeight="1" s="5">
      <c r="F524" s="7" t="n"/>
      <c r="G524" s="7" t="n"/>
    </row>
    <row r="525" ht="15" customHeight="1" s="5">
      <c r="F525" s="7" t="n"/>
      <c r="G525" s="7" t="n"/>
    </row>
    <row r="526" ht="15" customHeight="1" s="5">
      <c r="F526" s="7" t="n"/>
      <c r="G526" s="7" t="n"/>
    </row>
    <row r="527" ht="15" customHeight="1" s="5">
      <c r="F527" s="7" t="n"/>
      <c r="G527" s="7" t="n"/>
    </row>
    <row r="528" ht="15" customHeight="1" s="5">
      <c r="F528" s="7" t="n"/>
      <c r="G528" s="7" t="n"/>
    </row>
    <row r="529" ht="15" customHeight="1" s="5">
      <c r="F529" s="7" t="n"/>
      <c r="G529" s="7" t="n"/>
    </row>
    <row r="530" ht="15" customHeight="1" s="5">
      <c r="F530" s="7" t="n"/>
      <c r="G530" s="7" t="n"/>
    </row>
    <row r="531" ht="15" customHeight="1" s="5">
      <c r="F531" s="7" t="n"/>
      <c r="G531" s="7" t="n"/>
    </row>
    <row r="532" ht="15" customHeight="1" s="5">
      <c r="F532" s="7" t="n"/>
      <c r="G532" s="7" t="n"/>
    </row>
    <row r="533" ht="15" customHeight="1" s="5">
      <c r="F533" s="7" t="n"/>
      <c r="G533" s="7" t="n"/>
    </row>
    <row r="534" ht="15" customHeight="1" s="5">
      <c r="F534" s="7" t="n"/>
      <c r="G534" s="7" t="n"/>
    </row>
    <row r="535" ht="15" customHeight="1" s="5">
      <c r="F535" s="7" t="n"/>
      <c r="G535" s="7" t="n"/>
    </row>
    <row r="536" ht="15" customHeight="1" s="5">
      <c r="F536" s="7" t="n"/>
      <c r="G536" s="7" t="n"/>
    </row>
    <row r="537" ht="15" customHeight="1" s="5">
      <c r="F537" s="7" t="n"/>
      <c r="G537" s="7" t="n"/>
    </row>
    <row r="538" ht="15" customHeight="1" s="5">
      <c r="F538" s="7" t="n"/>
      <c r="G538" s="7" t="n"/>
    </row>
    <row r="539" ht="15" customHeight="1" s="5">
      <c r="F539" s="7" t="n"/>
      <c r="G539" s="7" t="n"/>
    </row>
    <row r="540" ht="15" customHeight="1" s="5">
      <c r="F540" s="7" t="n"/>
      <c r="G540" s="7" t="n"/>
    </row>
    <row r="541" ht="15" customHeight="1" s="5">
      <c r="F541" s="7" t="n"/>
      <c r="G541" s="7" t="n"/>
    </row>
    <row r="542" ht="15" customHeight="1" s="5">
      <c r="F542" s="7" t="n"/>
      <c r="G542" s="7" t="n"/>
    </row>
    <row r="543" ht="15" customHeight="1" s="5">
      <c r="F543" s="7" t="n"/>
      <c r="G543" s="7" t="n"/>
    </row>
    <row r="544" ht="15" customHeight="1" s="5">
      <c r="F544" s="7" t="n"/>
      <c r="G544" s="7" t="n"/>
    </row>
    <row r="545" ht="15" customHeight="1" s="5">
      <c r="F545" s="7" t="n"/>
      <c r="G545" s="7" t="n"/>
    </row>
    <row r="546" ht="15" customHeight="1" s="5">
      <c r="F546" s="7" t="n"/>
      <c r="G546" s="7" t="n"/>
    </row>
    <row r="547" ht="15" customHeight="1" s="5">
      <c r="F547" s="7" t="n"/>
      <c r="G547" s="7" t="n"/>
    </row>
    <row r="548" ht="15" customHeight="1" s="5">
      <c r="F548" s="7" t="n"/>
      <c r="G548" s="7" t="n"/>
    </row>
    <row r="549" ht="15" customHeight="1" s="5">
      <c r="F549" s="7" t="n"/>
      <c r="G549" s="7" t="n"/>
    </row>
    <row r="550" ht="15" customHeight="1" s="5">
      <c r="F550" s="7" t="n"/>
      <c r="G550" s="7" t="n"/>
    </row>
    <row r="551" ht="15" customHeight="1" s="5">
      <c r="F551" s="7" t="n"/>
      <c r="G551" s="7" t="n"/>
    </row>
    <row r="552" ht="15" customHeight="1" s="5">
      <c r="F552" s="7" t="n"/>
      <c r="G552" s="7" t="n"/>
    </row>
    <row r="553" ht="15" customHeight="1" s="5">
      <c r="F553" s="7" t="n"/>
      <c r="G553" s="7" t="n"/>
    </row>
    <row r="554" ht="15" customHeight="1" s="5">
      <c r="F554" s="7" t="n"/>
      <c r="G554" s="7" t="n"/>
    </row>
    <row r="555" ht="15" customHeight="1" s="5">
      <c r="F555" s="7" t="n"/>
      <c r="G555" s="7" t="n"/>
    </row>
    <row r="556" ht="15" customHeight="1" s="5">
      <c r="F556" s="7" t="n"/>
      <c r="G556" s="7" t="n"/>
    </row>
    <row r="557" ht="15" customHeight="1" s="5">
      <c r="F557" s="7" t="n"/>
      <c r="G557" s="7" t="n"/>
    </row>
    <row r="558" ht="15" customHeight="1" s="5">
      <c r="F558" s="7" t="n"/>
      <c r="G558" s="7" t="n"/>
    </row>
    <row r="559" ht="15" customHeight="1" s="5">
      <c r="F559" s="7" t="n"/>
      <c r="G559" s="7" t="n"/>
    </row>
    <row r="560" ht="15" customHeight="1" s="5">
      <c r="F560" s="7" t="n"/>
      <c r="G560" s="7" t="n"/>
    </row>
    <row r="561" ht="15" customHeight="1" s="5">
      <c r="F561" s="7" t="n"/>
      <c r="G561" s="7" t="n"/>
    </row>
  </sheetData>
  <dataValidations count="4">
    <dataValidation sqref="G2:G561" showDropDown="0" showInputMessage="0" showErrorMessage="0" allowBlank="1" errorTitle="Not in Config list" error="Value not in Config; will still be saved." promptTitle="Action Status" prompt="Pick from Config → Action Status" type="list" errorStyle="warning" operator="between">
      <formula1>"Open,In Progress,Complete,Overdue"</formula1>
      <formula2>0</formula2>
    </dataValidation>
    <dataValidation sqref="F2:F561" showDropDown="0" showInputMessage="0" showErrorMessage="0" allowBlank="1" errorTitle="Not in Config list" error="Value not in Config; will still be saved." promptTitle="Risk Probability" prompt="Pick from Config → Risk Probability" type="list" errorStyle="warning" operator="between">
      <formula1>"Low,Medium,High"</formula1>
      <formula2>0</formula2>
    </dataValidation>
    <dataValidation sqref="G2:G1061" showDropDown="0" showInputMessage="0" showErrorMessage="0" allowBlank="1" errorTitle="Not in Config list" error="Value not in Config; will still be saved." promptTitle="Action Status" prompt="Pick from Config → Action Status" type="list" errorStyle="warning">
      <formula1>"Open,In Progress,Complete,Overdue"</formula1>
    </dataValidation>
    <dataValidation sqref="F2:F1061" showDropDown="0" showInputMessage="0" showErrorMessage="0" allowBlank="1" errorTitle="Not in Config list" error="Value not in Config; will still be saved." promptTitle="Risk Probability" prompt="Pick from Config → Risk Probability" type="list" errorStyle="warning">
      <formula1>"Low,Medium,High"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I8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cols>
    <col hidden="1" width="13" customWidth="1" style="7" min="9" max="9"/>
  </cols>
  <sheetData>
    <row r="1" ht="15" customHeight="1" s="5">
      <c r="A1" s="6" t="inlineStr">
        <is>
          <t>Project ID</t>
        </is>
      </c>
      <c r="B1" s="6" t="inlineStr">
        <is>
          <t>Milestone</t>
        </is>
      </c>
      <c r="C1" s="6" t="inlineStr">
        <is>
          <t>Planned Date</t>
        </is>
      </c>
      <c r="D1" s="6" t="inlineStr">
        <is>
          <t>Forecast Date</t>
        </is>
      </c>
      <c r="E1" s="6" t="inlineStr">
        <is>
          <t>Actual Date</t>
        </is>
      </c>
      <c r="F1" s="6" t="inlineStr">
        <is>
          <t>Status</t>
        </is>
      </c>
      <c r="G1" s="6" t="inlineStr">
        <is>
          <t>Owner</t>
        </is>
      </c>
      <c r="H1" s="6" t="inlineStr">
        <is>
          <t>Source</t>
        </is>
      </c>
      <c r="I1" s="6" t="inlineStr">
        <is>
          <t>_Key</t>
        </is>
      </c>
    </row>
    <row r="2" ht="15" customHeight="1" s="5">
      <c r="A2" s="7" t="inlineStr">
        <is>
          <t>PRJ001</t>
        </is>
      </c>
      <c r="B2" s="7" t="inlineStr">
        <is>
          <t>Discovery</t>
        </is>
      </c>
      <c r="C2" s="8">
        <f>IFERROR(INDEX(StageGates!$I:$I,MATCH(I2,StageGates!$O:$O,0)),"")</f>
        <v/>
      </c>
      <c r="D2" s="8">
        <f>IFERROR(INDEX(StageGates!$J:$J,MATCH(I2,StageGates!$O:$O,0)),"")</f>
        <v/>
      </c>
      <c r="E2" s="8">
        <f>IFERROR(INDEX(StageGates!$J:$J,MATCH(I2,StageGates!$O:$O,0)),"")</f>
        <v/>
      </c>
      <c r="F2" s="7">
        <f>IFERROR(INDEX(StageGates!$G:$G,MATCH(I2,StageGates!$O:$O,0)),"")</f>
        <v/>
      </c>
      <c r="G2" s="7">
        <f>IFERROR(INDEX(StageGates!$H:$H,MATCH(I2,StageGates!$O:$O,0)),"")</f>
        <v/>
      </c>
      <c r="H2" s="7" t="inlineStr">
        <is>
          <t>StageGate</t>
        </is>
      </c>
      <c r="I2" s="7">
        <f>A2&amp;"|"&amp;B2</f>
        <v/>
      </c>
    </row>
    <row r="3" ht="15" customHeight="1" s="5">
      <c r="A3" s="7" t="inlineStr">
        <is>
          <t>PRJ001</t>
        </is>
      </c>
      <c r="B3" s="7" t="inlineStr">
        <is>
          <t>Business Case / Seed Funding</t>
        </is>
      </c>
      <c r="C3" s="8">
        <f>IFERROR(INDEX(StageGates!$I:$I,MATCH(I3,StageGates!$O:$O,0)),"")</f>
        <v/>
      </c>
      <c r="D3" s="8">
        <f>IFERROR(INDEX(StageGates!$J:$J,MATCH(I3,StageGates!$O:$O,0)),"")</f>
        <v/>
      </c>
      <c r="E3" s="7">
        <f>IFERROR(INDEX(StageGates!$J:$J,MATCH(I3,StageGates!$O:$O,0)),"")</f>
        <v/>
      </c>
      <c r="F3" s="7">
        <f>IFERROR(INDEX(StageGates!$G:$G,MATCH(I3,StageGates!$O:$O,0)),"")</f>
        <v/>
      </c>
      <c r="G3" s="7">
        <f>IFERROR(INDEX(StageGates!$H:$H,MATCH(I3,StageGates!$O:$O,0)),"")</f>
        <v/>
      </c>
      <c r="H3" s="7" t="inlineStr">
        <is>
          <t>StageGate</t>
        </is>
      </c>
      <c r="I3" s="7">
        <f>A3&amp;"|"&amp;B3</f>
        <v/>
      </c>
    </row>
    <row r="4" ht="15" customHeight="1" s="5">
      <c r="A4" s="7" t="inlineStr">
        <is>
          <t>PRJ001</t>
        </is>
      </c>
      <c r="B4" s="7" t="inlineStr">
        <is>
          <t>Design</t>
        </is>
      </c>
      <c r="C4" s="8">
        <f>IFERROR(INDEX(StageGates!$I:$I,MATCH(I4,StageGates!$O:$O,0)),"")</f>
        <v/>
      </c>
      <c r="D4" s="8">
        <f>IFERROR(INDEX(StageGates!$J:$J,MATCH(I4,StageGates!$O:$O,0)),"")</f>
        <v/>
      </c>
      <c r="E4" s="7">
        <f>IFERROR(INDEX(StageGates!$J:$J,MATCH(I4,StageGates!$O:$O,0)),"")</f>
        <v/>
      </c>
      <c r="F4" s="7">
        <f>IFERROR(INDEX(StageGates!$G:$G,MATCH(I4,StageGates!$O:$O,0)),"")</f>
        <v/>
      </c>
      <c r="G4" s="7">
        <f>IFERROR(INDEX(StageGates!$H:$H,MATCH(I4,StageGates!$O:$O,0)),"")</f>
        <v/>
      </c>
      <c r="H4" s="7" t="inlineStr">
        <is>
          <t>StageGate</t>
        </is>
      </c>
      <c r="I4" s="7">
        <f>A4&amp;"|"&amp;B4</f>
        <v/>
      </c>
    </row>
    <row r="5" ht="15" customHeight="1" s="5">
      <c r="A5" s="7" t="inlineStr">
        <is>
          <t>PRJ001</t>
        </is>
      </c>
      <c r="B5" s="7" t="inlineStr">
        <is>
          <t>Business Case / Full Funding</t>
        </is>
      </c>
      <c r="C5" s="8">
        <f>IFERROR(INDEX(StageGates!$I:$I,MATCH(I5,StageGates!$O:$O,0)),"")</f>
        <v/>
      </c>
      <c r="D5" s="8">
        <f>IFERROR(INDEX(StageGates!$J:$J,MATCH(I5,StageGates!$O:$O,0)),"")</f>
        <v/>
      </c>
      <c r="E5" s="7">
        <f>IFERROR(INDEX(StageGates!$J:$J,MATCH(I5,StageGates!$O:$O,0)),"")</f>
        <v/>
      </c>
      <c r="F5" s="7">
        <f>IFERROR(INDEX(StageGates!$G:$G,MATCH(I5,StageGates!$O:$O,0)),"")</f>
        <v/>
      </c>
      <c r="G5" s="7">
        <f>IFERROR(INDEX(StageGates!$H:$H,MATCH(I5,StageGates!$O:$O,0)),"")</f>
        <v/>
      </c>
      <c r="H5" s="7" t="inlineStr">
        <is>
          <t>StageGate</t>
        </is>
      </c>
      <c r="I5" s="7">
        <f>A5&amp;"|"&amp;B5</f>
        <v/>
      </c>
    </row>
    <row r="6" ht="15" customHeight="1" s="5">
      <c r="A6" s="7" t="inlineStr">
        <is>
          <t>PRJ001</t>
        </is>
      </c>
      <c r="B6" s="7" t="inlineStr">
        <is>
          <t>Build</t>
        </is>
      </c>
      <c r="C6" s="8">
        <f>IFERROR(INDEX(StageGates!$I:$I,MATCH(I6,StageGates!$O:$O,0)),"")</f>
        <v/>
      </c>
      <c r="D6" s="8">
        <f>IFERROR(INDEX(StageGates!$J:$J,MATCH(I6,StageGates!$O:$O,0)),"")</f>
        <v/>
      </c>
      <c r="E6" s="7">
        <f>IFERROR(INDEX(StageGates!$J:$J,MATCH(I6,StageGates!$O:$O,0)),"")</f>
        <v/>
      </c>
      <c r="F6" s="7">
        <f>IFERROR(INDEX(StageGates!$G:$G,MATCH(I6,StageGates!$O:$O,0)),"")</f>
        <v/>
      </c>
      <c r="G6" s="7">
        <f>IFERROR(INDEX(StageGates!$H:$H,MATCH(I6,StageGates!$O:$O,0)),"")</f>
        <v/>
      </c>
      <c r="H6" s="7" t="inlineStr">
        <is>
          <t>StageGate</t>
        </is>
      </c>
      <c r="I6" s="7">
        <f>A6&amp;"|"&amp;B6</f>
        <v/>
      </c>
    </row>
    <row r="7" ht="15" customHeight="1" s="5">
      <c r="A7" s="7" t="inlineStr">
        <is>
          <t>PRJ001</t>
        </is>
      </c>
      <c r="B7" s="7" t="inlineStr">
        <is>
          <t>Testing</t>
        </is>
      </c>
      <c r="C7" s="8">
        <f>IFERROR(INDEX(StageGates!$I:$I,MATCH(I7,StageGates!$O:$O,0)),"")</f>
        <v/>
      </c>
      <c r="D7" s="8">
        <f>IFERROR(INDEX(StageGates!$J:$J,MATCH(I7,StageGates!$O:$O,0)),"")</f>
        <v/>
      </c>
      <c r="E7" s="7">
        <f>IFERROR(INDEX(StageGates!$J:$J,MATCH(I7,StageGates!$O:$O,0)),"")</f>
        <v/>
      </c>
      <c r="F7" s="7">
        <f>IFERROR(INDEX(StageGates!$G:$G,MATCH(I7,StageGates!$O:$O,0)),"")</f>
        <v/>
      </c>
      <c r="G7" s="7">
        <f>IFERROR(INDEX(StageGates!$H:$H,MATCH(I7,StageGates!$O:$O,0)),"")</f>
        <v/>
      </c>
      <c r="H7" s="7" t="inlineStr">
        <is>
          <t>StageGate</t>
        </is>
      </c>
      <c r="I7" s="7">
        <f>A7&amp;"|"&amp;B7</f>
        <v/>
      </c>
    </row>
    <row r="8" ht="15" customHeight="1" s="5">
      <c r="A8" s="7" t="inlineStr">
        <is>
          <t>PRJ001</t>
        </is>
      </c>
      <c r="B8" s="7" t="inlineStr">
        <is>
          <t>Deployment</t>
        </is>
      </c>
      <c r="C8" s="8">
        <f>IFERROR(INDEX(StageGates!$I:$I,MATCH(I8,StageGates!$O:$O,0)),"")</f>
        <v/>
      </c>
      <c r="D8" s="8">
        <f>IFERROR(INDEX(StageGates!$J:$J,MATCH(I8,StageGates!$O:$O,0)),"")</f>
        <v/>
      </c>
      <c r="E8" s="7">
        <f>IFERROR(INDEX(StageGates!$J:$J,MATCH(I8,StageGates!$O:$O,0)),"")</f>
        <v/>
      </c>
      <c r="F8" s="7">
        <f>IFERROR(INDEX(StageGates!$G:$G,MATCH(I8,StageGates!$O:$O,0)),"")</f>
        <v/>
      </c>
      <c r="G8" s="7">
        <f>IFERROR(INDEX(StageGates!$H:$H,MATCH(I8,StageGates!$O:$O,0)),"")</f>
        <v/>
      </c>
      <c r="H8" s="7" t="inlineStr">
        <is>
          <t>StageGate</t>
        </is>
      </c>
      <c r="I8" s="7">
        <f>A8&amp;"|"&amp;B8</f>
        <v/>
      </c>
    </row>
    <row r="9" ht="15" customHeight="1" s="5">
      <c r="A9" s="7" t="inlineStr">
        <is>
          <t>PRJ001</t>
        </is>
      </c>
      <c r="B9" s="7" t="inlineStr">
        <is>
          <t>Handover</t>
        </is>
      </c>
      <c r="C9" s="8">
        <f>IFERROR(INDEX(StageGates!$I:$I,MATCH(I9,StageGates!$O:$O,0)),"")</f>
        <v/>
      </c>
      <c r="D9" s="8">
        <f>IFERROR(INDEX(StageGates!$J:$J,MATCH(I9,StageGates!$O:$O,0)),"")</f>
        <v/>
      </c>
      <c r="E9" s="7">
        <f>IFERROR(INDEX(StageGates!$J:$J,MATCH(I9,StageGates!$O:$O,0)),"")</f>
        <v/>
      </c>
      <c r="F9" s="7">
        <f>IFERROR(INDEX(StageGates!$G:$G,MATCH(I9,StageGates!$O:$O,0)),"")</f>
        <v/>
      </c>
      <c r="G9" s="7">
        <f>IFERROR(INDEX(StageGates!$H:$H,MATCH(I9,StageGates!$O:$O,0)),"")</f>
        <v/>
      </c>
      <c r="H9" s="7" t="inlineStr">
        <is>
          <t>StageGate</t>
        </is>
      </c>
      <c r="I9" s="7">
        <f>A9&amp;"|"&amp;B9</f>
        <v/>
      </c>
    </row>
    <row r="10" ht="15" customHeight="1" s="5">
      <c r="A10" s="7" t="inlineStr">
        <is>
          <t>PRJ002</t>
        </is>
      </c>
      <c r="B10" s="7" t="inlineStr">
        <is>
          <t>Discovery</t>
        </is>
      </c>
      <c r="C10" s="8">
        <f>IFERROR(INDEX(StageGates!$I:$I,MATCH(I10,StageGates!$O:$O,0)),"")</f>
        <v/>
      </c>
      <c r="D10" s="8">
        <f>IFERROR(INDEX(StageGates!$J:$J,MATCH(I10,StageGates!$O:$O,0)),"")</f>
        <v/>
      </c>
      <c r="E10" s="8">
        <f>IFERROR(INDEX(StageGates!$J:$J,MATCH(I10,StageGates!$O:$O,0)),"")</f>
        <v/>
      </c>
      <c r="F10" s="7">
        <f>IFERROR(INDEX(StageGates!$G:$G,MATCH(I10,StageGates!$O:$O,0)),"")</f>
        <v/>
      </c>
      <c r="G10" s="7">
        <f>IFERROR(INDEX(StageGates!$H:$H,MATCH(I10,StageGates!$O:$O,0)),"")</f>
        <v/>
      </c>
      <c r="H10" s="7" t="inlineStr">
        <is>
          <t>StageGate</t>
        </is>
      </c>
      <c r="I10" s="7">
        <f>A10&amp;"|"&amp;B10</f>
        <v/>
      </c>
    </row>
    <row r="11" ht="15" customHeight="1" s="5">
      <c r="A11" s="7" t="inlineStr">
        <is>
          <t>PRJ002</t>
        </is>
      </c>
      <c r="B11" s="7" t="inlineStr">
        <is>
          <t>Business Case / Seed Funding</t>
        </is>
      </c>
      <c r="C11" s="8">
        <f>IFERROR(INDEX(StageGates!$I:$I,MATCH(I11,StageGates!$O:$O,0)),"")</f>
        <v/>
      </c>
      <c r="D11" s="8">
        <f>IFERROR(INDEX(StageGates!$J:$J,MATCH(I11,StageGates!$O:$O,0)),"")</f>
        <v/>
      </c>
      <c r="E11" s="8">
        <f>IFERROR(INDEX(StageGates!$J:$J,MATCH(I11,StageGates!$O:$O,0)),"")</f>
        <v/>
      </c>
      <c r="F11" s="7">
        <f>IFERROR(INDEX(StageGates!$G:$G,MATCH(I11,StageGates!$O:$O,0)),"")</f>
        <v/>
      </c>
      <c r="G11" s="7">
        <f>IFERROR(INDEX(StageGates!$H:$H,MATCH(I11,StageGates!$O:$O,0)),"")</f>
        <v/>
      </c>
      <c r="H11" s="7" t="inlineStr">
        <is>
          <t>StageGate</t>
        </is>
      </c>
      <c r="I11" s="7">
        <f>A11&amp;"|"&amp;B11</f>
        <v/>
      </c>
    </row>
    <row r="12" ht="15" customHeight="1" s="5">
      <c r="A12" s="7" t="inlineStr">
        <is>
          <t>PRJ002</t>
        </is>
      </c>
      <c r="B12" s="7" t="inlineStr">
        <is>
          <t>Design</t>
        </is>
      </c>
      <c r="C12" s="8">
        <f>IFERROR(INDEX(StageGates!$I:$I,MATCH(I12,StageGates!$O:$O,0)),"")</f>
        <v/>
      </c>
      <c r="D12" s="8">
        <f>IFERROR(INDEX(StageGates!$J:$J,MATCH(I12,StageGates!$O:$O,0)),"")</f>
        <v/>
      </c>
      <c r="E12" s="8">
        <f>IFERROR(INDEX(StageGates!$J:$J,MATCH(I12,StageGates!$O:$O,0)),"")</f>
        <v/>
      </c>
      <c r="F12" s="7">
        <f>IFERROR(INDEX(StageGates!$G:$G,MATCH(I12,StageGates!$O:$O,0)),"")</f>
        <v/>
      </c>
      <c r="G12" s="7">
        <f>IFERROR(INDEX(StageGates!$H:$H,MATCH(I12,StageGates!$O:$O,0)),"")</f>
        <v/>
      </c>
      <c r="H12" s="7" t="inlineStr">
        <is>
          <t>StageGate</t>
        </is>
      </c>
      <c r="I12" s="7">
        <f>A12&amp;"|"&amp;B12</f>
        <v/>
      </c>
    </row>
    <row r="13" ht="15" customHeight="1" s="5">
      <c r="A13" s="7" t="inlineStr">
        <is>
          <t>PRJ002</t>
        </is>
      </c>
      <c r="B13" s="7" t="inlineStr">
        <is>
          <t>Business Case / Full Funding</t>
        </is>
      </c>
      <c r="C13" s="8">
        <f>IFERROR(INDEX(StageGates!$I:$I,MATCH(I13,StageGates!$O:$O,0)),"")</f>
        <v/>
      </c>
      <c r="D13" s="8">
        <f>IFERROR(INDEX(StageGates!$J:$J,MATCH(I13,StageGates!$O:$O,0)),"")</f>
        <v/>
      </c>
      <c r="E13" s="7">
        <f>IFERROR(INDEX(StageGates!$J:$J,MATCH(I13,StageGates!$O:$O,0)),"")</f>
        <v/>
      </c>
      <c r="F13" s="7">
        <f>IFERROR(INDEX(StageGates!$G:$G,MATCH(I13,StageGates!$O:$O,0)),"")</f>
        <v/>
      </c>
      <c r="G13" s="7">
        <f>IFERROR(INDEX(StageGates!$H:$H,MATCH(I13,StageGates!$O:$O,0)),"")</f>
        <v/>
      </c>
      <c r="H13" s="7" t="inlineStr">
        <is>
          <t>StageGate</t>
        </is>
      </c>
      <c r="I13" s="7">
        <f>A13&amp;"|"&amp;B13</f>
        <v/>
      </c>
    </row>
    <row r="14" ht="15" customHeight="1" s="5">
      <c r="A14" s="7" t="inlineStr">
        <is>
          <t>PRJ002</t>
        </is>
      </c>
      <c r="B14" s="7" t="inlineStr">
        <is>
          <t>Build</t>
        </is>
      </c>
      <c r="C14" s="8">
        <f>IFERROR(INDEX(StageGates!$I:$I,MATCH(I14,StageGates!$O:$O,0)),"")</f>
        <v/>
      </c>
      <c r="D14" s="8">
        <f>IFERROR(INDEX(StageGates!$J:$J,MATCH(I14,StageGates!$O:$O,0)),"")</f>
        <v/>
      </c>
      <c r="E14" s="7">
        <f>IFERROR(INDEX(StageGates!$J:$J,MATCH(I14,StageGates!$O:$O,0)),"")</f>
        <v/>
      </c>
      <c r="F14" s="7">
        <f>IFERROR(INDEX(StageGates!$G:$G,MATCH(I14,StageGates!$O:$O,0)),"")</f>
        <v/>
      </c>
      <c r="G14" s="7">
        <f>IFERROR(INDEX(StageGates!$H:$H,MATCH(I14,StageGates!$O:$O,0)),"")</f>
        <v/>
      </c>
      <c r="H14" s="7" t="inlineStr">
        <is>
          <t>StageGate</t>
        </is>
      </c>
      <c r="I14" s="7">
        <f>A14&amp;"|"&amp;B14</f>
        <v/>
      </c>
    </row>
    <row r="15" ht="15" customHeight="1" s="5">
      <c r="A15" s="7" t="inlineStr">
        <is>
          <t>PRJ002</t>
        </is>
      </c>
      <c r="B15" s="7" t="inlineStr">
        <is>
          <t>Testing</t>
        </is>
      </c>
      <c r="C15" s="8">
        <f>IFERROR(INDEX(StageGates!$I:$I,MATCH(I15,StageGates!$O:$O,0)),"")</f>
        <v/>
      </c>
      <c r="D15" s="8">
        <f>IFERROR(INDEX(StageGates!$J:$J,MATCH(I15,StageGates!$O:$O,0)),"")</f>
        <v/>
      </c>
      <c r="E15" s="7">
        <f>IFERROR(INDEX(StageGates!$J:$J,MATCH(I15,StageGates!$O:$O,0)),"")</f>
        <v/>
      </c>
      <c r="F15" s="7">
        <f>IFERROR(INDEX(StageGates!$G:$G,MATCH(I15,StageGates!$O:$O,0)),"")</f>
        <v/>
      </c>
      <c r="G15" s="7">
        <f>IFERROR(INDEX(StageGates!$H:$H,MATCH(I15,StageGates!$O:$O,0)),"")</f>
        <v/>
      </c>
      <c r="H15" s="7" t="inlineStr">
        <is>
          <t>StageGate</t>
        </is>
      </c>
      <c r="I15" s="7">
        <f>A15&amp;"|"&amp;B15</f>
        <v/>
      </c>
    </row>
    <row r="16" ht="15" customHeight="1" s="5">
      <c r="A16" s="7" t="inlineStr">
        <is>
          <t>PRJ002</t>
        </is>
      </c>
      <c r="B16" s="7" t="inlineStr">
        <is>
          <t>Deployment</t>
        </is>
      </c>
      <c r="C16" s="8">
        <f>IFERROR(INDEX(StageGates!$I:$I,MATCH(I16,StageGates!$O:$O,0)),"")</f>
        <v/>
      </c>
      <c r="D16" s="8">
        <f>IFERROR(INDEX(StageGates!$J:$J,MATCH(I16,StageGates!$O:$O,0)),"")</f>
        <v/>
      </c>
      <c r="E16" s="7">
        <f>IFERROR(INDEX(StageGates!$J:$J,MATCH(I16,StageGates!$O:$O,0)),"")</f>
        <v/>
      </c>
      <c r="F16" s="7">
        <f>IFERROR(INDEX(StageGates!$G:$G,MATCH(I16,StageGates!$O:$O,0)),"")</f>
        <v/>
      </c>
      <c r="G16" s="7">
        <f>IFERROR(INDEX(StageGates!$H:$H,MATCH(I16,StageGates!$O:$O,0)),"")</f>
        <v/>
      </c>
      <c r="H16" s="7" t="inlineStr">
        <is>
          <t>StageGate</t>
        </is>
      </c>
      <c r="I16" s="7">
        <f>A16&amp;"|"&amp;B16</f>
        <v/>
      </c>
    </row>
    <row r="17" ht="15" customHeight="1" s="5">
      <c r="A17" s="7" t="inlineStr">
        <is>
          <t>PRJ002</t>
        </is>
      </c>
      <c r="B17" s="7" t="inlineStr">
        <is>
          <t>Handover</t>
        </is>
      </c>
      <c r="C17" s="8">
        <f>IFERROR(INDEX(StageGates!$I:$I,MATCH(I17,StageGates!$O:$O,0)),"")</f>
        <v/>
      </c>
      <c r="D17" s="8">
        <f>IFERROR(INDEX(StageGates!$J:$J,MATCH(I17,StageGates!$O:$O,0)),"")</f>
        <v/>
      </c>
      <c r="E17" s="7">
        <f>IFERROR(INDEX(StageGates!$J:$J,MATCH(I17,StageGates!$O:$O,0)),"")</f>
        <v/>
      </c>
      <c r="F17" s="7">
        <f>IFERROR(INDEX(StageGates!$G:$G,MATCH(I17,StageGates!$O:$O,0)),"")</f>
        <v/>
      </c>
      <c r="G17" s="7">
        <f>IFERROR(INDEX(StageGates!$H:$H,MATCH(I17,StageGates!$O:$O,0)),"")</f>
        <v/>
      </c>
      <c r="H17" s="7" t="inlineStr">
        <is>
          <t>StageGate</t>
        </is>
      </c>
      <c r="I17" s="7">
        <f>A17&amp;"|"&amp;B17</f>
        <v/>
      </c>
    </row>
    <row r="18" ht="15" customHeight="1" s="5">
      <c r="A18" s="7" t="inlineStr">
        <is>
          <t>PRJ003</t>
        </is>
      </c>
      <c r="B18" s="7" t="inlineStr">
        <is>
          <t>Discovery</t>
        </is>
      </c>
      <c r="C18" s="8">
        <f>IFERROR(INDEX(StageGates!$I:$I,MATCH(I18,StageGates!$O:$O,0)),"")</f>
        <v/>
      </c>
      <c r="D18" s="8">
        <f>IFERROR(INDEX(StageGates!$J:$J,MATCH(I18,StageGates!$O:$O,0)),"")</f>
        <v/>
      </c>
      <c r="E18" s="8">
        <f>IFERROR(INDEX(StageGates!$J:$J,MATCH(I18,StageGates!$O:$O,0)),"")</f>
        <v/>
      </c>
      <c r="F18" s="7">
        <f>IFERROR(INDEX(StageGates!$G:$G,MATCH(I18,StageGates!$O:$O,0)),"")</f>
        <v/>
      </c>
      <c r="G18" s="7">
        <f>IFERROR(INDEX(StageGates!$H:$H,MATCH(I18,StageGates!$O:$O,0)),"")</f>
        <v/>
      </c>
      <c r="H18" s="7" t="inlineStr">
        <is>
          <t>StageGate</t>
        </is>
      </c>
      <c r="I18" s="7">
        <f>A18&amp;"|"&amp;B18</f>
        <v/>
      </c>
    </row>
    <row r="19" ht="15" customHeight="1" s="5">
      <c r="A19" s="7" t="inlineStr">
        <is>
          <t>PRJ003</t>
        </is>
      </c>
      <c r="B19" s="7" t="inlineStr">
        <is>
          <t>Business Case / Seed Funding</t>
        </is>
      </c>
      <c r="C19" s="8">
        <f>IFERROR(INDEX(StageGates!$I:$I,MATCH(I19,StageGates!$O:$O,0)),"")</f>
        <v/>
      </c>
      <c r="D19" s="8">
        <f>IFERROR(INDEX(StageGates!$J:$J,MATCH(I19,StageGates!$O:$O,0)),"")</f>
        <v/>
      </c>
      <c r="E19" s="8">
        <f>IFERROR(INDEX(StageGates!$J:$J,MATCH(I19,StageGates!$O:$O,0)),"")</f>
        <v/>
      </c>
      <c r="F19" s="7">
        <f>IFERROR(INDEX(StageGates!$G:$G,MATCH(I19,StageGates!$O:$O,0)),"")</f>
        <v/>
      </c>
      <c r="G19" s="7">
        <f>IFERROR(INDEX(StageGates!$H:$H,MATCH(I19,StageGates!$O:$O,0)),"")</f>
        <v/>
      </c>
      <c r="H19" s="7" t="inlineStr">
        <is>
          <t>StageGate</t>
        </is>
      </c>
      <c r="I19" s="7">
        <f>A19&amp;"|"&amp;B19</f>
        <v/>
      </c>
    </row>
    <row r="20" ht="15" customHeight="1" s="5">
      <c r="A20" s="7" t="inlineStr">
        <is>
          <t>PRJ003</t>
        </is>
      </c>
      <c r="B20" s="7" t="inlineStr">
        <is>
          <t>Design</t>
        </is>
      </c>
      <c r="C20" s="8">
        <f>IFERROR(INDEX(StageGates!$I:$I,MATCH(I20,StageGates!$O:$O,0)),"")</f>
        <v/>
      </c>
      <c r="D20" s="8">
        <f>IFERROR(INDEX(StageGates!$J:$J,MATCH(I20,StageGates!$O:$O,0)),"")</f>
        <v/>
      </c>
      <c r="E20" s="8">
        <f>IFERROR(INDEX(StageGates!$J:$J,MATCH(I20,StageGates!$O:$O,0)),"")</f>
        <v/>
      </c>
      <c r="F20" s="7">
        <f>IFERROR(INDEX(StageGates!$G:$G,MATCH(I20,StageGates!$O:$O,0)),"")</f>
        <v/>
      </c>
      <c r="G20" s="7">
        <f>IFERROR(INDEX(StageGates!$H:$H,MATCH(I20,StageGates!$O:$O,0)),"")</f>
        <v/>
      </c>
      <c r="H20" s="7" t="inlineStr">
        <is>
          <t>StageGate</t>
        </is>
      </c>
      <c r="I20" s="7">
        <f>A20&amp;"|"&amp;B20</f>
        <v/>
      </c>
    </row>
    <row r="21" ht="15" customHeight="1" s="5">
      <c r="A21" s="7" t="inlineStr">
        <is>
          <t>PRJ003</t>
        </is>
      </c>
      <c r="B21" s="7" t="inlineStr">
        <is>
          <t>Business Case / Full Funding</t>
        </is>
      </c>
      <c r="C21" s="8">
        <f>IFERROR(INDEX(StageGates!$I:$I,MATCH(I21,StageGates!$O:$O,0)),"")</f>
        <v/>
      </c>
      <c r="D21" s="8">
        <f>IFERROR(INDEX(StageGates!$J:$J,MATCH(I21,StageGates!$O:$O,0)),"")</f>
        <v/>
      </c>
      <c r="E21" s="8">
        <f>IFERROR(INDEX(StageGates!$J:$J,MATCH(I21,StageGates!$O:$O,0)),"")</f>
        <v/>
      </c>
      <c r="F21" s="7">
        <f>IFERROR(INDEX(StageGates!$G:$G,MATCH(I21,StageGates!$O:$O,0)),"")</f>
        <v/>
      </c>
      <c r="G21" s="7">
        <f>IFERROR(INDEX(StageGates!$H:$H,MATCH(I21,StageGates!$O:$O,0)),"")</f>
        <v/>
      </c>
      <c r="H21" s="7" t="inlineStr">
        <is>
          <t>StageGate</t>
        </is>
      </c>
      <c r="I21" s="7">
        <f>A21&amp;"|"&amp;B21</f>
        <v/>
      </c>
    </row>
    <row r="22" ht="15" customHeight="1" s="5">
      <c r="A22" s="7" t="inlineStr">
        <is>
          <t>PRJ003</t>
        </is>
      </c>
      <c r="B22" s="7" t="inlineStr">
        <is>
          <t>Build</t>
        </is>
      </c>
      <c r="C22" s="8">
        <f>IFERROR(INDEX(StageGates!$I:$I,MATCH(I22,StageGates!$O:$O,0)),"")</f>
        <v/>
      </c>
      <c r="D22" s="8">
        <f>IFERROR(INDEX(StageGates!$J:$J,MATCH(I22,StageGates!$O:$O,0)),"")</f>
        <v/>
      </c>
      <c r="E22" s="8">
        <f>IFERROR(INDEX(StageGates!$J:$J,MATCH(I22,StageGates!$O:$O,0)),"")</f>
        <v/>
      </c>
      <c r="F22" s="7">
        <f>IFERROR(INDEX(StageGates!$G:$G,MATCH(I22,StageGates!$O:$O,0)),"")</f>
        <v/>
      </c>
      <c r="G22" s="7">
        <f>IFERROR(INDEX(StageGates!$H:$H,MATCH(I22,StageGates!$O:$O,0)),"")</f>
        <v/>
      </c>
      <c r="H22" s="7" t="inlineStr">
        <is>
          <t>StageGate</t>
        </is>
      </c>
      <c r="I22" s="7">
        <f>A22&amp;"|"&amp;B22</f>
        <v/>
      </c>
    </row>
    <row r="23" ht="15" customHeight="1" s="5">
      <c r="A23" s="7" t="inlineStr">
        <is>
          <t>PRJ003</t>
        </is>
      </c>
      <c r="B23" s="7" t="inlineStr">
        <is>
          <t>Testing</t>
        </is>
      </c>
      <c r="C23" s="8">
        <f>IFERROR(INDEX(StageGates!$I:$I,MATCH(I23,StageGates!$O:$O,0)),"")</f>
        <v/>
      </c>
      <c r="D23" s="8">
        <f>IFERROR(INDEX(StageGates!$J:$J,MATCH(I23,StageGates!$O:$O,0)),"")</f>
        <v/>
      </c>
      <c r="E23" s="8">
        <f>IFERROR(INDEX(StageGates!$J:$J,MATCH(I23,StageGates!$O:$O,0)),"")</f>
        <v/>
      </c>
      <c r="F23" s="7">
        <f>IFERROR(INDEX(StageGates!$G:$G,MATCH(I23,StageGates!$O:$O,0)),"")</f>
        <v/>
      </c>
      <c r="G23" s="7">
        <f>IFERROR(INDEX(StageGates!$H:$H,MATCH(I23,StageGates!$O:$O,0)),"")</f>
        <v/>
      </c>
      <c r="H23" s="7" t="inlineStr">
        <is>
          <t>StageGate</t>
        </is>
      </c>
      <c r="I23" s="7">
        <f>A23&amp;"|"&amp;B23</f>
        <v/>
      </c>
    </row>
    <row r="24" ht="15" customHeight="1" s="5">
      <c r="A24" s="7" t="inlineStr">
        <is>
          <t>PRJ003</t>
        </is>
      </c>
      <c r="B24" s="7" t="inlineStr">
        <is>
          <t>Deployment</t>
        </is>
      </c>
      <c r="C24" s="8">
        <f>IFERROR(INDEX(StageGates!$I:$I,MATCH(I24,StageGates!$O:$O,0)),"")</f>
        <v/>
      </c>
      <c r="D24" s="8">
        <f>IFERROR(INDEX(StageGates!$J:$J,MATCH(I24,StageGates!$O:$O,0)),"")</f>
        <v/>
      </c>
      <c r="E24" s="8">
        <f>IFERROR(INDEX(StageGates!$J:$J,MATCH(I24,StageGates!$O:$O,0)),"")</f>
        <v/>
      </c>
      <c r="F24" s="7">
        <f>IFERROR(INDEX(StageGates!$G:$G,MATCH(I24,StageGates!$O:$O,0)),"")</f>
        <v/>
      </c>
      <c r="G24" s="7">
        <f>IFERROR(INDEX(StageGates!$H:$H,MATCH(I24,StageGates!$O:$O,0)),"")</f>
        <v/>
      </c>
      <c r="H24" s="7" t="inlineStr">
        <is>
          <t>StageGate</t>
        </is>
      </c>
      <c r="I24" s="7">
        <f>A24&amp;"|"&amp;B24</f>
        <v/>
      </c>
    </row>
    <row r="25" ht="15" customHeight="1" s="5">
      <c r="A25" s="7" t="inlineStr">
        <is>
          <t>PRJ003</t>
        </is>
      </c>
      <c r="B25" s="7" t="inlineStr">
        <is>
          <t>Handover</t>
        </is>
      </c>
      <c r="C25" s="8">
        <f>IFERROR(INDEX(StageGates!$I:$I,MATCH(I25,StageGates!$O:$O,0)),"")</f>
        <v/>
      </c>
      <c r="D25" s="8">
        <f>IFERROR(INDEX(StageGates!$J:$J,MATCH(I25,StageGates!$O:$O,0)),"")</f>
        <v/>
      </c>
      <c r="E25" s="7">
        <f>IFERROR(INDEX(StageGates!$J:$J,MATCH(I25,StageGates!$O:$O,0)),"")</f>
        <v/>
      </c>
      <c r="F25" s="7">
        <f>IFERROR(INDEX(StageGates!$G:$G,MATCH(I25,StageGates!$O:$O,0)),"")</f>
        <v/>
      </c>
      <c r="G25" s="7">
        <f>IFERROR(INDEX(StageGates!$H:$H,MATCH(I25,StageGates!$O:$O,0)),"")</f>
        <v/>
      </c>
      <c r="H25" s="7" t="inlineStr">
        <is>
          <t>StageGate</t>
        </is>
      </c>
      <c r="I25" s="7">
        <f>A25&amp;"|"&amp;B25</f>
        <v/>
      </c>
    </row>
    <row r="26" ht="15" customHeight="1" s="5">
      <c r="A26" s="7" t="inlineStr">
        <is>
          <t>PRJ004</t>
        </is>
      </c>
      <c r="B26" s="7" t="inlineStr">
        <is>
          <t>Discovery</t>
        </is>
      </c>
      <c r="C26" s="8">
        <f>IFERROR(INDEX(StageGates!$I:$I,MATCH(I26,StageGates!$O:$O,0)),"")</f>
        <v/>
      </c>
      <c r="D26" s="8">
        <f>IFERROR(INDEX(StageGates!$J:$J,MATCH(I26,StageGates!$O:$O,0)),"")</f>
        <v/>
      </c>
      <c r="E26" s="7">
        <f>IFERROR(INDEX(StageGates!$J:$J,MATCH(I26,StageGates!$O:$O,0)),"")</f>
        <v/>
      </c>
      <c r="F26" s="7">
        <f>IFERROR(INDEX(StageGates!$G:$G,MATCH(I26,StageGates!$O:$O,0)),"")</f>
        <v/>
      </c>
      <c r="G26" s="7">
        <f>IFERROR(INDEX(StageGates!$H:$H,MATCH(I26,StageGates!$O:$O,0)),"")</f>
        <v/>
      </c>
      <c r="H26" s="7" t="inlineStr">
        <is>
          <t>StageGate</t>
        </is>
      </c>
      <c r="I26" s="7">
        <f>A26&amp;"|"&amp;B26</f>
        <v/>
      </c>
    </row>
    <row r="27" ht="15" customHeight="1" s="5">
      <c r="A27" s="7" t="inlineStr">
        <is>
          <t>PRJ004</t>
        </is>
      </c>
      <c r="B27" s="7" t="inlineStr">
        <is>
          <t>Business Case / Seed Funding</t>
        </is>
      </c>
      <c r="C27" s="8">
        <f>IFERROR(INDEX(StageGates!$I:$I,MATCH(I27,StageGates!$O:$O,0)),"")</f>
        <v/>
      </c>
      <c r="D27" s="8">
        <f>IFERROR(INDEX(StageGates!$J:$J,MATCH(I27,StageGates!$O:$O,0)),"")</f>
        <v/>
      </c>
      <c r="E27" s="7">
        <f>IFERROR(INDEX(StageGates!$J:$J,MATCH(I27,StageGates!$O:$O,0)),"")</f>
        <v/>
      </c>
      <c r="F27" s="7">
        <f>IFERROR(INDEX(StageGates!$G:$G,MATCH(I27,StageGates!$O:$O,0)),"")</f>
        <v/>
      </c>
      <c r="G27" s="7">
        <f>IFERROR(INDEX(StageGates!$H:$H,MATCH(I27,StageGates!$O:$O,0)),"")</f>
        <v/>
      </c>
      <c r="H27" s="7" t="inlineStr">
        <is>
          <t>StageGate</t>
        </is>
      </c>
      <c r="I27" s="7">
        <f>A27&amp;"|"&amp;B27</f>
        <v/>
      </c>
    </row>
    <row r="28" ht="15" customHeight="1" s="5">
      <c r="A28" s="7" t="inlineStr">
        <is>
          <t>PRJ004</t>
        </is>
      </c>
      <c r="B28" s="7" t="inlineStr">
        <is>
          <t>Design</t>
        </is>
      </c>
      <c r="C28" s="8">
        <f>IFERROR(INDEX(StageGates!$I:$I,MATCH(I28,StageGates!$O:$O,0)),"")</f>
        <v/>
      </c>
      <c r="D28" s="8">
        <f>IFERROR(INDEX(StageGates!$J:$J,MATCH(I28,StageGates!$O:$O,0)),"")</f>
        <v/>
      </c>
      <c r="E28" s="7">
        <f>IFERROR(INDEX(StageGates!$J:$J,MATCH(I28,StageGates!$O:$O,0)),"")</f>
        <v/>
      </c>
      <c r="F28" s="7">
        <f>IFERROR(INDEX(StageGates!$G:$G,MATCH(I28,StageGates!$O:$O,0)),"")</f>
        <v/>
      </c>
      <c r="G28" s="7">
        <f>IFERROR(INDEX(StageGates!$H:$H,MATCH(I28,StageGates!$O:$O,0)),"")</f>
        <v/>
      </c>
      <c r="H28" s="7" t="inlineStr">
        <is>
          <t>StageGate</t>
        </is>
      </c>
      <c r="I28" s="7">
        <f>A28&amp;"|"&amp;B28</f>
        <v/>
      </c>
    </row>
    <row r="29" ht="15" customHeight="1" s="5">
      <c r="A29" s="7" t="inlineStr">
        <is>
          <t>PRJ004</t>
        </is>
      </c>
      <c r="B29" s="7" t="inlineStr">
        <is>
          <t>Business Case / Full Funding</t>
        </is>
      </c>
      <c r="C29" s="8">
        <f>IFERROR(INDEX(StageGates!$I:$I,MATCH(I29,StageGates!$O:$O,0)),"")</f>
        <v/>
      </c>
      <c r="D29" s="8">
        <f>IFERROR(INDEX(StageGates!$J:$J,MATCH(I29,StageGates!$O:$O,0)),"")</f>
        <v/>
      </c>
      <c r="E29" s="7">
        <f>IFERROR(INDEX(StageGates!$J:$J,MATCH(I29,StageGates!$O:$O,0)),"")</f>
        <v/>
      </c>
      <c r="F29" s="7">
        <f>IFERROR(INDEX(StageGates!$G:$G,MATCH(I29,StageGates!$O:$O,0)),"")</f>
        <v/>
      </c>
      <c r="G29" s="7">
        <f>IFERROR(INDEX(StageGates!$H:$H,MATCH(I29,StageGates!$O:$O,0)),"")</f>
        <v/>
      </c>
      <c r="H29" s="7" t="inlineStr">
        <is>
          <t>StageGate</t>
        </is>
      </c>
      <c r="I29" s="7">
        <f>A29&amp;"|"&amp;B29</f>
        <v/>
      </c>
    </row>
    <row r="30" ht="15" customHeight="1" s="5">
      <c r="A30" s="7" t="inlineStr">
        <is>
          <t>PRJ004</t>
        </is>
      </c>
      <c r="B30" s="7" t="inlineStr">
        <is>
          <t>Build</t>
        </is>
      </c>
      <c r="C30" s="8">
        <f>IFERROR(INDEX(StageGates!$I:$I,MATCH(I30,StageGates!$O:$O,0)),"")</f>
        <v/>
      </c>
      <c r="D30" s="8">
        <f>IFERROR(INDEX(StageGates!$J:$J,MATCH(I30,StageGates!$O:$O,0)),"")</f>
        <v/>
      </c>
      <c r="E30" s="7">
        <f>IFERROR(INDEX(StageGates!$J:$J,MATCH(I30,StageGates!$O:$O,0)),"")</f>
        <v/>
      </c>
      <c r="F30" s="7">
        <f>IFERROR(INDEX(StageGates!$G:$G,MATCH(I30,StageGates!$O:$O,0)),"")</f>
        <v/>
      </c>
      <c r="G30" s="7">
        <f>IFERROR(INDEX(StageGates!$H:$H,MATCH(I30,StageGates!$O:$O,0)),"")</f>
        <v/>
      </c>
      <c r="H30" s="7" t="inlineStr">
        <is>
          <t>StageGate</t>
        </is>
      </c>
      <c r="I30" s="7">
        <f>A30&amp;"|"&amp;B30</f>
        <v/>
      </c>
    </row>
    <row r="31" ht="15" customHeight="1" s="5">
      <c r="A31" s="7" t="inlineStr">
        <is>
          <t>PRJ004</t>
        </is>
      </c>
      <c r="B31" s="7" t="inlineStr">
        <is>
          <t>Testing</t>
        </is>
      </c>
      <c r="C31" s="8">
        <f>IFERROR(INDEX(StageGates!$I:$I,MATCH(I31,StageGates!$O:$O,0)),"")</f>
        <v/>
      </c>
      <c r="D31" s="8">
        <f>IFERROR(INDEX(StageGates!$J:$J,MATCH(I31,StageGates!$O:$O,0)),"")</f>
        <v/>
      </c>
      <c r="E31" s="7">
        <f>IFERROR(INDEX(StageGates!$J:$J,MATCH(I31,StageGates!$O:$O,0)),"")</f>
        <v/>
      </c>
      <c r="F31" s="7">
        <f>IFERROR(INDEX(StageGates!$G:$G,MATCH(I31,StageGates!$O:$O,0)),"")</f>
        <v/>
      </c>
      <c r="G31" s="7">
        <f>IFERROR(INDEX(StageGates!$H:$H,MATCH(I31,StageGates!$O:$O,0)),"")</f>
        <v/>
      </c>
      <c r="H31" s="7" t="inlineStr">
        <is>
          <t>StageGate</t>
        </is>
      </c>
      <c r="I31" s="7">
        <f>A31&amp;"|"&amp;B31</f>
        <v/>
      </c>
    </row>
    <row r="32" ht="15" customHeight="1" s="5">
      <c r="A32" s="7" t="inlineStr">
        <is>
          <t>PRJ004</t>
        </is>
      </c>
      <c r="B32" s="7" t="inlineStr">
        <is>
          <t>Deployment</t>
        </is>
      </c>
      <c r="C32" s="8">
        <f>IFERROR(INDEX(StageGates!$I:$I,MATCH(I32,StageGates!$O:$O,0)),"")</f>
        <v/>
      </c>
      <c r="D32" s="8">
        <f>IFERROR(INDEX(StageGates!$J:$J,MATCH(I32,StageGates!$O:$O,0)),"")</f>
        <v/>
      </c>
      <c r="E32" s="7">
        <f>IFERROR(INDEX(StageGates!$J:$J,MATCH(I32,StageGates!$O:$O,0)),"")</f>
        <v/>
      </c>
      <c r="F32" s="7">
        <f>IFERROR(INDEX(StageGates!$G:$G,MATCH(I32,StageGates!$O:$O,0)),"")</f>
        <v/>
      </c>
      <c r="G32" s="7">
        <f>IFERROR(INDEX(StageGates!$H:$H,MATCH(I32,StageGates!$O:$O,0)),"")</f>
        <v/>
      </c>
      <c r="H32" s="7" t="inlineStr">
        <is>
          <t>StageGate</t>
        </is>
      </c>
      <c r="I32" s="7">
        <f>A32&amp;"|"&amp;B32</f>
        <v/>
      </c>
    </row>
    <row r="33" ht="15" customHeight="1" s="5">
      <c r="A33" s="7" t="inlineStr">
        <is>
          <t>PRJ004</t>
        </is>
      </c>
      <c r="B33" s="7" t="inlineStr">
        <is>
          <t>Handover</t>
        </is>
      </c>
      <c r="C33" s="8">
        <f>IFERROR(INDEX(StageGates!$I:$I,MATCH(I33,StageGates!$O:$O,0)),"")</f>
        <v/>
      </c>
      <c r="D33" s="8">
        <f>IFERROR(INDEX(StageGates!$J:$J,MATCH(I33,StageGates!$O:$O,0)),"")</f>
        <v/>
      </c>
      <c r="E33" s="7">
        <f>IFERROR(INDEX(StageGates!$J:$J,MATCH(I33,StageGates!$O:$O,0)),"")</f>
        <v/>
      </c>
      <c r="F33" s="7">
        <f>IFERROR(INDEX(StageGates!$G:$G,MATCH(I33,StageGates!$O:$O,0)),"")</f>
        <v/>
      </c>
      <c r="G33" s="7">
        <f>IFERROR(INDEX(StageGates!$H:$H,MATCH(I33,StageGates!$O:$O,0)),"")</f>
        <v/>
      </c>
      <c r="H33" s="7" t="inlineStr">
        <is>
          <t>StageGate</t>
        </is>
      </c>
      <c r="I33" s="7">
        <f>A33&amp;"|"&amp;B33</f>
        <v/>
      </c>
    </row>
    <row r="34" ht="15" customHeight="1" s="5">
      <c r="A34" s="7" t="inlineStr">
        <is>
          <t>PRJ005</t>
        </is>
      </c>
      <c r="B34" s="7" t="inlineStr">
        <is>
          <t>Discovery</t>
        </is>
      </c>
      <c r="C34" s="8">
        <f>IFERROR(INDEX(StageGates!$I:$I,MATCH(I34,StageGates!$O:$O,0)),"")</f>
        <v/>
      </c>
      <c r="D34" s="8">
        <f>IFERROR(INDEX(StageGates!$J:$J,MATCH(I34,StageGates!$O:$O,0)),"")</f>
        <v/>
      </c>
      <c r="E34" s="8">
        <f>IFERROR(INDEX(StageGates!$J:$J,MATCH(I34,StageGates!$O:$O,0)),"")</f>
        <v/>
      </c>
      <c r="F34" s="7">
        <f>IFERROR(INDEX(StageGates!$G:$G,MATCH(I34,StageGates!$O:$O,0)),"")</f>
        <v/>
      </c>
      <c r="G34" s="7">
        <f>IFERROR(INDEX(StageGates!$H:$H,MATCH(I34,StageGates!$O:$O,0)),"")</f>
        <v/>
      </c>
      <c r="H34" s="7" t="inlineStr">
        <is>
          <t>StageGate</t>
        </is>
      </c>
      <c r="I34" s="7">
        <f>A34&amp;"|"&amp;B34</f>
        <v/>
      </c>
    </row>
    <row r="35" ht="15" customHeight="1" s="5">
      <c r="A35" s="7" t="inlineStr">
        <is>
          <t>PRJ005</t>
        </is>
      </c>
      <c r="B35" s="7" t="inlineStr">
        <is>
          <t>Business Case / Seed Funding</t>
        </is>
      </c>
      <c r="C35" s="8">
        <f>IFERROR(INDEX(StageGates!$I:$I,MATCH(I35,StageGates!$O:$O,0)),"")</f>
        <v/>
      </c>
      <c r="D35" s="8">
        <f>IFERROR(INDEX(StageGates!$J:$J,MATCH(I35,StageGates!$O:$O,0)),"")</f>
        <v/>
      </c>
      <c r="E35" s="8">
        <f>IFERROR(INDEX(StageGates!$J:$J,MATCH(I35,StageGates!$O:$O,0)),"")</f>
        <v/>
      </c>
      <c r="F35" s="7">
        <f>IFERROR(INDEX(StageGates!$G:$G,MATCH(I35,StageGates!$O:$O,0)),"")</f>
        <v/>
      </c>
      <c r="G35" s="7">
        <f>IFERROR(INDEX(StageGates!$H:$H,MATCH(I35,StageGates!$O:$O,0)),"")</f>
        <v/>
      </c>
      <c r="H35" s="7" t="inlineStr">
        <is>
          <t>StageGate</t>
        </is>
      </c>
      <c r="I35" s="7">
        <f>A35&amp;"|"&amp;B35</f>
        <v/>
      </c>
    </row>
    <row r="36" ht="15" customHeight="1" s="5">
      <c r="A36" s="7" t="inlineStr">
        <is>
          <t>PRJ005</t>
        </is>
      </c>
      <c r="B36" s="7" t="inlineStr">
        <is>
          <t>Design</t>
        </is>
      </c>
      <c r="C36" s="8">
        <f>IFERROR(INDEX(StageGates!$I:$I,MATCH(I36,StageGates!$O:$O,0)),"")</f>
        <v/>
      </c>
      <c r="D36" s="8">
        <f>IFERROR(INDEX(StageGates!$J:$J,MATCH(I36,StageGates!$O:$O,0)),"")</f>
        <v/>
      </c>
      <c r="E36" s="8">
        <f>IFERROR(INDEX(StageGates!$J:$J,MATCH(I36,StageGates!$O:$O,0)),"")</f>
        <v/>
      </c>
      <c r="F36" s="7">
        <f>IFERROR(INDEX(StageGates!$G:$G,MATCH(I36,StageGates!$O:$O,0)),"")</f>
        <v/>
      </c>
      <c r="G36" s="7">
        <f>IFERROR(INDEX(StageGates!$H:$H,MATCH(I36,StageGates!$O:$O,0)),"")</f>
        <v/>
      </c>
      <c r="H36" s="7" t="inlineStr">
        <is>
          <t>StageGate</t>
        </is>
      </c>
      <c r="I36" s="7">
        <f>A36&amp;"|"&amp;B36</f>
        <v/>
      </c>
    </row>
    <row r="37" ht="15" customHeight="1" s="5">
      <c r="A37" s="7" t="inlineStr">
        <is>
          <t>PRJ005</t>
        </is>
      </c>
      <c r="B37" s="7" t="inlineStr">
        <is>
          <t>Business Case / Full Funding</t>
        </is>
      </c>
      <c r="C37" s="8">
        <f>IFERROR(INDEX(StageGates!$I:$I,MATCH(I37,StageGates!$O:$O,0)),"")</f>
        <v/>
      </c>
      <c r="D37" s="8">
        <f>IFERROR(INDEX(StageGates!$J:$J,MATCH(I37,StageGates!$O:$O,0)),"")</f>
        <v/>
      </c>
      <c r="E37" s="8">
        <f>IFERROR(INDEX(StageGates!$J:$J,MATCH(I37,StageGates!$O:$O,0)),"")</f>
        <v/>
      </c>
      <c r="F37" s="7">
        <f>IFERROR(INDEX(StageGates!$G:$G,MATCH(I37,StageGates!$O:$O,0)),"")</f>
        <v/>
      </c>
      <c r="G37" s="7">
        <f>IFERROR(INDEX(StageGates!$H:$H,MATCH(I37,StageGates!$O:$O,0)),"")</f>
        <v/>
      </c>
      <c r="H37" s="7" t="inlineStr">
        <is>
          <t>StageGate</t>
        </is>
      </c>
      <c r="I37" s="7">
        <f>A37&amp;"|"&amp;B37</f>
        <v/>
      </c>
    </row>
    <row r="38" ht="15" customHeight="1" s="5">
      <c r="A38" s="7" t="inlineStr">
        <is>
          <t>PRJ005</t>
        </is>
      </c>
      <c r="B38" s="7" t="inlineStr">
        <is>
          <t>Build</t>
        </is>
      </c>
      <c r="C38" s="8">
        <f>IFERROR(INDEX(StageGates!$I:$I,MATCH(I38,StageGates!$O:$O,0)),"")</f>
        <v/>
      </c>
      <c r="D38" s="8">
        <f>IFERROR(INDEX(StageGates!$J:$J,MATCH(I38,StageGates!$O:$O,0)),"")</f>
        <v/>
      </c>
      <c r="E38" s="8">
        <f>IFERROR(INDEX(StageGates!$J:$J,MATCH(I38,StageGates!$O:$O,0)),"")</f>
        <v/>
      </c>
      <c r="F38" s="7">
        <f>IFERROR(INDEX(StageGates!$G:$G,MATCH(I38,StageGates!$O:$O,0)),"")</f>
        <v/>
      </c>
      <c r="G38" s="7">
        <f>IFERROR(INDEX(StageGates!$H:$H,MATCH(I38,StageGates!$O:$O,0)),"")</f>
        <v/>
      </c>
      <c r="H38" s="7" t="inlineStr">
        <is>
          <t>StageGate</t>
        </is>
      </c>
      <c r="I38" s="7">
        <f>A38&amp;"|"&amp;B38</f>
        <v/>
      </c>
    </row>
    <row r="39" ht="15" customHeight="1" s="5">
      <c r="A39" s="7" t="inlineStr">
        <is>
          <t>PRJ005</t>
        </is>
      </c>
      <c r="B39" s="7" t="inlineStr">
        <is>
          <t>Testing</t>
        </is>
      </c>
      <c r="C39" s="8">
        <f>IFERROR(INDEX(StageGates!$I:$I,MATCH(I39,StageGates!$O:$O,0)),"")</f>
        <v/>
      </c>
      <c r="D39" s="8">
        <f>IFERROR(INDEX(StageGates!$J:$J,MATCH(I39,StageGates!$O:$O,0)),"")</f>
        <v/>
      </c>
      <c r="E39" s="7">
        <f>IFERROR(INDEX(StageGates!$J:$J,MATCH(I39,StageGates!$O:$O,0)),"")</f>
        <v/>
      </c>
      <c r="F39" s="7">
        <f>IFERROR(INDEX(StageGates!$G:$G,MATCH(I39,StageGates!$O:$O,0)),"")</f>
        <v/>
      </c>
      <c r="G39" s="7">
        <f>IFERROR(INDEX(StageGates!$H:$H,MATCH(I39,StageGates!$O:$O,0)),"")</f>
        <v/>
      </c>
      <c r="H39" s="7" t="inlineStr">
        <is>
          <t>StageGate</t>
        </is>
      </c>
      <c r="I39" s="7">
        <f>A39&amp;"|"&amp;B39</f>
        <v/>
      </c>
    </row>
    <row r="40" ht="15" customHeight="1" s="5">
      <c r="A40" s="7" t="inlineStr">
        <is>
          <t>PRJ005</t>
        </is>
      </c>
      <c r="B40" s="7" t="inlineStr">
        <is>
          <t>Deployment</t>
        </is>
      </c>
      <c r="C40" s="8">
        <f>IFERROR(INDEX(StageGates!$I:$I,MATCH(I40,StageGates!$O:$O,0)),"")</f>
        <v/>
      </c>
      <c r="D40" s="8">
        <f>IFERROR(INDEX(StageGates!$J:$J,MATCH(I40,StageGates!$O:$O,0)),"")</f>
        <v/>
      </c>
      <c r="E40" s="7">
        <f>IFERROR(INDEX(StageGates!$J:$J,MATCH(I40,StageGates!$O:$O,0)),"")</f>
        <v/>
      </c>
      <c r="F40" s="7">
        <f>IFERROR(INDEX(StageGates!$G:$G,MATCH(I40,StageGates!$O:$O,0)),"")</f>
        <v/>
      </c>
      <c r="G40" s="7">
        <f>IFERROR(INDEX(StageGates!$H:$H,MATCH(I40,StageGates!$O:$O,0)),"")</f>
        <v/>
      </c>
      <c r="H40" s="7" t="inlineStr">
        <is>
          <t>StageGate</t>
        </is>
      </c>
      <c r="I40" s="7">
        <f>A40&amp;"|"&amp;B40</f>
        <v/>
      </c>
    </row>
    <row r="41" ht="15" customHeight="1" s="5">
      <c r="A41" s="7" t="inlineStr">
        <is>
          <t>PRJ005</t>
        </is>
      </c>
      <c r="B41" s="7" t="inlineStr">
        <is>
          <t>Handover</t>
        </is>
      </c>
      <c r="C41" s="8">
        <f>IFERROR(INDEX(StageGates!$I:$I,MATCH(I41,StageGates!$O:$O,0)),"")</f>
        <v/>
      </c>
      <c r="D41" s="8">
        <f>IFERROR(INDEX(StageGates!$J:$J,MATCH(I41,StageGates!$O:$O,0)),"")</f>
        <v/>
      </c>
      <c r="E41" s="7">
        <f>IFERROR(INDEX(StageGates!$J:$J,MATCH(I41,StageGates!$O:$O,0)),"")</f>
        <v/>
      </c>
      <c r="F41" s="7">
        <f>IFERROR(INDEX(StageGates!$G:$G,MATCH(I41,StageGates!$O:$O,0)),"")</f>
        <v/>
      </c>
      <c r="G41" s="7">
        <f>IFERROR(INDEX(StageGates!$H:$H,MATCH(I41,StageGates!$O:$O,0)),"")</f>
        <v/>
      </c>
      <c r="H41" s="7" t="inlineStr">
        <is>
          <t>StageGate</t>
        </is>
      </c>
      <c r="I41" s="7">
        <f>A41&amp;"|"&amp;B41</f>
        <v/>
      </c>
    </row>
    <row r="42" ht="15" customHeight="1" s="5">
      <c r="A42" s="7" t="inlineStr">
        <is>
          <t>PRJ006</t>
        </is>
      </c>
      <c r="B42" s="7" t="inlineStr">
        <is>
          <t>Discovery</t>
        </is>
      </c>
      <c r="C42" s="8">
        <f>IFERROR(INDEX(StageGates!$I:$I,MATCH(I42,StageGates!$O:$O,0)),"")</f>
        <v/>
      </c>
      <c r="D42" s="8">
        <f>IFERROR(INDEX(StageGates!$J:$J,MATCH(I42,StageGates!$O:$O,0)),"")</f>
        <v/>
      </c>
      <c r="E42" s="8">
        <f>IFERROR(INDEX(StageGates!$J:$J,MATCH(I42,StageGates!$O:$O,0)),"")</f>
        <v/>
      </c>
      <c r="F42" s="7">
        <f>IFERROR(INDEX(StageGates!$G:$G,MATCH(I42,StageGates!$O:$O,0)),"")</f>
        <v/>
      </c>
      <c r="G42" s="7">
        <f>IFERROR(INDEX(StageGates!$H:$H,MATCH(I42,StageGates!$O:$O,0)),"")</f>
        <v/>
      </c>
      <c r="H42" s="7" t="inlineStr">
        <is>
          <t>StageGate</t>
        </is>
      </c>
      <c r="I42" s="7">
        <f>A42&amp;"|"&amp;B42</f>
        <v/>
      </c>
    </row>
    <row r="43" ht="15" customHeight="1" s="5">
      <c r="A43" s="7" t="inlineStr">
        <is>
          <t>PRJ006</t>
        </is>
      </c>
      <c r="B43" s="7" t="inlineStr">
        <is>
          <t>Business Case / Seed Funding</t>
        </is>
      </c>
      <c r="C43" s="8">
        <f>IFERROR(INDEX(StageGates!$I:$I,MATCH(I43,StageGates!$O:$O,0)),"")</f>
        <v/>
      </c>
      <c r="D43" s="8">
        <f>IFERROR(INDEX(StageGates!$J:$J,MATCH(I43,StageGates!$O:$O,0)),"")</f>
        <v/>
      </c>
      <c r="E43" s="8">
        <f>IFERROR(INDEX(StageGates!$J:$J,MATCH(I43,StageGates!$O:$O,0)),"")</f>
        <v/>
      </c>
      <c r="F43" s="7">
        <f>IFERROR(INDEX(StageGates!$G:$G,MATCH(I43,StageGates!$O:$O,0)),"")</f>
        <v/>
      </c>
      <c r="G43" s="7">
        <f>IFERROR(INDEX(StageGates!$H:$H,MATCH(I43,StageGates!$O:$O,0)),"")</f>
        <v/>
      </c>
      <c r="H43" s="7" t="inlineStr">
        <is>
          <t>StageGate</t>
        </is>
      </c>
      <c r="I43" s="7">
        <f>A43&amp;"|"&amp;B43</f>
        <v/>
      </c>
    </row>
    <row r="44" ht="15" customHeight="1" s="5">
      <c r="A44" s="7" t="inlineStr">
        <is>
          <t>PRJ006</t>
        </is>
      </c>
      <c r="B44" s="7" t="inlineStr">
        <is>
          <t>Design</t>
        </is>
      </c>
      <c r="C44" s="8">
        <f>IFERROR(INDEX(StageGates!$I:$I,MATCH(I44,StageGates!$O:$O,0)),"")</f>
        <v/>
      </c>
      <c r="D44" s="8">
        <f>IFERROR(INDEX(StageGates!$J:$J,MATCH(I44,StageGates!$O:$O,0)),"")</f>
        <v/>
      </c>
      <c r="E44" s="8">
        <f>IFERROR(INDEX(StageGates!$J:$J,MATCH(I44,StageGates!$O:$O,0)),"")</f>
        <v/>
      </c>
      <c r="F44" s="7">
        <f>IFERROR(INDEX(StageGates!$G:$G,MATCH(I44,StageGates!$O:$O,0)),"")</f>
        <v/>
      </c>
      <c r="G44" s="7">
        <f>IFERROR(INDEX(StageGates!$H:$H,MATCH(I44,StageGates!$O:$O,0)),"")</f>
        <v/>
      </c>
      <c r="H44" s="7" t="inlineStr">
        <is>
          <t>StageGate</t>
        </is>
      </c>
      <c r="I44" s="7">
        <f>A44&amp;"|"&amp;B44</f>
        <v/>
      </c>
    </row>
    <row r="45" ht="15" customHeight="1" s="5">
      <c r="A45" s="7" t="inlineStr">
        <is>
          <t>PRJ006</t>
        </is>
      </c>
      <c r="B45" s="7" t="inlineStr">
        <is>
          <t>Business Case / Full Funding</t>
        </is>
      </c>
      <c r="C45" s="8">
        <f>IFERROR(INDEX(StageGates!$I:$I,MATCH(I45,StageGates!$O:$O,0)),"")</f>
        <v/>
      </c>
      <c r="D45" s="8">
        <f>IFERROR(INDEX(StageGates!$J:$J,MATCH(I45,StageGates!$O:$O,0)),"")</f>
        <v/>
      </c>
      <c r="E45" s="8">
        <f>IFERROR(INDEX(StageGates!$J:$J,MATCH(I45,StageGates!$O:$O,0)),"")</f>
        <v/>
      </c>
      <c r="F45" s="7">
        <f>IFERROR(INDEX(StageGates!$G:$G,MATCH(I45,StageGates!$O:$O,0)),"")</f>
        <v/>
      </c>
      <c r="G45" s="7">
        <f>IFERROR(INDEX(StageGates!$H:$H,MATCH(I45,StageGates!$O:$O,0)),"")</f>
        <v/>
      </c>
      <c r="H45" s="7" t="inlineStr">
        <is>
          <t>StageGate</t>
        </is>
      </c>
      <c r="I45" s="7">
        <f>A45&amp;"|"&amp;B45</f>
        <v/>
      </c>
    </row>
    <row r="46" ht="15" customHeight="1" s="5">
      <c r="A46" s="7" t="inlineStr">
        <is>
          <t>PRJ006</t>
        </is>
      </c>
      <c r="B46" s="7" t="inlineStr">
        <is>
          <t>Build</t>
        </is>
      </c>
      <c r="C46" s="8">
        <f>IFERROR(INDEX(StageGates!$I:$I,MATCH(I46,StageGates!$O:$O,0)),"")</f>
        <v/>
      </c>
      <c r="D46" s="8">
        <f>IFERROR(INDEX(StageGates!$J:$J,MATCH(I46,StageGates!$O:$O,0)),"")</f>
        <v/>
      </c>
      <c r="E46" s="8">
        <f>IFERROR(INDEX(StageGates!$J:$J,MATCH(I46,StageGates!$O:$O,0)),"")</f>
        <v/>
      </c>
      <c r="F46" s="7">
        <f>IFERROR(INDEX(StageGates!$G:$G,MATCH(I46,StageGates!$O:$O,0)),"")</f>
        <v/>
      </c>
      <c r="G46" s="7">
        <f>IFERROR(INDEX(StageGates!$H:$H,MATCH(I46,StageGates!$O:$O,0)),"")</f>
        <v/>
      </c>
      <c r="H46" s="7" t="inlineStr">
        <is>
          <t>StageGate</t>
        </is>
      </c>
      <c r="I46" s="7">
        <f>A46&amp;"|"&amp;B46</f>
        <v/>
      </c>
    </row>
    <row r="47" ht="15" customHeight="1" s="5">
      <c r="A47" s="7" t="inlineStr">
        <is>
          <t>PRJ006</t>
        </is>
      </c>
      <c r="B47" s="7" t="inlineStr">
        <is>
          <t>Testing</t>
        </is>
      </c>
      <c r="C47" s="8">
        <f>IFERROR(INDEX(StageGates!$I:$I,MATCH(I47,StageGates!$O:$O,0)),"")</f>
        <v/>
      </c>
      <c r="D47" s="8">
        <f>IFERROR(INDEX(StageGates!$J:$J,MATCH(I47,StageGates!$O:$O,0)),"")</f>
        <v/>
      </c>
      <c r="E47" s="8">
        <f>IFERROR(INDEX(StageGates!$J:$J,MATCH(I47,StageGates!$O:$O,0)),"")</f>
        <v/>
      </c>
      <c r="F47" s="7">
        <f>IFERROR(INDEX(StageGates!$G:$G,MATCH(I47,StageGates!$O:$O,0)),"")</f>
        <v/>
      </c>
      <c r="G47" s="7">
        <f>IFERROR(INDEX(StageGates!$H:$H,MATCH(I47,StageGates!$O:$O,0)),"")</f>
        <v/>
      </c>
      <c r="H47" s="7" t="inlineStr">
        <is>
          <t>StageGate</t>
        </is>
      </c>
      <c r="I47" s="7">
        <f>A47&amp;"|"&amp;B47</f>
        <v/>
      </c>
    </row>
    <row r="48" ht="15" customHeight="1" s="5">
      <c r="A48" s="7" t="inlineStr">
        <is>
          <t>PRJ006</t>
        </is>
      </c>
      <c r="B48" s="7" t="inlineStr">
        <is>
          <t>Deployment</t>
        </is>
      </c>
      <c r="C48" s="8">
        <f>IFERROR(INDEX(StageGates!$I:$I,MATCH(I48,StageGates!$O:$O,0)),"")</f>
        <v/>
      </c>
      <c r="D48" s="8">
        <f>IFERROR(INDEX(StageGates!$J:$J,MATCH(I48,StageGates!$O:$O,0)),"")</f>
        <v/>
      </c>
      <c r="E48" s="7">
        <f>IFERROR(INDEX(StageGates!$J:$J,MATCH(I48,StageGates!$O:$O,0)),"")</f>
        <v/>
      </c>
      <c r="F48" s="7">
        <f>IFERROR(INDEX(StageGates!$G:$G,MATCH(I48,StageGates!$O:$O,0)),"")</f>
        <v/>
      </c>
      <c r="G48" s="7">
        <f>IFERROR(INDEX(StageGates!$H:$H,MATCH(I48,StageGates!$O:$O,0)),"")</f>
        <v/>
      </c>
      <c r="H48" s="7" t="inlineStr">
        <is>
          <t>StageGate</t>
        </is>
      </c>
      <c r="I48" s="7">
        <f>A48&amp;"|"&amp;B48</f>
        <v/>
      </c>
    </row>
    <row r="49" ht="15" customHeight="1" s="5">
      <c r="A49" s="7" t="inlineStr">
        <is>
          <t>PRJ006</t>
        </is>
      </c>
      <c r="B49" s="7" t="inlineStr">
        <is>
          <t>Handover</t>
        </is>
      </c>
      <c r="C49" s="8">
        <f>IFERROR(INDEX(StageGates!$I:$I,MATCH(I49,StageGates!$O:$O,0)),"")</f>
        <v/>
      </c>
      <c r="D49" s="8">
        <f>IFERROR(INDEX(StageGates!$J:$J,MATCH(I49,StageGates!$O:$O,0)),"")</f>
        <v/>
      </c>
      <c r="E49" s="7">
        <f>IFERROR(INDEX(StageGates!$J:$J,MATCH(I49,StageGates!$O:$O,0)),"")</f>
        <v/>
      </c>
      <c r="F49" s="7">
        <f>IFERROR(INDEX(StageGates!$G:$G,MATCH(I49,StageGates!$O:$O,0)),"")</f>
        <v/>
      </c>
      <c r="G49" s="7">
        <f>IFERROR(INDEX(StageGates!$H:$H,MATCH(I49,StageGates!$O:$O,0)),"")</f>
        <v/>
      </c>
      <c r="H49" s="7" t="inlineStr">
        <is>
          <t>StageGate</t>
        </is>
      </c>
      <c r="I49" s="7">
        <f>A49&amp;"|"&amp;B49</f>
        <v/>
      </c>
    </row>
    <row r="50" ht="15" customHeight="1" s="5">
      <c r="A50" s="7" t="inlineStr">
        <is>
          <t>PRJ007</t>
        </is>
      </c>
      <c r="B50" s="7" t="inlineStr">
        <is>
          <t>Discovery</t>
        </is>
      </c>
      <c r="C50" s="8">
        <f>IFERROR(INDEX(StageGates!$I:$I,MATCH(I50,StageGates!$O:$O,0)),"")</f>
        <v/>
      </c>
      <c r="D50" s="8">
        <f>IFERROR(INDEX(StageGates!$J:$J,MATCH(I50,StageGates!$O:$O,0)),"")</f>
        <v/>
      </c>
      <c r="E50" s="8">
        <f>IFERROR(INDEX(StageGates!$J:$J,MATCH(I50,StageGates!$O:$O,0)),"")</f>
        <v/>
      </c>
      <c r="F50" s="7">
        <f>IFERROR(INDEX(StageGates!$G:$G,MATCH(I50,StageGates!$O:$O,0)),"")</f>
        <v/>
      </c>
      <c r="G50" s="7">
        <f>IFERROR(INDEX(StageGates!$H:$H,MATCH(I50,StageGates!$O:$O,0)),"")</f>
        <v/>
      </c>
      <c r="H50" s="7" t="inlineStr">
        <is>
          <t>StageGate</t>
        </is>
      </c>
      <c r="I50" s="7">
        <f>A50&amp;"|"&amp;B50</f>
        <v/>
      </c>
    </row>
    <row r="51" ht="15" customHeight="1" s="5">
      <c r="A51" s="7" t="inlineStr">
        <is>
          <t>PRJ007</t>
        </is>
      </c>
      <c r="B51" s="7" t="inlineStr">
        <is>
          <t>Business Case / Seed Funding</t>
        </is>
      </c>
      <c r="C51" s="8">
        <f>IFERROR(INDEX(StageGates!$I:$I,MATCH(I51,StageGates!$O:$O,0)),"")</f>
        <v/>
      </c>
      <c r="D51" s="8">
        <f>IFERROR(INDEX(StageGates!$J:$J,MATCH(I51,StageGates!$O:$O,0)),"")</f>
        <v/>
      </c>
      <c r="E51" s="8">
        <f>IFERROR(INDEX(StageGates!$J:$J,MATCH(I51,StageGates!$O:$O,0)),"")</f>
        <v/>
      </c>
      <c r="F51" s="7">
        <f>IFERROR(INDEX(StageGates!$G:$G,MATCH(I51,StageGates!$O:$O,0)),"")</f>
        <v/>
      </c>
      <c r="G51" s="7">
        <f>IFERROR(INDEX(StageGates!$H:$H,MATCH(I51,StageGates!$O:$O,0)),"")</f>
        <v/>
      </c>
      <c r="H51" s="7" t="inlineStr">
        <is>
          <t>StageGate</t>
        </is>
      </c>
      <c r="I51" s="7">
        <f>A51&amp;"|"&amp;B51</f>
        <v/>
      </c>
    </row>
    <row r="52" ht="15" customHeight="1" s="5">
      <c r="A52" s="7" t="inlineStr">
        <is>
          <t>PRJ007</t>
        </is>
      </c>
      <c r="B52" s="7" t="inlineStr">
        <is>
          <t>Design</t>
        </is>
      </c>
      <c r="C52" s="8">
        <f>IFERROR(INDEX(StageGates!$I:$I,MATCH(I52,StageGates!$O:$O,0)),"")</f>
        <v/>
      </c>
      <c r="D52" s="8">
        <f>IFERROR(INDEX(StageGates!$J:$J,MATCH(I52,StageGates!$O:$O,0)),"")</f>
        <v/>
      </c>
      <c r="E52" s="8">
        <f>IFERROR(INDEX(StageGates!$J:$J,MATCH(I52,StageGates!$O:$O,0)),"")</f>
        <v/>
      </c>
      <c r="F52" s="7">
        <f>IFERROR(INDEX(StageGates!$G:$G,MATCH(I52,StageGates!$O:$O,0)),"")</f>
        <v/>
      </c>
      <c r="G52" s="7">
        <f>IFERROR(INDEX(StageGates!$H:$H,MATCH(I52,StageGates!$O:$O,0)),"")</f>
        <v/>
      </c>
      <c r="H52" s="7" t="inlineStr">
        <is>
          <t>StageGate</t>
        </is>
      </c>
      <c r="I52" s="7">
        <f>A52&amp;"|"&amp;B52</f>
        <v/>
      </c>
    </row>
    <row r="53" ht="15" customHeight="1" s="5">
      <c r="A53" s="7" t="inlineStr">
        <is>
          <t>PRJ007</t>
        </is>
      </c>
      <c r="B53" s="7" t="inlineStr">
        <is>
          <t>Business Case / Full Funding</t>
        </is>
      </c>
      <c r="C53" s="8">
        <f>IFERROR(INDEX(StageGates!$I:$I,MATCH(I53,StageGates!$O:$O,0)),"")</f>
        <v/>
      </c>
      <c r="D53" s="8">
        <f>IFERROR(INDEX(StageGates!$J:$J,MATCH(I53,StageGates!$O:$O,0)),"")</f>
        <v/>
      </c>
      <c r="E53" s="7">
        <f>IFERROR(INDEX(StageGates!$J:$J,MATCH(I53,StageGates!$O:$O,0)),"")</f>
        <v/>
      </c>
      <c r="F53" s="7">
        <f>IFERROR(INDEX(StageGates!$G:$G,MATCH(I53,StageGates!$O:$O,0)),"")</f>
        <v/>
      </c>
      <c r="G53" s="7">
        <f>IFERROR(INDEX(StageGates!$H:$H,MATCH(I53,StageGates!$O:$O,0)),"")</f>
        <v/>
      </c>
      <c r="H53" s="7" t="inlineStr">
        <is>
          <t>StageGate</t>
        </is>
      </c>
      <c r="I53" s="7">
        <f>A53&amp;"|"&amp;B53</f>
        <v/>
      </c>
    </row>
    <row r="54" ht="15" customHeight="1" s="5">
      <c r="A54" s="7" t="inlineStr">
        <is>
          <t>PRJ007</t>
        </is>
      </c>
      <c r="B54" s="7" t="inlineStr">
        <is>
          <t>Build</t>
        </is>
      </c>
      <c r="C54" s="8">
        <f>IFERROR(INDEX(StageGates!$I:$I,MATCH(I54,StageGates!$O:$O,0)),"")</f>
        <v/>
      </c>
      <c r="D54" s="8">
        <f>IFERROR(INDEX(StageGates!$J:$J,MATCH(I54,StageGates!$O:$O,0)),"")</f>
        <v/>
      </c>
      <c r="E54" s="7">
        <f>IFERROR(INDEX(StageGates!$J:$J,MATCH(I54,StageGates!$O:$O,0)),"")</f>
        <v/>
      </c>
      <c r="F54" s="7">
        <f>IFERROR(INDEX(StageGates!$G:$G,MATCH(I54,StageGates!$O:$O,0)),"")</f>
        <v/>
      </c>
      <c r="G54" s="7">
        <f>IFERROR(INDEX(StageGates!$H:$H,MATCH(I54,StageGates!$O:$O,0)),"")</f>
        <v/>
      </c>
      <c r="H54" s="7" t="inlineStr">
        <is>
          <t>StageGate</t>
        </is>
      </c>
      <c r="I54" s="7">
        <f>A54&amp;"|"&amp;B54</f>
        <v/>
      </c>
    </row>
    <row r="55" ht="15" customHeight="1" s="5">
      <c r="A55" s="7" t="inlineStr">
        <is>
          <t>PRJ007</t>
        </is>
      </c>
      <c r="B55" s="7" t="inlineStr">
        <is>
          <t>Testing</t>
        </is>
      </c>
      <c r="C55" s="8">
        <f>IFERROR(INDEX(StageGates!$I:$I,MATCH(I55,StageGates!$O:$O,0)),"")</f>
        <v/>
      </c>
      <c r="D55" s="8">
        <f>IFERROR(INDEX(StageGates!$J:$J,MATCH(I55,StageGates!$O:$O,0)),"")</f>
        <v/>
      </c>
      <c r="E55" s="7">
        <f>IFERROR(INDEX(StageGates!$J:$J,MATCH(I55,StageGates!$O:$O,0)),"")</f>
        <v/>
      </c>
      <c r="F55" s="7">
        <f>IFERROR(INDEX(StageGates!$G:$G,MATCH(I55,StageGates!$O:$O,0)),"")</f>
        <v/>
      </c>
      <c r="G55" s="7">
        <f>IFERROR(INDEX(StageGates!$H:$H,MATCH(I55,StageGates!$O:$O,0)),"")</f>
        <v/>
      </c>
      <c r="H55" s="7" t="inlineStr">
        <is>
          <t>StageGate</t>
        </is>
      </c>
      <c r="I55" s="7">
        <f>A55&amp;"|"&amp;B55</f>
        <v/>
      </c>
    </row>
    <row r="56" ht="15" customHeight="1" s="5">
      <c r="A56" s="7" t="inlineStr">
        <is>
          <t>PRJ007</t>
        </is>
      </c>
      <c r="B56" s="7" t="inlineStr">
        <is>
          <t>Deployment</t>
        </is>
      </c>
      <c r="C56" s="8">
        <f>IFERROR(INDEX(StageGates!$I:$I,MATCH(I56,StageGates!$O:$O,0)),"")</f>
        <v/>
      </c>
      <c r="D56" s="8">
        <f>IFERROR(INDEX(StageGates!$J:$J,MATCH(I56,StageGates!$O:$O,0)),"")</f>
        <v/>
      </c>
      <c r="E56" s="7">
        <f>IFERROR(INDEX(StageGates!$J:$J,MATCH(I56,StageGates!$O:$O,0)),"")</f>
        <v/>
      </c>
      <c r="F56" s="7">
        <f>IFERROR(INDEX(StageGates!$G:$G,MATCH(I56,StageGates!$O:$O,0)),"")</f>
        <v/>
      </c>
      <c r="G56" s="7">
        <f>IFERROR(INDEX(StageGates!$H:$H,MATCH(I56,StageGates!$O:$O,0)),"")</f>
        <v/>
      </c>
      <c r="H56" s="7" t="inlineStr">
        <is>
          <t>StageGate</t>
        </is>
      </c>
      <c r="I56" s="7">
        <f>A56&amp;"|"&amp;B56</f>
        <v/>
      </c>
    </row>
    <row r="57" ht="15" customHeight="1" s="5">
      <c r="A57" s="7" t="inlineStr">
        <is>
          <t>PRJ007</t>
        </is>
      </c>
      <c r="B57" s="7" t="inlineStr">
        <is>
          <t>Handover</t>
        </is>
      </c>
      <c r="C57" s="8">
        <f>IFERROR(INDEX(StageGates!$I:$I,MATCH(I57,StageGates!$O:$O,0)),"")</f>
        <v/>
      </c>
      <c r="D57" s="8">
        <f>IFERROR(INDEX(StageGates!$J:$J,MATCH(I57,StageGates!$O:$O,0)),"")</f>
        <v/>
      </c>
      <c r="E57" s="7">
        <f>IFERROR(INDEX(StageGates!$J:$J,MATCH(I57,StageGates!$O:$O,0)),"")</f>
        <v/>
      </c>
      <c r="F57" s="7">
        <f>IFERROR(INDEX(StageGates!$G:$G,MATCH(I57,StageGates!$O:$O,0)),"")</f>
        <v/>
      </c>
      <c r="G57" s="7">
        <f>IFERROR(INDEX(StageGates!$H:$H,MATCH(I57,StageGates!$O:$O,0)),"")</f>
        <v/>
      </c>
      <c r="H57" s="7" t="inlineStr">
        <is>
          <t>StageGate</t>
        </is>
      </c>
      <c r="I57" s="7">
        <f>A57&amp;"|"&amp;B57</f>
        <v/>
      </c>
    </row>
    <row r="58" ht="15" customHeight="1" s="5">
      <c r="A58" s="7" t="inlineStr">
        <is>
          <t>PRJ008</t>
        </is>
      </c>
      <c r="B58" s="7" t="inlineStr">
        <is>
          <t>Discovery</t>
        </is>
      </c>
      <c r="C58" s="8">
        <f>IFERROR(INDEX(StageGates!$I:$I,MATCH(I58,StageGates!$O:$O,0)),"")</f>
        <v/>
      </c>
      <c r="D58" s="8">
        <f>IFERROR(INDEX(StageGates!$J:$J,MATCH(I58,StageGates!$O:$O,0)),"")</f>
        <v/>
      </c>
      <c r="E58" s="8">
        <f>IFERROR(INDEX(StageGates!$J:$J,MATCH(I58,StageGates!$O:$O,0)),"")</f>
        <v/>
      </c>
      <c r="F58" s="7">
        <f>IFERROR(INDEX(StageGates!$G:$G,MATCH(I58,StageGates!$O:$O,0)),"")</f>
        <v/>
      </c>
      <c r="G58" s="7">
        <f>IFERROR(INDEX(StageGates!$H:$H,MATCH(I58,StageGates!$O:$O,0)),"")</f>
        <v/>
      </c>
      <c r="H58" s="7" t="inlineStr">
        <is>
          <t>StageGate</t>
        </is>
      </c>
      <c r="I58" s="7">
        <f>A58&amp;"|"&amp;B58</f>
        <v/>
      </c>
    </row>
    <row r="59" ht="15" customHeight="1" s="5">
      <c r="A59" s="7" t="inlineStr">
        <is>
          <t>PRJ008</t>
        </is>
      </c>
      <c r="B59" s="7" t="inlineStr">
        <is>
          <t>Business Case / Seed Funding</t>
        </is>
      </c>
      <c r="C59" s="8">
        <f>IFERROR(INDEX(StageGates!$I:$I,MATCH(I59,StageGates!$O:$O,0)),"")</f>
        <v/>
      </c>
      <c r="D59" s="8">
        <f>IFERROR(INDEX(StageGates!$J:$J,MATCH(I59,StageGates!$O:$O,0)),"")</f>
        <v/>
      </c>
      <c r="E59" s="8">
        <f>IFERROR(INDEX(StageGates!$J:$J,MATCH(I59,StageGates!$O:$O,0)),"")</f>
        <v/>
      </c>
      <c r="F59" s="7">
        <f>IFERROR(INDEX(StageGates!$G:$G,MATCH(I59,StageGates!$O:$O,0)),"")</f>
        <v/>
      </c>
      <c r="G59" s="7">
        <f>IFERROR(INDEX(StageGates!$H:$H,MATCH(I59,StageGates!$O:$O,0)),"")</f>
        <v/>
      </c>
      <c r="H59" s="7" t="inlineStr">
        <is>
          <t>StageGate</t>
        </is>
      </c>
      <c r="I59" s="7">
        <f>A59&amp;"|"&amp;B59</f>
        <v/>
      </c>
    </row>
    <row r="60" ht="15" customHeight="1" s="5">
      <c r="A60" s="7" t="inlineStr">
        <is>
          <t>PRJ008</t>
        </is>
      </c>
      <c r="B60" s="7" t="inlineStr">
        <is>
          <t>Design</t>
        </is>
      </c>
      <c r="C60" s="8">
        <f>IFERROR(INDEX(StageGates!$I:$I,MATCH(I60,StageGates!$O:$O,0)),"")</f>
        <v/>
      </c>
      <c r="D60" s="8">
        <f>IFERROR(INDEX(StageGates!$J:$J,MATCH(I60,StageGates!$O:$O,0)),"")</f>
        <v/>
      </c>
      <c r="E60" s="8">
        <f>IFERROR(INDEX(StageGates!$J:$J,MATCH(I60,StageGates!$O:$O,0)),"")</f>
        <v/>
      </c>
      <c r="F60" s="7">
        <f>IFERROR(INDEX(StageGates!$G:$G,MATCH(I60,StageGates!$O:$O,0)),"")</f>
        <v/>
      </c>
      <c r="G60" s="7">
        <f>IFERROR(INDEX(StageGates!$H:$H,MATCH(I60,StageGates!$O:$O,0)),"")</f>
        <v/>
      </c>
      <c r="H60" s="7" t="inlineStr">
        <is>
          <t>StageGate</t>
        </is>
      </c>
      <c r="I60" s="7">
        <f>A60&amp;"|"&amp;B60</f>
        <v/>
      </c>
    </row>
    <row r="61" ht="15" customHeight="1" s="5">
      <c r="A61" s="7" t="inlineStr">
        <is>
          <t>PRJ008</t>
        </is>
      </c>
      <c r="B61" s="7" t="inlineStr">
        <is>
          <t>Business Case / Full Funding</t>
        </is>
      </c>
      <c r="C61" s="8">
        <f>IFERROR(INDEX(StageGates!$I:$I,MATCH(I61,StageGates!$O:$O,0)),"")</f>
        <v/>
      </c>
      <c r="D61" s="8">
        <f>IFERROR(INDEX(StageGates!$J:$J,MATCH(I61,StageGates!$O:$O,0)),"")</f>
        <v/>
      </c>
      <c r="E61" s="8">
        <f>IFERROR(INDEX(StageGates!$J:$J,MATCH(I61,StageGates!$O:$O,0)),"")</f>
        <v/>
      </c>
      <c r="F61" s="7">
        <f>IFERROR(INDEX(StageGates!$G:$G,MATCH(I61,StageGates!$O:$O,0)),"")</f>
        <v/>
      </c>
      <c r="G61" s="7">
        <f>IFERROR(INDEX(StageGates!$H:$H,MATCH(I61,StageGates!$O:$O,0)),"")</f>
        <v/>
      </c>
      <c r="H61" s="7" t="inlineStr">
        <is>
          <t>StageGate</t>
        </is>
      </c>
      <c r="I61" s="7">
        <f>A61&amp;"|"&amp;B61</f>
        <v/>
      </c>
    </row>
    <row r="62" ht="15" customHeight="1" s="5">
      <c r="A62" s="7" t="inlineStr">
        <is>
          <t>PRJ008</t>
        </is>
      </c>
      <c r="B62" s="7" t="inlineStr">
        <is>
          <t>Build</t>
        </is>
      </c>
      <c r="C62" s="8">
        <f>IFERROR(INDEX(StageGates!$I:$I,MATCH(I62,StageGates!$O:$O,0)),"")</f>
        <v/>
      </c>
      <c r="D62" s="8">
        <f>IFERROR(INDEX(StageGates!$J:$J,MATCH(I62,StageGates!$O:$O,0)),"")</f>
        <v/>
      </c>
      <c r="E62" s="8">
        <f>IFERROR(INDEX(StageGates!$J:$J,MATCH(I62,StageGates!$O:$O,0)),"")</f>
        <v/>
      </c>
      <c r="F62" s="7">
        <f>IFERROR(INDEX(StageGates!$G:$G,MATCH(I62,StageGates!$O:$O,0)),"")</f>
        <v/>
      </c>
      <c r="G62" s="7">
        <f>IFERROR(INDEX(StageGates!$H:$H,MATCH(I62,StageGates!$O:$O,0)),"")</f>
        <v/>
      </c>
      <c r="H62" s="7" t="inlineStr">
        <is>
          <t>StageGate</t>
        </is>
      </c>
      <c r="I62" s="7">
        <f>A62&amp;"|"&amp;B62</f>
        <v/>
      </c>
    </row>
    <row r="63" ht="15" customHeight="1" s="5">
      <c r="A63" s="7" t="inlineStr">
        <is>
          <t>PRJ008</t>
        </is>
      </c>
      <c r="B63" s="7" t="inlineStr">
        <is>
          <t>Testing</t>
        </is>
      </c>
      <c r="C63" s="8">
        <f>IFERROR(INDEX(StageGates!$I:$I,MATCH(I63,StageGates!$O:$O,0)),"")</f>
        <v/>
      </c>
      <c r="D63" s="8">
        <f>IFERROR(INDEX(StageGates!$J:$J,MATCH(I63,StageGates!$O:$O,0)),"")</f>
        <v/>
      </c>
      <c r="E63" s="8">
        <f>IFERROR(INDEX(StageGates!$J:$J,MATCH(I63,StageGates!$O:$O,0)),"")</f>
        <v/>
      </c>
      <c r="F63" s="7">
        <f>IFERROR(INDEX(StageGates!$G:$G,MATCH(I63,StageGates!$O:$O,0)),"")</f>
        <v/>
      </c>
      <c r="G63" s="7">
        <f>IFERROR(INDEX(StageGates!$H:$H,MATCH(I63,StageGates!$O:$O,0)),"")</f>
        <v/>
      </c>
      <c r="H63" s="7" t="inlineStr">
        <is>
          <t>StageGate</t>
        </is>
      </c>
      <c r="I63" s="7">
        <f>A63&amp;"|"&amp;B63</f>
        <v/>
      </c>
    </row>
    <row r="64" ht="15" customHeight="1" s="5">
      <c r="A64" s="7" t="inlineStr">
        <is>
          <t>PRJ008</t>
        </is>
      </c>
      <c r="B64" s="7" t="inlineStr">
        <is>
          <t>Deployment</t>
        </is>
      </c>
      <c r="C64" s="8">
        <f>IFERROR(INDEX(StageGates!$I:$I,MATCH(I64,StageGates!$O:$O,0)),"")</f>
        <v/>
      </c>
      <c r="D64" s="8">
        <f>IFERROR(INDEX(StageGates!$J:$J,MATCH(I64,StageGates!$O:$O,0)),"")</f>
        <v/>
      </c>
      <c r="E64" s="8">
        <f>IFERROR(INDEX(StageGates!$J:$J,MATCH(I64,StageGates!$O:$O,0)),"")</f>
        <v/>
      </c>
      <c r="F64" s="7">
        <f>IFERROR(INDEX(StageGates!$G:$G,MATCH(I64,StageGates!$O:$O,0)),"")</f>
        <v/>
      </c>
      <c r="G64" s="7">
        <f>IFERROR(INDEX(StageGates!$H:$H,MATCH(I64,StageGates!$O:$O,0)),"")</f>
        <v/>
      </c>
      <c r="H64" s="7" t="inlineStr">
        <is>
          <t>StageGate</t>
        </is>
      </c>
      <c r="I64" s="7">
        <f>A64&amp;"|"&amp;B64</f>
        <v/>
      </c>
    </row>
    <row r="65" ht="15" customHeight="1" s="5">
      <c r="A65" s="7" t="inlineStr">
        <is>
          <t>PRJ008</t>
        </is>
      </c>
      <c r="B65" s="7" t="inlineStr">
        <is>
          <t>Handover</t>
        </is>
      </c>
      <c r="C65" s="8">
        <f>IFERROR(INDEX(StageGates!$I:$I,MATCH(I65,StageGates!$O:$O,0)),"")</f>
        <v/>
      </c>
      <c r="D65" s="8">
        <f>IFERROR(INDEX(StageGates!$J:$J,MATCH(I65,StageGates!$O:$O,0)),"")</f>
        <v/>
      </c>
      <c r="E65" s="7">
        <f>IFERROR(INDEX(StageGates!$J:$J,MATCH(I65,StageGates!$O:$O,0)),"")</f>
        <v/>
      </c>
      <c r="F65" s="7">
        <f>IFERROR(INDEX(StageGates!$G:$G,MATCH(I65,StageGates!$O:$O,0)),"")</f>
        <v/>
      </c>
      <c r="G65" s="7">
        <f>IFERROR(INDEX(StageGates!$H:$H,MATCH(I65,StageGates!$O:$O,0)),"")</f>
        <v/>
      </c>
      <c r="H65" s="7" t="inlineStr">
        <is>
          <t>StageGate</t>
        </is>
      </c>
      <c r="I65" s="7">
        <f>A65&amp;"|"&amp;B65</f>
        <v/>
      </c>
    </row>
    <row r="66" ht="15" customHeight="1" s="5">
      <c r="A66" s="7" t="inlineStr">
        <is>
          <t>PRJ009</t>
        </is>
      </c>
      <c r="B66" s="7" t="inlineStr">
        <is>
          <t>Discovery</t>
        </is>
      </c>
      <c r="C66" s="8">
        <f>IFERROR(INDEX(StageGates!$I:$I,MATCH(I66,StageGates!$O:$O,0)),"")</f>
        <v/>
      </c>
      <c r="D66" s="8">
        <f>IFERROR(INDEX(StageGates!$J:$J,MATCH(I66,StageGates!$O:$O,0)),"")</f>
        <v/>
      </c>
      <c r="E66" s="7">
        <f>IFERROR(INDEX(StageGates!$J:$J,MATCH(I66,StageGates!$O:$O,0)),"")</f>
        <v/>
      </c>
      <c r="F66" s="7">
        <f>IFERROR(INDEX(StageGates!$G:$G,MATCH(I66,StageGates!$O:$O,0)),"")</f>
        <v/>
      </c>
      <c r="G66" s="7">
        <f>IFERROR(INDEX(StageGates!$H:$H,MATCH(I66,StageGates!$O:$O,0)),"")</f>
        <v/>
      </c>
      <c r="H66" s="7" t="inlineStr">
        <is>
          <t>StageGate</t>
        </is>
      </c>
      <c r="I66" s="7">
        <f>A66&amp;"|"&amp;B66</f>
        <v/>
      </c>
    </row>
    <row r="67" ht="15" customHeight="1" s="5">
      <c r="A67" s="7" t="inlineStr">
        <is>
          <t>PRJ009</t>
        </is>
      </c>
      <c r="B67" s="7" t="inlineStr">
        <is>
          <t>Business Case / Seed Funding</t>
        </is>
      </c>
      <c r="C67" s="8">
        <f>IFERROR(INDEX(StageGates!$I:$I,MATCH(I67,StageGates!$O:$O,0)),"")</f>
        <v/>
      </c>
      <c r="D67" s="8">
        <f>IFERROR(INDEX(StageGates!$J:$J,MATCH(I67,StageGates!$O:$O,0)),"")</f>
        <v/>
      </c>
      <c r="E67" s="7">
        <f>IFERROR(INDEX(StageGates!$J:$J,MATCH(I67,StageGates!$O:$O,0)),"")</f>
        <v/>
      </c>
      <c r="F67" s="7">
        <f>IFERROR(INDEX(StageGates!$G:$G,MATCH(I67,StageGates!$O:$O,0)),"")</f>
        <v/>
      </c>
      <c r="G67" s="7">
        <f>IFERROR(INDEX(StageGates!$H:$H,MATCH(I67,StageGates!$O:$O,0)),"")</f>
        <v/>
      </c>
      <c r="H67" s="7" t="inlineStr">
        <is>
          <t>StageGate</t>
        </is>
      </c>
      <c r="I67" s="7">
        <f>A67&amp;"|"&amp;B67</f>
        <v/>
      </c>
    </row>
    <row r="68" ht="15" customHeight="1" s="5">
      <c r="A68" s="7" t="inlineStr">
        <is>
          <t>PRJ009</t>
        </is>
      </c>
      <c r="B68" s="7" t="inlineStr">
        <is>
          <t>Design</t>
        </is>
      </c>
      <c r="C68" s="8">
        <f>IFERROR(INDEX(StageGates!$I:$I,MATCH(I68,StageGates!$O:$O,0)),"")</f>
        <v/>
      </c>
      <c r="D68" s="8">
        <f>IFERROR(INDEX(StageGates!$J:$J,MATCH(I68,StageGates!$O:$O,0)),"")</f>
        <v/>
      </c>
      <c r="E68" s="7">
        <f>IFERROR(INDEX(StageGates!$J:$J,MATCH(I68,StageGates!$O:$O,0)),"")</f>
        <v/>
      </c>
      <c r="F68" s="7">
        <f>IFERROR(INDEX(StageGates!$G:$G,MATCH(I68,StageGates!$O:$O,0)),"")</f>
        <v/>
      </c>
      <c r="G68" s="7">
        <f>IFERROR(INDEX(StageGates!$H:$H,MATCH(I68,StageGates!$O:$O,0)),"")</f>
        <v/>
      </c>
      <c r="H68" s="7" t="inlineStr">
        <is>
          <t>StageGate</t>
        </is>
      </c>
      <c r="I68" s="7">
        <f>A68&amp;"|"&amp;B68</f>
        <v/>
      </c>
    </row>
    <row r="69" ht="15" customHeight="1" s="5">
      <c r="A69" s="7" t="inlineStr">
        <is>
          <t>PRJ009</t>
        </is>
      </c>
      <c r="B69" s="7" t="inlineStr">
        <is>
          <t>Business Case / Full Funding</t>
        </is>
      </c>
      <c r="C69" s="8">
        <f>IFERROR(INDEX(StageGates!$I:$I,MATCH(I69,StageGates!$O:$O,0)),"")</f>
        <v/>
      </c>
      <c r="D69" s="8">
        <f>IFERROR(INDEX(StageGates!$J:$J,MATCH(I69,StageGates!$O:$O,0)),"")</f>
        <v/>
      </c>
      <c r="E69" s="7">
        <f>IFERROR(INDEX(StageGates!$J:$J,MATCH(I69,StageGates!$O:$O,0)),"")</f>
        <v/>
      </c>
      <c r="F69" s="7">
        <f>IFERROR(INDEX(StageGates!$G:$G,MATCH(I69,StageGates!$O:$O,0)),"")</f>
        <v/>
      </c>
      <c r="G69" s="7">
        <f>IFERROR(INDEX(StageGates!$H:$H,MATCH(I69,StageGates!$O:$O,0)),"")</f>
        <v/>
      </c>
      <c r="H69" s="7" t="inlineStr">
        <is>
          <t>StageGate</t>
        </is>
      </c>
      <c r="I69" s="7">
        <f>A69&amp;"|"&amp;B69</f>
        <v/>
      </c>
    </row>
    <row r="70" ht="15" customHeight="1" s="5">
      <c r="A70" s="7" t="inlineStr">
        <is>
          <t>PRJ009</t>
        </is>
      </c>
      <c r="B70" s="7" t="inlineStr">
        <is>
          <t>Build</t>
        </is>
      </c>
      <c r="C70" s="8">
        <f>IFERROR(INDEX(StageGates!$I:$I,MATCH(I70,StageGates!$O:$O,0)),"")</f>
        <v/>
      </c>
      <c r="D70" s="8">
        <f>IFERROR(INDEX(StageGates!$J:$J,MATCH(I70,StageGates!$O:$O,0)),"")</f>
        <v/>
      </c>
      <c r="E70" s="7">
        <f>IFERROR(INDEX(StageGates!$J:$J,MATCH(I70,StageGates!$O:$O,0)),"")</f>
        <v/>
      </c>
      <c r="F70" s="7">
        <f>IFERROR(INDEX(StageGates!$G:$G,MATCH(I70,StageGates!$O:$O,0)),"")</f>
        <v/>
      </c>
      <c r="G70" s="7">
        <f>IFERROR(INDEX(StageGates!$H:$H,MATCH(I70,StageGates!$O:$O,0)),"")</f>
        <v/>
      </c>
      <c r="H70" s="7" t="inlineStr">
        <is>
          <t>StageGate</t>
        </is>
      </c>
      <c r="I70" s="7">
        <f>A70&amp;"|"&amp;B70</f>
        <v/>
      </c>
    </row>
    <row r="71" ht="15" customHeight="1" s="5">
      <c r="A71" s="7" t="inlineStr">
        <is>
          <t>PRJ009</t>
        </is>
      </c>
      <c r="B71" s="7" t="inlineStr">
        <is>
          <t>Testing</t>
        </is>
      </c>
      <c r="C71" s="8">
        <f>IFERROR(INDEX(StageGates!$I:$I,MATCH(I71,StageGates!$O:$O,0)),"")</f>
        <v/>
      </c>
      <c r="D71" s="8">
        <f>IFERROR(INDEX(StageGates!$J:$J,MATCH(I71,StageGates!$O:$O,0)),"")</f>
        <v/>
      </c>
      <c r="E71" s="7">
        <f>IFERROR(INDEX(StageGates!$J:$J,MATCH(I71,StageGates!$O:$O,0)),"")</f>
        <v/>
      </c>
      <c r="F71" s="7">
        <f>IFERROR(INDEX(StageGates!$G:$G,MATCH(I71,StageGates!$O:$O,0)),"")</f>
        <v/>
      </c>
      <c r="G71" s="7">
        <f>IFERROR(INDEX(StageGates!$H:$H,MATCH(I71,StageGates!$O:$O,0)),"")</f>
        <v/>
      </c>
      <c r="H71" s="7" t="inlineStr">
        <is>
          <t>StageGate</t>
        </is>
      </c>
      <c r="I71" s="7">
        <f>A71&amp;"|"&amp;B71</f>
        <v/>
      </c>
    </row>
    <row r="72" ht="15" customHeight="1" s="5">
      <c r="A72" s="7" t="inlineStr">
        <is>
          <t>PRJ009</t>
        </is>
      </c>
      <c r="B72" s="7" t="inlineStr">
        <is>
          <t>Deployment</t>
        </is>
      </c>
      <c r="C72" s="8">
        <f>IFERROR(INDEX(StageGates!$I:$I,MATCH(I72,StageGates!$O:$O,0)),"")</f>
        <v/>
      </c>
      <c r="D72" s="8">
        <f>IFERROR(INDEX(StageGates!$J:$J,MATCH(I72,StageGates!$O:$O,0)),"")</f>
        <v/>
      </c>
      <c r="E72" s="7">
        <f>IFERROR(INDEX(StageGates!$J:$J,MATCH(I72,StageGates!$O:$O,0)),"")</f>
        <v/>
      </c>
      <c r="F72" s="7">
        <f>IFERROR(INDEX(StageGates!$G:$G,MATCH(I72,StageGates!$O:$O,0)),"")</f>
        <v/>
      </c>
      <c r="G72" s="7">
        <f>IFERROR(INDEX(StageGates!$H:$H,MATCH(I72,StageGates!$O:$O,0)),"")</f>
        <v/>
      </c>
      <c r="H72" s="7" t="inlineStr">
        <is>
          <t>StageGate</t>
        </is>
      </c>
      <c r="I72" s="7">
        <f>A72&amp;"|"&amp;B72</f>
        <v/>
      </c>
    </row>
    <row r="73" ht="15" customHeight="1" s="5">
      <c r="A73" s="7" t="inlineStr">
        <is>
          <t>PRJ009</t>
        </is>
      </c>
      <c r="B73" s="7" t="inlineStr">
        <is>
          <t>Handover</t>
        </is>
      </c>
      <c r="C73" s="8">
        <f>IFERROR(INDEX(StageGates!$I:$I,MATCH(I73,StageGates!$O:$O,0)),"")</f>
        <v/>
      </c>
      <c r="D73" s="8">
        <f>IFERROR(INDEX(StageGates!$J:$J,MATCH(I73,StageGates!$O:$O,0)),"")</f>
        <v/>
      </c>
      <c r="E73" s="7">
        <f>IFERROR(INDEX(StageGates!$J:$J,MATCH(I73,StageGates!$O:$O,0)),"")</f>
        <v/>
      </c>
      <c r="F73" s="7">
        <f>IFERROR(INDEX(StageGates!$G:$G,MATCH(I73,StageGates!$O:$O,0)),"")</f>
        <v/>
      </c>
      <c r="G73" s="7">
        <f>IFERROR(INDEX(StageGates!$H:$H,MATCH(I73,StageGates!$O:$O,0)),"")</f>
        <v/>
      </c>
      <c r="H73" s="7" t="inlineStr">
        <is>
          <t>StageGate</t>
        </is>
      </c>
      <c r="I73" s="7">
        <f>A73&amp;"|"&amp;B73</f>
        <v/>
      </c>
    </row>
    <row r="74" ht="15" customHeight="1" s="5">
      <c r="A74" s="7" t="inlineStr">
        <is>
          <t>PRJ010</t>
        </is>
      </c>
      <c r="B74" s="7" t="inlineStr">
        <is>
          <t>Discovery</t>
        </is>
      </c>
      <c r="C74" s="8">
        <f>IFERROR(INDEX(StageGates!$I:$I,MATCH(I74,StageGates!$O:$O,0)),"")</f>
        <v/>
      </c>
      <c r="D74" s="8">
        <f>IFERROR(INDEX(StageGates!$J:$J,MATCH(I74,StageGates!$O:$O,0)),"")</f>
        <v/>
      </c>
      <c r="E74" s="8">
        <f>IFERROR(INDEX(StageGates!$J:$J,MATCH(I74,StageGates!$O:$O,0)),"")</f>
        <v/>
      </c>
      <c r="F74" s="7">
        <f>IFERROR(INDEX(StageGates!$G:$G,MATCH(I74,StageGates!$O:$O,0)),"")</f>
        <v/>
      </c>
      <c r="G74" s="7">
        <f>IFERROR(INDEX(StageGates!$H:$H,MATCH(I74,StageGates!$O:$O,0)),"")</f>
        <v/>
      </c>
      <c r="H74" s="7" t="inlineStr">
        <is>
          <t>StageGate</t>
        </is>
      </c>
      <c r="I74" s="7">
        <f>A74&amp;"|"&amp;B74</f>
        <v/>
      </c>
    </row>
    <row r="75" ht="15" customHeight="1" s="5">
      <c r="A75" s="7" t="inlineStr">
        <is>
          <t>PRJ010</t>
        </is>
      </c>
      <c r="B75" s="7" t="inlineStr">
        <is>
          <t>Business Case / Seed Funding</t>
        </is>
      </c>
      <c r="C75" s="8">
        <f>IFERROR(INDEX(StageGates!$I:$I,MATCH(I75,StageGates!$O:$O,0)),"")</f>
        <v/>
      </c>
      <c r="D75" s="8">
        <f>IFERROR(INDEX(StageGates!$J:$J,MATCH(I75,StageGates!$O:$O,0)),"")</f>
        <v/>
      </c>
      <c r="E75" s="8">
        <f>IFERROR(INDEX(StageGates!$J:$J,MATCH(I75,StageGates!$O:$O,0)),"")</f>
        <v/>
      </c>
      <c r="F75" s="7">
        <f>IFERROR(INDEX(StageGates!$G:$G,MATCH(I75,StageGates!$O:$O,0)),"")</f>
        <v/>
      </c>
      <c r="G75" s="7">
        <f>IFERROR(INDEX(StageGates!$H:$H,MATCH(I75,StageGates!$O:$O,0)),"")</f>
        <v/>
      </c>
      <c r="H75" s="7" t="inlineStr">
        <is>
          <t>StageGate</t>
        </is>
      </c>
      <c r="I75" s="7">
        <f>A75&amp;"|"&amp;B75</f>
        <v/>
      </c>
    </row>
    <row r="76" ht="15" customHeight="1" s="5">
      <c r="A76" s="7" t="inlineStr">
        <is>
          <t>PRJ010</t>
        </is>
      </c>
      <c r="B76" s="7" t="inlineStr">
        <is>
          <t>Design</t>
        </is>
      </c>
      <c r="C76" s="8">
        <f>IFERROR(INDEX(StageGates!$I:$I,MATCH(I76,StageGates!$O:$O,0)),"")</f>
        <v/>
      </c>
      <c r="D76" s="8">
        <f>IFERROR(INDEX(StageGates!$J:$J,MATCH(I76,StageGates!$O:$O,0)),"")</f>
        <v/>
      </c>
      <c r="E76" s="8">
        <f>IFERROR(INDEX(StageGates!$J:$J,MATCH(I76,StageGates!$O:$O,0)),"")</f>
        <v/>
      </c>
      <c r="F76" s="7">
        <f>IFERROR(INDEX(StageGates!$G:$G,MATCH(I76,StageGates!$O:$O,0)),"")</f>
        <v/>
      </c>
      <c r="G76" s="7">
        <f>IFERROR(INDEX(StageGates!$H:$H,MATCH(I76,StageGates!$O:$O,0)),"")</f>
        <v/>
      </c>
      <c r="H76" s="7" t="inlineStr">
        <is>
          <t>StageGate</t>
        </is>
      </c>
      <c r="I76" s="7">
        <f>A76&amp;"|"&amp;B76</f>
        <v/>
      </c>
    </row>
    <row r="77" ht="15" customHeight="1" s="5">
      <c r="A77" s="7" t="inlineStr">
        <is>
          <t>PRJ010</t>
        </is>
      </c>
      <c r="B77" s="7" t="inlineStr">
        <is>
          <t>Business Case / Full Funding</t>
        </is>
      </c>
      <c r="C77" s="8">
        <f>IFERROR(INDEX(StageGates!$I:$I,MATCH(I77,StageGates!$O:$O,0)),"")</f>
        <v/>
      </c>
      <c r="D77" s="8">
        <f>IFERROR(INDEX(StageGates!$J:$J,MATCH(I77,StageGates!$O:$O,0)),"")</f>
        <v/>
      </c>
      <c r="E77" s="8">
        <f>IFERROR(INDEX(StageGates!$J:$J,MATCH(I77,StageGates!$O:$O,0)),"")</f>
        <v/>
      </c>
      <c r="F77" s="7">
        <f>IFERROR(INDEX(StageGates!$G:$G,MATCH(I77,StageGates!$O:$O,0)),"")</f>
        <v/>
      </c>
      <c r="G77" s="7">
        <f>IFERROR(INDEX(StageGates!$H:$H,MATCH(I77,StageGates!$O:$O,0)),"")</f>
        <v/>
      </c>
      <c r="H77" s="7" t="inlineStr">
        <is>
          <t>StageGate</t>
        </is>
      </c>
      <c r="I77" s="7">
        <f>A77&amp;"|"&amp;B77</f>
        <v/>
      </c>
    </row>
    <row r="78" ht="15" customHeight="1" s="5">
      <c r="A78" s="7" t="inlineStr">
        <is>
          <t>PRJ010</t>
        </is>
      </c>
      <c r="B78" s="7" t="inlineStr">
        <is>
          <t>Build</t>
        </is>
      </c>
      <c r="C78" s="8">
        <f>IFERROR(INDEX(StageGates!$I:$I,MATCH(I78,StageGates!$O:$O,0)),"")</f>
        <v/>
      </c>
      <c r="D78" s="8">
        <f>IFERROR(INDEX(StageGates!$J:$J,MATCH(I78,StageGates!$O:$O,0)),"")</f>
        <v/>
      </c>
      <c r="E78" s="8">
        <f>IFERROR(INDEX(StageGates!$J:$J,MATCH(I78,StageGates!$O:$O,0)),"")</f>
        <v/>
      </c>
      <c r="F78" s="7">
        <f>IFERROR(INDEX(StageGates!$G:$G,MATCH(I78,StageGates!$O:$O,0)),"")</f>
        <v/>
      </c>
      <c r="G78" s="7">
        <f>IFERROR(INDEX(StageGates!$H:$H,MATCH(I78,StageGates!$O:$O,0)),"")</f>
        <v/>
      </c>
      <c r="H78" s="7" t="inlineStr">
        <is>
          <t>StageGate</t>
        </is>
      </c>
      <c r="I78" s="7">
        <f>A78&amp;"|"&amp;B78</f>
        <v/>
      </c>
    </row>
    <row r="79" ht="15" customHeight="1" s="5">
      <c r="A79" s="7" t="inlineStr">
        <is>
          <t>PRJ010</t>
        </is>
      </c>
      <c r="B79" s="7" t="inlineStr">
        <is>
          <t>Testing</t>
        </is>
      </c>
      <c r="C79" s="8">
        <f>IFERROR(INDEX(StageGates!$I:$I,MATCH(I79,StageGates!$O:$O,0)),"")</f>
        <v/>
      </c>
      <c r="D79" s="8">
        <f>IFERROR(INDEX(StageGates!$J:$J,MATCH(I79,StageGates!$O:$O,0)),"")</f>
        <v/>
      </c>
      <c r="E79" s="7">
        <f>IFERROR(INDEX(StageGates!$J:$J,MATCH(I79,StageGates!$O:$O,0)),"")</f>
        <v/>
      </c>
      <c r="F79" s="7">
        <f>IFERROR(INDEX(StageGates!$G:$G,MATCH(I79,StageGates!$O:$O,0)),"")</f>
        <v/>
      </c>
      <c r="G79" s="7">
        <f>IFERROR(INDEX(StageGates!$H:$H,MATCH(I79,StageGates!$O:$O,0)),"")</f>
        <v/>
      </c>
      <c r="H79" s="7" t="inlineStr">
        <is>
          <t>StageGate</t>
        </is>
      </c>
      <c r="I79" s="7">
        <f>A79&amp;"|"&amp;B79</f>
        <v/>
      </c>
    </row>
    <row r="80" ht="15" customHeight="1" s="5">
      <c r="A80" s="7" t="inlineStr">
        <is>
          <t>PRJ010</t>
        </is>
      </c>
      <c r="B80" s="7" t="inlineStr">
        <is>
          <t>Deployment</t>
        </is>
      </c>
      <c r="C80" s="8">
        <f>IFERROR(INDEX(StageGates!$I:$I,MATCH(I80,StageGates!$O:$O,0)),"")</f>
        <v/>
      </c>
      <c r="D80" s="8">
        <f>IFERROR(INDEX(StageGates!$J:$J,MATCH(I80,StageGates!$O:$O,0)),"")</f>
        <v/>
      </c>
      <c r="E80" s="7">
        <f>IFERROR(INDEX(StageGates!$J:$J,MATCH(I80,StageGates!$O:$O,0)),"")</f>
        <v/>
      </c>
      <c r="F80" s="7">
        <f>IFERROR(INDEX(StageGates!$G:$G,MATCH(I80,StageGates!$O:$O,0)),"")</f>
        <v/>
      </c>
      <c r="G80" s="7">
        <f>IFERROR(INDEX(StageGates!$H:$H,MATCH(I80,StageGates!$O:$O,0)),"")</f>
        <v/>
      </c>
      <c r="H80" s="7" t="inlineStr">
        <is>
          <t>StageGate</t>
        </is>
      </c>
      <c r="I80" s="7">
        <f>A80&amp;"|"&amp;B80</f>
        <v/>
      </c>
    </row>
    <row r="81" ht="15" customHeight="1" s="5">
      <c r="A81" s="7" t="inlineStr">
        <is>
          <t>PRJ010</t>
        </is>
      </c>
      <c r="B81" s="7" t="inlineStr">
        <is>
          <t>Handover</t>
        </is>
      </c>
      <c r="C81" s="8">
        <f>IFERROR(INDEX(StageGates!$I:$I,MATCH(I81,StageGates!$O:$O,0)),"")</f>
        <v/>
      </c>
      <c r="D81" s="8">
        <f>IFERROR(INDEX(StageGates!$J:$J,MATCH(I81,StageGates!$O:$O,0)),"")</f>
        <v/>
      </c>
      <c r="E81" s="7">
        <f>IFERROR(INDEX(StageGates!$J:$J,MATCH(I81,StageGates!$O:$O,0)),"")</f>
        <v/>
      </c>
      <c r="F81" s="7">
        <f>IFERROR(INDEX(StageGates!$G:$G,MATCH(I81,StageGates!$O:$O,0)),"")</f>
        <v/>
      </c>
      <c r="G81" s="7">
        <f>IFERROR(INDEX(StageGates!$H:$H,MATCH(I81,StageGates!$O:$O,0)),"")</f>
        <v/>
      </c>
      <c r="H81" s="7" t="inlineStr">
        <is>
          <t>StageGate</t>
        </is>
      </c>
      <c r="I81" s="7">
        <f>A81&amp;"|"&amp;B81</f>
        <v/>
      </c>
    </row>
    <row r="82" ht="15" customHeight="1" s="5">
      <c r="A82" s="7" t="inlineStr">
        <is>
          <t>PRJ011</t>
        </is>
      </c>
      <c r="B82" s="7" t="inlineStr">
        <is>
          <t>Discovery</t>
        </is>
      </c>
      <c r="C82" s="8">
        <f>IFERROR(INDEX(StageGates!$I:$I,MATCH(I82,StageGates!$O:$O,0)),"")</f>
        <v/>
      </c>
      <c r="D82" s="8">
        <f>IFERROR(INDEX(StageGates!$J:$J,MATCH(I82,StageGates!$O:$O,0)),"")</f>
        <v/>
      </c>
      <c r="E82" s="8">
        <f>IFERROR(INDEX(StageGates!$J:$J,MATCH(I82,StageGates!$O:$O,0)),"")</f>
        <v/>
      </c>
      <c r="F82" s="7">
        <f>IFERROR(INDEX(StageGates!$G:$G,MATCH(I82,StageGates!$O:$O,0)),"")</f>
        <v/>
      </c>
      <c r="G82" s="7">
        <f>IFERROR(INDEX(StageGates!$H:$H,MATCH(I82,StageGates!$O:$O,0)),"")</f>
        <v/>
      </c>
      <c r="H82" s="7" t="inlineStr">
        <is>
          <t>StageGate</t>
        </is>
      </c>
      <c r="I82" s="7">
        <f>A82&amp;"|"&amp;B82</f>
        <v/>
      </c>
    </row>
    <row r="83" ht="15" customHeight="1" s="5">
      <c r="A83" s="7" t="inlineStr">
        <is>
          <t>PRJ011</t>
        </is>
      </c>
      <c r="B83" s="7" t="inlineStr">
        <is>
          <t>Business Case / Seed Funding</t>
        </is>
      </c>
      <c r="C83" s="8">
        <f>IFERROR(INDEX(StageGates!$I:$I,MATCH(I83,StageGates!$O:$O,0)),"")</f>
        <v/>
      </c>
      <c r="D83" s="8">
        <f>IFERROR(INDEX(StageGates!$J:$J,MATCH(I83,StageGates!$O:$O,0)),"")</f>
        <v/>
      </c>
      <c r="E83" s="8">
        <f>IFERROR(INDEX(StageGates!$J:$J,MATCH(I83,StageGates!$O:$O,0)),"")</f>
        <v/>
      </c>
      <c r="F83" s="7">
        <f>IFERROR(INDEX(StageGates!$G:$G,MATCH(I83,StageGates!$O:$O,0)),"")</f>
        <v/>
      </c>
      <c r="G83" s="7">
        <f>IFERROR(INDEX(StageGates!$H:$H,MATCH(I83,StageGates!$O:$O,0)),"")</f>
        <v/>
      </c>
      <c r="H83" s="7" t="inlineStr">
        <is>
          <t>StageGate</t>
        </is>
      </c>
      <c r="I83" s="7">
        <f>A83&amp;"|"&amp;B83</f>
        <v/>
      </c>
    </row>
    <row r="84" ht="15" customHeight="1" s="5">
      <c r="A84" s="7" t="inlineStr">
        <is>
          <t>PRJ011</t>
        </is>
      </c>
      <c r="B84" s="7" t="inlineStr">
        <is>
          <t>Design</t>
        </is>
      </c>
      <c r="C84" s="8">
        <f>IFERROR(INDEX(StageGates!$I:$I,MATCH(I84,StageGates!$O:$O,0)),"")</f>
        <v/>
      </c>
      <c r="D84" s="8">
        <f>IFERROR(INDEX(StageGates!$J:$J,MATCH(I84,StageGates!$O:$O,0)),"")</f>
        <v/>
      </c>
      <c r="E84" s="8">
        <f>IFERROR(INDEX(StageGates!$J:$J,MATCH(I84,StageGates!$O:$O,0)),"")</f>
        <v/>
      </c>
      <c r="F84" s="7">
        <f>IFERROR(INDEX(StageGates!$G:$G,MATCH(I84,StageGates!$O:$O,0)),"")</f>
        <v/>
      </c>
      <c r="G84" s="7">
        <f>IFERROR(INDEX(StageGates!$H:$H,MATCH(I84,StageGates!$O:$O,0)),"")</f>
        <v/>
      </c>
      <c r="H84" s="7" t="inlineStr">
        <is>
          <t>StageGate</t>
        </is>
      </c>
      <c r="I84" s="7">
        <f>A84&amp;"|"&amp;B84</f>
        <v/>
      </c>
    </row>
    <row r="85" ht="15" customHeight="1" s="5">
      <c r="A85" s="7" t="inlineStr">
        <is>
          <t>PRJ011</t>
        </is>
      </c>
      <c r="B85" s="7" t="inlineStr">
        <is>
          <t>Business Case / Full Funding</t>
        </is>
      </c>
      <c r="C85" s="8">
        <f>IFERROR(INDEX(StageGates!$I:$I,MATCH(I85,StageGates!$O:$O,0)),"")</f>
        <v/>
      </c>
      <c r="D85" s="8">
        <f>IFERROR(INDEX(StageGates!$J:$J,MATCH(I85,StageGates!$O:$O,0)),"")</f>
        <v/>
      </c>
      <c r="E85" s="8">
        <f>IFERROR(INDEX(StageGates!$J:$J,MATCH(I85,StageGates!$O:$O,0)),"")</f>
        <v/>
      </c>
      <c r="F85" s="7">
        <f>IFERROR(INDEX(StageGates!$G:$G,MATCH(I85,StageGates!$O:$O,0)),"")</f>
        <v/>
      </c>
      <c r="G85" s="7">
        <f>IFERROR(INDEX(StageGates!$H:$H,MATCH(I85,StageGates!$O:$O,0)),"")</f>
        <v/>
      </c>
      <c r="H85" s="7" t="inlineStr">
        <is>
          <t>StageGate</t>
        </is>
      </c>
      <c r="I85" s="7">
        <f>A85&amp;"|"&amp;B85</f>
        <v/>
      </c>
    </row>
    <row r="86" ht="15" customHeight="1" s="5">
      <c r="A86" s="7" t="inlineStr">
        <is>
          <t>PRJ011</t>
        </is>
      </c>
      <c r="B86" s="7" t="inlineStr">
        <is>
          <t>Build</t>
        </is>
      </c>
      <c r="C86" s="8">
        <f>IFERROR(INDEX(StageGates!$I:$I,MATCH(I86,StageGates!$O:$O,0)),"")</f>
        <v/>
      </c>
      <c r="D86" s="8">
        <f>IFERROR(INDEX(StageGates!$J:$J,MATCH(I86,StageGates!$O:$O,0)),"")</f>
        <v/>
      </c>
      <c r="E86" s="7">
        <f>IFERROR(INDEX(StageGates!$J:$J,MATCH(I86,StageGates!$O:$O,0)),"")</f>
        <v/>
      </c>
      <c r="F86" s="7">
        <f>IFERROR(INDEX(StageGates!$G:$G,MATCH(I86,StageGates!$O:$O,0)),"")</f>
        <v/>
      </c>
      <c r="G86" s="7">
        <f>IFERROR(INDEX(StageGates!$H:$H,MATCH(I86,StageGates!$O:$O,0)),"")</f>
        <v/>
      </c>
      <c r="H86" s="7" t="inlineStr">
        <is>
          <t>StageGate</t>
        </is>
      </c>
      <c r="I86" s="7">
        <f>A86&amp;"|"&amp;B86</f>
        <v/>
      </c>
    </row>
    <row r="87" ht="15" customHeight="1" s="5">
      <c r="A87" s="7" t="inlineStr">
        <is>
          <t>PRJ011</t>
        </is>
      </c>
      <c r="B87" s="7" t="inlineStr">
        <is>
          <t>Testing</t>
        </is>
      </c>
      <c r="C87" s="8">
        <f>IFERROR(INDEX(StageGates!$I:$I,MATCH(I87,StageGates!$O:$O,0)),"")</f>
        <v/>
      </c>
      <c r="D87" s="8">
        <f>IFERROR(INDEX(StageGates!$J:$J,MATCH(I87,StageGates!$O:$O,0)),"")</f>
        <v/>
      </c>
      <c r="E87" s="7">
        <f>IFERROR(INDEX(StageGates!$J:$J,MATCH(I87,StageGates!$O:$O,0)),"")</f>
        <v/>
      </c>
      <c r="F87" s="7">
        <f>IFERROR(INDEX(StageGates!$G:$G,MATCH(I87,StageGates!$O:$O,0)),"")</f>
        <v/>
      </c>
      <c r="G87" s="7">
        <f>IFERROR(INDEX(StageGates!$H:$H,MATCH(I87,StageGates!$O:$O,0)),"")</f>
        <v/>
      </c>
      <c r="H87" s="7" t="inlineStr">
        <is>
          <t>StageGate</t>
        </is>
      </c>
      <c r="I87" s="7">
        <f>A87&amp;"|"&amp;B87</f>
        <v/>
      </c>
    </row>
    <row r="88" ht="15" customHeight="1" s="5">
      <c r="A88" s="7" t="inlineStr">
        <is>
          <t>PRJ011</t>
        </is>
      </c>
      <c r="B88" s="7" t="inlineStr">
        <is>
          <t>Deployment</t>
        </is>
      </c>
      <c r="C88" s="8">
        <f>IFERROR(INDEX(StageGates!$I:$I,MATCH(I88,StageGates!$O:$O,0)),"")</f>
        <v/>
      </c>
      <c r="D88" s="8">
        <f>IFERROR(INDEX(StageGates!$J:$J,MATCH(I88,StageGates!$O:$O,0)),"")</f>
        <v/>
      </c>
      <c r="E88" s="7">
        <f>IFERROR(INDEX(StageGates!$J:$J,MATCH(I88,StageGates!$O:$O,0)),"")</f>
        <v/>
      </c>
      <c r="F88" s="7">
        <f>IFERROR(INDEX(StageGates!$G:$G,MATCH(I88,StageGates!$O:$O,0)),"")</f>
        <v/>
      </c>
      <c r="G88" s="7">
        <f>IFERROR(INDEX(StageGates!$H:$H,MATCH(I88,StageGates!$O:$O,0)),"")</f>
        <v/>
      </c>
      <c r="H88" s="7" t="inlineStr">
        <is>
          <t>StageGate</t>
        </is>
      </c>
      <c r="I88" s="7">
        <f>A88&amp;"|"&amp;B88</f>
        <v/>
      </c>
    </row>
    <row r="89" ht="15" customHeight="1" s="5">
      <c r="A89" s="7" t="inlineStr">
        <is>
          <t>PRJ011</t>
        </is>
      </c>
      <c r="B89" s="7" t="inlineStr">
        <is>
          <t>Handover</t>
        </is>
      </c>
      <c r="C89" s="8">
        <f>IFERROR(INDEX(StageGates!$I:$I,MATCH(I89,StageGates!$O:$O,0)),"")</f>
        <v/>
      </c>
      <c r="D89" s="8">
        <f>IFERROR(INDEX(StageGates!$J:$J,MATCH(I89,StageGates!$O:$O,0)),"")</f>
        <v/>
      </c>
      <c r="E89" s="7">
        <f>IFERROR(INDEX(StageGates!$J:$J,MATCH(I89,StageGates!$O:$O,0)),"")</f>
        <v/>
      </c>
      <c r="F89" s="7">
        <f>IFERROR(INDEX(StageGates!$G:$G,MATCH(I89,StageGates!$O:$O,0)),"")</f>
        <v/>
      </c>
      <c r="G89" s="7">
        <f>IFERROR(INDEX(StageGates!$H:$H,MATCH(I89,StageGates!$O:$O,0)),"")</f>
        <v/>
      </c>
      <c r="H89" s="7" t="inlineStr">
        <is>
          <t>StageGate</t>
        </is>
      </c>
      <c r="I89" s="7">
        <f>A89&amp;"|"&amp;B89</f>
        <v/>
      </c>
    </row>
    <row r="90" ht="15" customHeight="1" s="5">
      <c r="A90" s="7" t="inlineStr">
        <is>
          <t>PRJ012</t>
        </is>
      </c>
      <c r="B90" s="7" t="inlineStr">
        <is>
          <t>Discovery</t>
        </is>
      </c>
      <c r="C90" s="8">
        <f>IFERROR(INDEX(StageGates!$I:$I,MATCH(I90,StageGates!$O:$O,0)),"")</f>
        <v/>
      </c>
      <c r="D90" s="8">
        <f>IFERROR(INDEX(StageGates!$J:$J,MATCH(I90,StageGates!$O:$O,0)),"")</f>
        <v/>
      </c>
      <c r="E90" s="8">
        <f>IFERROR(INDEX(StageGates!$J:$J,MATCH(I90,StageGates!$O:$O,0)),"")</f>
        <v/>
      </c>
      <c r="F90" s="7">
        <f>IFERROR(INDEX(StageGates!$G:$G,MATCH(I90,StageGates!$O:$O,0)),"")</f>
        <v/>
      </c>
      <c r="G90" s="7">
        <f>IFERROR(INDEX(StageGates!$H:$H,MATCH(I90,StageGates!$O:$O,0)),"")</f>
        <v/>
      </c>
      <c r="H90" s="7" t="inlineStr">
        <is>
          <t>StageGate</t>
        </is>
      </c>
      <c r="I90" s="7">
        <f>A90&amp;"|"&amp;B90</f>
        <v/>
      </c>
    </row>
    <row r="91" ht="15" customHeight="1" s="5">
      <c r="A91" s="7" t="inlineStr">
        <is>
          <t>PRJ012</t>
        </is>
      </c>
      <c r="B91" s="7" t="inlineStr">
        <is>
          <t>Business Case / Seed Funding</t>
        </is>
      </c>
      <c r="C91" s="8">
        <f>IFERROR(INDEX(StageGates!$I:$I,MATCH(I91,StageGates!$O:$O,0)),"")</f>
        <v/>
      </c>
      <c r="D91" s="8">
        <f>IFERROR(INDEX(StageGates!$J:$J,MATCH(I91,StageGates!$O:$O,0)),"")</f>
        <v/>
      </c>
      <c r="E91" s="8">
        <f>IFERROR(INDEX(StageGates!$J:$J,MATCH(I91,StageGates!$O:$O,0)),"")</f>
        <v/>
      </c>
      <c r="F91" s="7">
        <f>IFERROR(INDEX(StageGates!$G:$G,MATCH(I91,StageGates!$O:$O,0)),"")</f>
        <v/>
      </c>
      <c r="G91" s="7">
        <f>IFERROR(INDEX(StageGates!$H:$H,MATCH(I91,StageGates!$O:$O,0)),"")</f>
        <v/>
      </c>
      <c r="H91" s="7" t="inlineStr">
        <is>
          <t>StageGate</t>
        </is>
      </c>
      <c r="I91" s="7">
        <f>A91&amp;"|"&amp;B91</f>
        <v/>
      </c>
    </row>
    <row r="92" ht="15" customHeight="1" s="5">
      <c r="A92" s="7" t="inlineStr">
        <is>
          <t>PRJ012</t>
        </is>
      </c>
      <c r="B92" s="7" t="inlineStr">
        <is>
          <t>Design</t>
        </is>
      </c>
      <c r="C92" s="8">
        <f>IFERROR(INDEX(StageGates!$I:$I,MATCH(I92,StageGates!$O:$O,0)),"")</f>
        <v/>
      </c>
      <c r="D92" s="8">
        <f>IFERROR(INDEX(StageGates!$J:$J,MATCH(I92,StageGates!$O:$O,0)),"")</f>
        <v/>
      </c>
      <c r="E92" s="7">
        <f>IFERROR(INDEX(StageGates!$J:$J,MATCH(I92,StageGates!$O:$O,0)),"")</f>
        <v/>
      </c>
      <c r="F92" s="7">
        <f>IFERROR(INDEX(StageGates!$G:$G,MATCH(I92,StageGates!$O:$O,0)),"")</f>
        <v/>
      </c>
      <c r="G92" s="7">
        <f>IFERROR(INDEX(StageGates!$H:$H,MATCH(I92,StageGates!$O:$O,0)),"")</f>
        <v/>
      </c>
      <c r="H92" s="7" t="inlineStr">
        <is>
          <t>StageGate</t>
        </is>
      </c>
      <c r="I92" s="7">
        <f>A92&amp;"|"&amp;B92</f>
        <v/>
      </c>
    </row>
    <row r="93" ht="15" customHeight="1" s="5">
      <c r="A93" s="7" t="inlineStr">
        <is>
          <t>PRJ012</t>
        </is>
      </c>
      <c r="B93" s="7" t="inlineStr">
        <is>
          <t>Business Case / Full Funding</t>
        </is>
      </c>
      <c r="C93" s="8">
        <f>IFERROR(INDEX(StageGates!$I:$I,MATCH(I93,StageGates!$O:$O,0)),"")</f>
        <v/>
      </c>
      <c r="D93" s="8">
        <f>IFERROR(INDEX(StageGates!$J:$J,MATCH(I93,StageGates!$O:$O,0)),"")</f>
        <v/>
      </c>
      <c r="E93" s="7">
        <f>IFERROR(INDEX(StageGates!$J:$J,MATCH(I93,StageGates!$O:$O,0)),"")</f>
        <v/>
      </c>
      <c r="F93" s="7">
        <f>IFERROR(INDEX(StageGates!$G:$G,MATCH(I93,StageGates!$O:$O,0)),"")</f>
        <v/>
      </c>
      <c r="G93" s="7">
        <f>IFERROR(INDEX(StageGates!$H:$H,MATCH(I93,StageGates!$O:$O,0)),"")</f>
        <v/>
      </c>
      <c r="H93" s="7" t="inlineStr">
        <is>
          <t>StageGate</t>
        </is>
      </c>
      <c r="I93" s="7">
        <f>A93&amp;"|"&amp;B93</f>
        <v/>
      </c>
    </row>
    <row r="94" ht="15" customHeight="1" s="5">
      <c r="A94" s="7" t="inlineStr">
        <is>
          <t>PRJ012</t>
        </is>
      </c>
      <c r="B94" s="7" t="inlineStr">
        <is>
          <t>Build</t>
        </is>
      </c>
      <c r="C94" s="8">
        <f>IFERROR(INDEX(StageGates!$I:$I,MATCH(I94,StageGates!$O:$O,0)),"")</f>
        <v/>
      </c>
      <c r="D94" s="8">
        <f>IFERROR(INDEX(StageGates!$J:$J,MATCH(I94,StageGates!$O:$O,0)),"")</f>
        <v/>
      </c>
      <c r="E94" s="7">
        <f>IFERROR(INDEX(StageGates!$J:$J,MATCH(I94,StageGates!$O:$O,0)),"")</f>
        <v/>
      </c>
      <c r="F94" s="7">
        <f>IFERROR(INDEX(StageGates!$G:$G,MATCH(I94,StageGates!$O:$O,0)),"")</f>
        <v/>
      </c>
      <c r="G94" s="7">
        <f>IFERROR(INDEX(StageGates!$H:$H,MATCH(I94,StageGates!$O:$O,0)),"")</f>
        <v/>
      </c>
      <c r="H94" s="7" t="inlineStr">
        <is>
          <t>StageGate</t>
        </is>
      </c>
      <c r="I94" s="7">
        <f>A94&amp;"|"&amp;B94</f>
        <v/>
      </c>
    </row>
    <row r="95" ht="15" customHeight="1" s="5">
      <c r="A95" s="7" t="inlineStr">
        <is>
          <t>PRJ012</t>
        </is>
      </c>
      <c r="B95" s="7" t="inlineStr">
        <is>
          <t>Testing</t>
        </is>
      </c>
      <c r="C95" s="8">
        <f>IFERROR(INDEX(StageGates!$I:$I,MATCH(I95,StageGates!$O:$O,0)),"")</f>
        <v/>
      </c>
      <c r="D95" s="8">
        <f>IFERROR(INDEX(StageGates!$J:$J,MATCH(I95,StageGates!$O:$O,0)),"")</f>
        <v/>
      </c>
      <c r="E95" s="7">
        <f>IFERROR(INDEX(StageGates!$J:$J,MATCH(I95,StageGates!$O:$O,0)),"")</f>
        <v/>
      </c>
      <c r="F95" s="7">
        <f>IFERROR(INDEX(StageGates!$G:$G,MATCH(I95,StageGates!$O:$O,0)),"")</f>
        <v/>
      </c>
      <c r="G95" s="7">
        <f>IFERROR(INDEX(StageGates!$H:$H,MATCH(I95,StageGates!$O:$O,0)),"")</f>
        <v/>
      </c>
      <c r="H95" s="7" t="inlineStr">
        <is>
          <t>StageGate</t>
        </is>
      </c>
      <c r="I95" s="7">
        <f>A95&amp;"|"&amp;B95</f>
        <v/>
      </c>
    </row>
    <row r="96" ht="15" customHeight="1" s="5">
      <c r="A96" s="7" t="inlineStr">
        <is>
          <t>PRJ012</t>
        </is>
      </c>
      <c r="B96" s="7" t="inlineStr">
        <is>
          <t>Deployment</t>
        </is>
      </c>
      <c r="C96" s="8">
        <f>IFERROR(INDEX(StageGates!$I:$I,MATCH(I96,StageGates!$O:$O,0)),"")</f>
        <v/>
      </c>
      <c r="D96" s="8">
        <f>IFERROR(INDEX(StageGates!$J:$J,MATCH(I96,StageGates!$O:$O,0)),"")</f>
        <v/>
      </c>
      <c r="E96" s="7">
        <f>IFERROR(INDEX(StageGates!$J:$J,MATCH(I96,StageGates!$O:$O,0)),"")</f>
        <v/>
      </c>
      <c r="F96" s="7">
        <f>IFERROR(INDEX(StageGates!$G:$G,MATCH(I96,StageGates!$O:$O,0)),"")</f>
        <v/>
      </c>
      <c r="G96" s="7">
        <f>IFERROR(INDEX(StageGates!$H:$H,MATCH(I96,StageGates!$O:$O,0)),"")</f>
        <v/>
      </c>
      <c r="H96" s="7" t="inlineStr">
        <is>
          <t>StageGate</t>
        </is>
      </c>
      <c r="I96" s="7">
        <f>A96&amp;"|"&amp;B96</f>
        <v/>
      </c>
    </row>
    <row r="97" ht="15" customHeight="1" s="5">
      <c r="A97" s="7" t="inlineStr">
        <is>
          <t>PRJ012</t>
        </is>
      </c>
      <c r="B97" s="7" t="inlineStr">
        <is>
          <t>Handover</t>
        </is>
      </c>
      <c r="C97" s="8">
        <f>IFERROR(INDEX(StageGates!$I:$I,MATCH(I97,StageGates!$O:$O,0)),"")</f>
        <v/>
      </c>
      <c r="D97" s="8">
        <f>IFERROR(INDEX(StageGates!$J:$J,MATCH(I97,StageGates!$O:$O,0)),"")</f>
        <v/>
      </c>
      <c r="E97" s="7">
        <f>IFERROR(INDEX(StageGates!$J:$J,MATCH(I97,StageGates!$O:$O,0)),"")</f>
        <v/>
      </c>
      <c r="F97" s="7">
        <f>IFERROR(INDEX(StageGates!$G:$G,MATCH(I97,StageGates!$O:$O,0)),"")</f>
        <v/>
      </c>
      <c r="G97" s="7">
        <f>IFERROR(INDEX(StageGates!$H:$H,MATCH(I97,StageGates!$O:$O,0)),"")</f>
        <v/>
      </c>
      <c r="H97" s="7" t="inlineStr">
        <is>
          <t>StageGate</t>
        </is>
      </c>
      <c r="I97" s="7">
        <f>A97&amp;"|"&amp;B97</f>
        <v/>
      </c>
    </row>
    <row r="98" ht="15" customHeight="1" s="5">
      <c r="A98" s="7" t="inlineStr">
        <is>
          <t>PRJ013</t>
        </is>
      </c>
      <c r="B98" s="7" t="inlineStr">
        <is>
          <t>Discovery</t>
        </is>
      </c>
      <c r="C98" s="8">
        <f>IFERROR(INDEX(StageGates!$I:$I,MATCH(I98,StageGates!$O:$O,0)),"")</f>
        <v/>
      </c>
      <c r="D98" s="8">
        <f>IFERROR(INDEX(StageGates!$J:$J,MATCH(I98,StageGates!$O:$O,0)),"")</f>
        <v/>
      </c>
      <c r="E98" s="8">
        <f>IFERROR(INDEX(StageGates!$J:$J,MATCH(I98,StageGates!$O:$O,0)),"")</f>
        <v/>
      </c>
      <c r="F98" s="7">
        <f>IFERROR(INDEX(StageGates!$G:$G,MATCH(I98,StageGates!$O:$O,0)),"")</f>
        <v/>
      </c>
      <c r="G98" s="7">
        <f>IFERROR(INDEX(StageGates!$H:$H,MATCH(I98,StageGates!$O:$O,0)),"")</f>
        <v/>
      </c>
      <c r="H98" s="7" t="inlineStr">
        <is>
          <t>StageGate</t>
        </is>
      </c>
      <c r="I98" s="7">
        <f>A98&amp;"|"&amp;B98</f>
        <v/>
      </c>
    </row>
    <row r="99" ht="15" customHeight="1" s="5">
      <c r="A99" s="7" t="inlineStr">
        <is>
          <t>PRJ013</t>
        </is>
      </c>
      <c r="B99" s="7" t="inlineStr">
        <is>
          <t>Business Case / Seed Funding</t>
        </is>
      </c>
      <c r="C99" s="8">
        <f>IFERROR(INDEX(StageGates!$I:$I,MATCH(I99,StageGates!$O:$O,0)),"")</f>
        <v/>
      </c>
      <c r="D99" s="8">
        <f>IFERROR(INDEX(StageGates!$J:$J,MATCH(I99,StageGates!$O:$O,0)),"")</f>
        <v/>
      </c>
      <c r="E99" s="8">
        <f>IFERROR(INDEX(StageGates!$J:$J,MATCH(I99,StageGates!$O:$O,0)),"")</f>
        <v/>
      </c>
      <c r="F99" s="7">
        <f>IFERROR(INDEX(StageGates!$G:$G,MATCH(I99,StageGates!$O:$O,0)),"")</f>
        <v/>
      </c>
      <c r="G99" s="7">
        <f>IFERROR(INDEX(StageGates!$H:$H,MATCH(I99,StageGates!$O:$O,0)),"")</f>
        <v/>
      </c>
      <c r="H99" s="7" t="inlineStr">
        <is>
          <t>StageGate</t>
        </is>
      </c>
      <c r="I99" s="7">
        <f>A99&amp;"|"&amp;B99</f>
        <v/>
      </c>
    </row>
    <row r="100" ht="15" customHeight="1" s="5">
      <c r="A100" s="7" t="inlineStr">
        <is>
          <t>PRJ013</t>
        </is>
      </c>
      <c r="B100" s="7" t="inlineStr">
        <is>
          <t>Design</t>
        </is>
      </c>
      <c r="C100" s="8">
        <f>IFERROR(INDEX(StageGates!$I:$I,MATCH(I100,StageGates!$O:$O,0)),"")</f>
        <v/>
      </c>
      <c r="D100" s="8">
        <f>IFERROR(INDEX(StageGates!$J:$J,MATCH(I100,StageGates!$O:$O,0)),"")</f>
        <v/>
      </c>
      <c r="E100" s="8">
        <f>IFERROR(INDEX(StageGates!$J:$J,MATCH(I100,StageGates!$O:$O,0)),"")</f>
        <v/>
      </c>
      <c r="F100" s="7">
        <f>IFERROR(INDEX(StageGates!$G:$G,MATCH(I100,StageGates!$O:$O,0)),"")</f>
        <v/>
      </c>
      <c r="G100" s="7">
        <f>IFERROR(INDEX(StageGates!$H:$H,MATCH(I100,StageGates!$O:$O,0)),"")</f>
        <v/>
      </c>
      <c r="H100" s="7" t="inlineStr">
        <is>
          <t>StageGate</t>
        </is>
      </c>
      <c r="I100" s="7">
        <f>A100&amp;"|"&amp;B100</f>
        <v/>
      </c>
    </row>
    <row r="101" ht="15" customHeight="1" s="5">
      <c r="A101" s="7" t="inlineStr">
        <is>
          <t>PRJ013</t>
        </is>
      </c>
      <c r="B101" s="7" t="inlineStr">
        <is>
          <t>Business Case / Full Funding</t>
        </is>
      </c>
      <c r="C101" s="8">
        <f>IFERROR(INDEX(StageGates!$I:$I,MATCH(I101,StageGates!$O:$O,0)),"")</f>
        <v/>
      </c>
      <c r="D101" s="8">
        <f>IFERROR(INDEX(StageGates!$J:$J,MATCH(I101,StageGates!$O:$O,0)),"")</f>
        <v/>
      </c>
      <c r="E101" s="7">
        <f>IFERROR(INDEX(StageGates!$J:$J,MATCH(I101,StageGates!$O:$O,0)),"")</f>
        <v/>
      </c>
      <c r="F101" s="7">
        <f>IFERROR(INDEX(StageGates!$G:$G,MATCH(I101,StageGates!$O:$O,0)),"")</f>
        <v/>
      </c>
      <c r="G101" s="7">
        <f>IFERROR(INDEX(StageGates!$H:$H,MATCH(I101,StageGates!$O:$O,0)),"")</f>
        <v/>
      </c>
      <c r="H101" s="7" t="inlineStr">
        <is>
          <t>StageGate</t>
        </is>
      </c>
      <c r="I101" s="7">
        <f>A101&amp;"|"&amp;B101</f>
        <v/>
      </c>
    </row>
    <row r="102" ht="15" customHeight="1" s="5">
      <c r="A102" s="7" t="inlineStr">
        <is>
          <t>PRJ013</t>
        </is>
      </c>
      <c r="B102" s="7" t="inlineStr">
        <is>
          <t>Build</t>
        </is>
      </c>
      <c r="C102" s="8">
        <f>IFERROR(INDEX(StageGates!$I:$I,MATCH(I102,StageGates!$O:$O,0)),"")</f>
        <v/>
      </c>
      <c r="D102" s="8">
        <f>IFERROR(INDEX(StageGates!$J:$J,MATCH(I102,StageGates!$O:$O,0)),"")</f>
        <v/>
      </c>
      <c r="E102" s="7">
        <f>IFERROR(INDEX(StageGates!$J:$J,MATCH(I102,StageGates!$O:$O,0)),"")</f>
        <v/>
      </c>
      <c r="F102" s="7">
        <f>IFERROR(INDEX(StageGates!$G:$G,MATCH(I102,StageGates!$O:$O,0)),"")</f>
        <v/>
      </c>
      <c r="G102" s="7">
        <f>IFERROR(INDEX(StageGates!$H:$H,MATCH(I102,StageGates!$O:$O,0)),"")</f>
        <v/>
      </c>
      <c r="H102" s="7" t="inlineStr">
        <is>
          <t>StageGate</t>
        </is>
      </c>
      <c r="I102" s="7">
        <f>A102&amp;"|"&amp;B102</f>
        <v/>
      </c>
    </row>
    <row r="103" ht="15" customHeight="1" s="5">
      <c r="A103" s="7" t="inlineStr">
        <is>
          <t>PRJ013</t>
        </is>
      </c>
      <c r="B103" s="7" t="inlineStr">
        <is>
          <t>Testing</t>
        </is>
      </c>
      <c r="C103" s="8">
        <f>IFERROR(INDEX(StageGates!$I:$I,MATCH(I103,StageGates!$O:$O,0)),"")</f>
        <v/>
      </c>
      <c r="D103" s="8">
        <f>IFERROR(INDEX(StageGates!$J:$J,MATCH(I103,StageGates!$O:$O,0)),"")</f>
        <v/>
      </c>
      <c r="E103" s="7">
        <f>IFERROR(INDEX(StageGates!$J:$J,MATCH(I103,StageGates!$O:$O,0)),"")</f>
        <v/>
      </c>
      <c r="F103" s="7">
        <f>IFERROR(INDEX(StageGates!$G:$G,MATCH(I103,StageGates!$O:$O,0)),"")</f>
        <v/>
      </c>
      <c r="G103" s="7">
        <f>IFERROR(INDEX(StageGates!$H:$H,MATCH(I103,StageGates!$O:$O,0)),"")</f>
        <v/>
      </c>
      <c r="H103" s="7" t="inlineStr">
        <is>
          <t>StageGate</t>
        </is>
      </c>
      <c r="I103" s="7">
        <f>A103&amp;"|"&amp;B103</f>
        <v/>
      </c>
    </row>
    <row r="104" ht="15" customHeight="1" s="5">
      <c r="A104" s="7" t="inlineStr">
        <is>
          <t>PRJ013</t>
        </is>
      </c>
      <c r="B104" s="7" t="inlineStr">
        <is>
          <t>Deployment</t>
        </is>
      </c>
      <c r="C104" s="8">
        <f>IFERROR(INDEX(StageGates!$I:$I,MATCH(I104,StageGates!$O:$O,0)),"")</f>
        <v/>
      </c>
      <c r="D104" s="8">
        <f>IFERROR(INDEX(StageGates!$J:$J,MATCH(I104,StageGates!$O:$O,0)),"")</f>
        <v/>
      </c>
      <c r="E104" s="7">
        <f>IFERROR(INDEX(StageGates!$J:$J,MATCH(I104,StageGates!$O:$O,0)),"")</f>
        <v/>
      </c>
      <c r="F104" s="7">
        <f>IFERROR(INDEX(StageGates!$G:$G,MATCH(I104,StageGates!$O:$O,0)),"")</f>
        <v/>
      </c>
      <c r="G104" s="7">
        <f>IFERROR(INDEX(StageGates!$H:$H,MATCH(I104,StageGates!$O:$O,0)),"")</f>
        <v/>
      </c>
      <c r="H104" s="7" t="inlineStr">
        <is>
          <t>StageGate</t>
        </is>
      </c>
      <c r="I104" s="7">
        <f>A104&amp;"|"&amp;B104</f>
        <v/>
      </c>
    </row>
    <row r="105" ht="15" customHeight="1" s="5">
      <c r="A105" s="7" t="inlineStr">
        <is>
          <t>PRJ013</t>
        </is>
      </c>
      <c r="B105" s="7" t="inlineStr">
        <is>
          <t>Handover</t>
        </is>
      </c>
      <c r="C105" s="8">
        <f>IFERROR(INDEX(StageGates!$I:$I,MATCH(I105,StageGates!$O:$O,0)),"")</f>
        <v/>
      </c>
      <c r="D105" s="8">
        <f>IFERROR(INDEX(StageGates!$J:$J,MATCH(I105,StageGates!$O:$O,0)),"")</f>
        <v/>
      </c>
      <c r="E105" s="7">
        <f>IFERROR(INDEX(StageGates!$J:$J,MATCH(I105,StageGates!$O:$O,0)),"")</f>
        <v/>
      </c>
      <c r="F105" s="7">
        <f>IFERROR(INDEX(StageGates!$G:$G,MATCH(I105,StageGates!$O:$O,0)),"")</f>
        <v/>
      </c>
      <c r="G105" s="7">
        <f>IFERROR(INDEX(StageGates!$H:$H,MATCH(I105,StageGates!$O:$O,0)),"")</f>
        <v/>
      </c>
      <c r="H105" s="7" t="inlineStr">
        <is>
          <t>StageGate</t>
        </is>
      </c>
      <c r="I105" s="7">
        <f>A105&amp;"|"&amp;B105</f>
        <v/>
      </c>
    </row>
    <row r="106" ht="15" customHeight="1" s="5">
      <c r="A106" s="7" t="inlineStr">
        <is>
          <t>PRJ014</t>
        </is>
      </c>
      <c r="B106" s="7" t="inlineStr">
        <is>
          <t>Discovery</t>
        </is>
      </c>
      <c r="C106" s="8">
        <f>IFERROR(INDEX(StageGates!$I:$I,MATCH(I106,StageGates!$O:$O,0)),"")</f>
        <v/>
      </c>
      <c r="D106" s="8">
        <f>IFERROR(INDEX(StageGates!$J:$J,MATCH(I106,StageGates!$O:$O,0)),"")</f>
        <v/>
      </c>
      <c r="E106" s="8">
        <f>IFERROR(INDEX(StageGates!$J:$J,MATCH(I106,StageGates!$O:$O,0)),"")</f>
        <v/>
      </c>
      <c r="F106" s="7">
        <f>IFERROR(INDEX(StageGates!$G:$G,MATCH(I106,StageGates!$O:$O,0)),"")</f>
        <v/>
      </c>
      <c r="G106" s="7">
        <f>IFERROR(INDEX(StageGates!$H:$H,MATCH(I106,StageGates!$O:$O,0)),"")</f>
        <v/>
      </c>
      <c r="H106" s="7" t="inlineStr">
        <is>
          <t>StageGate</t>
        </is>
      </c>
      <c r="I106" s="7">
        <f>A106&amp;"|"&amp;B106</f>
        <v/>
      </c>
    </row>
    <row r="107" ht="15" customHeight="1" s="5">
      <c r="A107" s="7" t="inlineStr">
        <is>
          <t>PRJ014</t>
        </is>
      </c>
      <c r="B107" s="7" t="inlineStr">
        <is>
          <t>Business Case / Seed Funding</t>
        </is>
      </c>
      <c r="C107" s="8">
        <f>IFERROR(INDEX(StageGates!$I:$I,MATCH(I107,StageGates!$O:$O,0)),"")</f>
        <v/>
      </c>
      <c r="D107" s="8">
        <f>IFERROR(INDEX(StageGates!$J:$J,MATCH(I107,StageGates!$O:$O,0)),"")</f>
        <v/>
      </c>
      <c r="E107" s="8">
        <f>IFERROR(INDEX(StageGates!$J:$J,MATCH(I107,StageGates!$O:$O,0)),"")</f>
        <v/>
      </c>
      <c r="F107" s="7">
        <f>IFERROR(INDEX(StageGates!$G:$G,MATCH(I107,StageGates!$O:$O,0)),"")</f>
        <v/>
      </c>
      <c r="G107" s="7">
        <f>IFERROR(INDEX(StageGates!$H:$H,MATCH(I107,StageGates!$O:$O,0)),"")</f>
        <v/>
      </c>
      <c r="H107" s="7" t="inlineStr">
        <is>
          <t>StageGate</t>
        </is>
      </c>
      <c r="I107" s="7">
        <f>A107&amp;"|"&amp;B107</f>
        <v/>
      </c>
    </row>
    <row r="108" ht="15" customHeight="1" s="5">
      <c r="A108" s="7" t="inlineStr">
        <is>
          <t>PRJ014</t>
        </is>
      </c>
      <c r="B108" s="7" t="inlineStr">
        <is>
          <t>Design</t>
        </is>
      </c>
      <c r="C108" s="8">
        <f>IFERROR(INDEX(StageGates!$I:$I,MATCH(I108,StageGates!$O:$O,0)),"")</f>
        <v/>
      </c>
      <c r="D108" s="8">
        <f>IFERROR(INDEX(StageGates!$J:$J,MATCH(I108,StageGates!$O:$O,0)),"")</f>
        <v/>
      </c>
      <c r="E108" s="8">
        <f>IFERROR(INDEX(StageGates!$J:$J,MATCH(I108,StageGates!$O:$O,0)),"")</f>
        <v/>
      </c>
      <c r="F108" s="7">
        <f>IFERROR(INDEX(StageGates!$G:$G,MATCH(I108,StageGates!$O:$O,0)),"")</f>
        <v/>
      </c>
      <c r="G108" s="7">
        <f>IFERROR(INDEX(StageGates!$H:$H,MATCH(I108,StageGates!$O:$O,0)),"")</f>
        <v/>
      </c>
      <c r="H108" s="7" t="inlineStr">
        <is>
          <t>StageGate</t>
        </is>
      </c>
      <c r="I108" s="7">
        <f>A108&amp;"|"&amp;B108</f>
        <v/>
      </c>
    </row>
    <row r="109" ht="15" customHeight="1" s="5">
      <c r="A109" s="7" t="inlineStr">
        <is>
          <t>PRJ014</t>
        </is>
      </c>
      <c r="B109" s="7" t="inlineStr">
        <is>
          <t>Business Case / Full Funding</t>
        </is>
      </c>
      <c r="C109" s="8">
        <f>IFERROR(INDEX(StageGates!$I:$I,MATCH(I109,StageGates!$O:$O,0)),"")</f>
        <v/>
      </c>
      <c r="D109" s="8">
        <f>IFERROR(INDEX(StageGates!$J:$J,MATCH(I109,StageGates!$O:$O,0)),"")</f>
        <v/>
      </c>
      <c r="E109" s="8">
        <f>IFERROR(INDEX(StageGates!$J:$J,MATCH(I109,StageGates!$O:$O,0)),"")</f>
        <v/>
      </c>
      <c r="F109" s="7">
        <f>IFERROR(INDEX(StageGates!$G:$G,MATCH(I109,StageGates!$O:$O,0)),"")</f>
        <v/>
      </c>
      <c r="G109" s="7">
        <f>IFERROR(INDEX(StageGates!$H:$H,MATCH(I109,StageGates!$O:$O,0)),"")</f>
        <v/>
      </c>
      <c r="H109" s="7" t="inlineStr">
        <is>
          <t>StageGate</t>
        </is>
      </c>
      <c r="I109" s="7">
        <f>A109&amp;"|"&amp;B109</f>
        <v/>
      </c>
    </row>
    <row r="110" ht="15" customHeight="1" s="5">
      <c r="A110" s="7" t="inlineStr">
        <is>
          <t>PRJ014</t>
        </is>
      </c>
      <c r="B110" s="7" t="inlineStr">
        <is>
          <t>Build</t>
        </is>
      </c>
      <c r="C110" s="8">
        <f>IFERROR(INDEX(StageGates!$I:$I,MATCH(I110,StageGates!$O:$O,0)),"")</f>
        <v/>
      </c>
      <c r="D110" s="8">
        <f>IFERROR(INDEX(StageGates!$J:$J,MATCH(I110,StageGates!$O:$O,0)),"")</f>
        <v/>
      </c>
      <c r="E110" s="8">
        <f>IFERROR(INDEX(StageGates!$J:$J,MATCH(I110,StageGates!$O:$O,0)),"")</f>
        <v/>
      </c>
      <c r="F110" s="7">
        <f>IFERROR(INDEX(StageGates!$G:$G,MATCH(I110,StageGates!$O:$O,0)),"")</f>
        <v/>
      </c>
      <c r="G110" s="7">
        <f>IFERROR(INDEX(StageGates!$H:$H,MATCH(I110,StageGates!$O:$O,0)),"")</f>
        <v/>
      </c>
      <c r="H110" s="7" t="inlineStr">
        <is>
          <t>StageGate</t>
        </is>
      </c>
      <c r="I110" s="7">
        <f>A110&amp;"|"&amp;B110</f>
        <v/>
      </c>
    </row>
    <row r="111" ht="15" customHeight="1" s="5">
      <c r="A111" s="7" t="inlineStr">
        <is>
          <t>PRJ014</t>
        </is>
      </c>
      <c r="B111" s="7" t="inlineStr">
        <is>
          <t>Testing</t>
        </is>
      </c>
      <c r="C111" s="8">
        <f>IFERROR(INDEX(StageGates!$I:$I,MATCH(I111,StageGates!$O:$O,0)),"")</f>
        <v/>
      </c>
      <c r="D111" s="8">
        <f>IFERROR(INDEX(StageGates!$J:$J,MATCH(I111,StageGates!$O:$O,0)),"")</f>
        <v/>
      </c>
      <c r="E111" s="8">
        <f>IFERROR(INDEX(StageGates!$J:$J,MATCH(I111,StageGates!$O:$O,0)),"")</f>
        <v/>
      </c>
      <c r="F111" s="7">
        <f>IFERROR(INDEX(StageGates!$G:$G,MATCH(I111,StageGates!$O:$O,0)),"")</f>
        <v/>
      </c>
      <c r="G111" s="7">
        <f>IFERROR(INDEX(StageGates!$H:$H,MATCH(I111,StageGates!$O:$O,0)),"")</f>
        <v/>
      </c>
      <c r="H111" s="7" t="inlineStr">
        <is>
          <t>StageGate</t>
        </is>
      </c>
      <c r="I111" s="7">
        <f>A111&amp;"|"&amp;B111</f>
        <v/>
      </c>
    </row>
    <row r="112" ht="15" customHeight="1" s="5">
      <c r="A112" s="7" t="inlineStr">
        <is>
          <t>PRJ014</t>
        </is>
      </c>
      <c r="B112" s="7" t="inlineStr">
        <is>
          <t>Deployment</t>
        </is>
      </c>
      <c r="C112" s="8">
        <f>IFERROR(INDEX(StageGates!$I:$I,MATCH(I112,StageGates!$O:$O,0)),"")</f>
        <v/>
      </c>
      <c r="D112" s="8">
        <f>IFERROR(INDEX(StageGates!$J:$J,MATCH(I112,StageGates!$O:$O,0)),"")</f>
        <v/>
      </c>
      <c r="E112" s="8">
        <f>IFERROR(INDEX(StageGates!$J:$J,MATCH(I112,StageGates!$O:$O,0)),"")</f>
        <v/>
      </c>
      <c r="F112" s="7">
        <f>IFERROR(INDEX(StageGates!$G:$G,MATCH(I112,StageGates!$O:$O,0)),"")</f>
        <v/>
      </c>
      <c r="G112" s="7">
        <f>IFERROR(INDEX(StageGates!$H:$H,MATCH(I112,StageGates!$O:$O,0)),"")</f>
        <v/>
      </c>
      <c r="H112" s="7" t="inlineStr">
        <is>
          <t>StageGate</t>
        </is>
      </c>
      <c r="I112" s="7">
        <f>A112&amp;"|"&amp;B112</f>
        <v/>
      </c>
    </row>
    <row r="113" ht="15" customHeight="1" s="5">
      <c r="A113" s="7" t="inlineStr">
        <is>
          <t>PRJ014</t>
        </is>
      </c>
      <c r="B113" s="7" t="inlineStr">
        <is>
          <t>Handover</t>
        </is>
      </c>
      <c r="C113" s="8">
        <f>IFERROR(INDEX(StageGates!$I:$I,MATCH(I113,StageGates!$O:$O,0)),"")</f>
        <v/>
      </c>
      <c r="D113" s="8">
        <f>IFERROR(INDEX(StageGates!$J:$J,MATCH(I113,StageGates!$O:$O,0)),"")</f>
        <v/>
      </c>
      <c r="E113" s="7">
        <f>IFERROR(INDEX(StageGates!$J:$J,MATCH(I113,StageGates!$O:$O,0)),"")</f>
        <v/>
      </c>
      <c r="F113" s="7">
        <f>IFERROR(INDEX(StageGates!$G:$G,MATCH(I113,StageGates!$O:$O,0)),"")</f>
        <v/>
      </c>
      <c r="G113" s="7">
        <f>IFERROR(INDEX(StageGates!$H:$H,MATCH(I113,StageGates!$O:$O,0)),"")</f>
        <v/>
      </c>
      <c r="H113" s="7" t="inlineStr">
        <is>
          <t>StageGate</t>
        </is>
      </c>
      <c r="I113" s="7">
        <f>A113&amp;"|"&amp;B113</f>
        <v/>
      </c>
    </row>
    <row r="114" ht="15" customHeight="1" s="5">
      <c r="A114" s="7" t="inlineStr">
        <is>
          <t>PRJ015</t>
        </is>
      </c>
      <c r="B114" s="7" t="inlineStr">
        <is>
          <t>Discovery</t>
        </is>
      </c>
      <c r="C114" s="8">
        <f>IFERROR(INDEX(StageGates!$I:$I,MATCH(I114,StageGates!$O:$O,0)),"")</f>
        <v/>
      </c>
      <c r="D114" s="8">
        <f>IFERROR(INDEX(StageGates!$J:$J,MATCH(I114,StageGates!$O:$O,0)),"")</f>
        <v/>
      </c>
      <c r="E114" s="8">
        <f>IFERROR(INDEX(StageGates!$J:$J,MATCH(I114,StageGates!$O:$O,0)),"")</f>
        <v/>
      </c>
      <c r="F114" s="7">
        <f>IFERROR(INDEX(StageGates!$G:$G,MATCH(I114,StageGates!$O:$O,0)),"")</f>
        <v/>
      </c>
      <c r="G114" s="7">
        <f>IFERROR(INDEX(StageGates!$H:$H,MATCH(I114,StageGates!$O:$O,0)),"")</f>
        <v/>
      </c>
      <c r="H114" s="7" t="inlineStr">
        <is>
          <t>StageGate</t>
        </is>
      </c>
      <c r="I114" s="7">
        <f>A114&amp;"|"&amp;B114</f>
        <v/>
      </c>
    </row>
    <row r="115" ht="15" customHeight="1" s="5">
      <c r="A115" s="7" t="inlineStr">
        <is>
          <t>PRJ015</t>
        </is>
      </c>
      <c r="B115" s="7" t="inlineStr">
        <is>
          <t>Business Case / Seed Funding</t>
        </is>
      </c>
      <c r="C115" s="8">
        <f>IFERROR(INDEX(StageGates!$I:$I,MATCH(I115,StageGates!$O:$O,0)),"")</f>
        <v/>
      </c>
      <c r="D115" s="8">
        <f>IFERROR(INDEX(StageGates!$J:$J,MATCH(I115,StageGates!$O:$O,0)),"")</f>
        <v/>
      </c>
      <c r="E115" s="8">
        <f>IFERROR(INDEX(StageGates!$J:$J,MATCH(I115,StageGates!$O:$O,0)),"")</f>
        <v/>
      </c>
      <c r="F115" s="7">
        <f>IFERROR(INDEX(StageGates!$G:$G,MATCH(I115,StageGates!$O:$O,0)),"")</f>
        <v/>
      </c>
      <c r="G115" s="7">
        <f>IFERROR(INDEX(StageGates!$H:$H,MATCH(I115,StageGates!$O:$O,0)),"")</f>
        <v/>
      </c>
      <c r="H115" s="7" t="inlineStr">
        <is>
          <t>StageGate</t>
        </is>
      </c>
      <c r="I115" s="7">
        <f>A115&amp;"|"&amp;B115</f>
        <v/>
      </c>
    </row>
    <row r="116" ht="15" customHeight="1" s="5">
      <c r="A116" s="7" t="inlineStr">
        <is>
          <t>PRJ015</t>
        </is>
      </c>
      <c r="B116" s="7" t="inlineStr">
        <is>
          <t>Design</t>
        </is>
      </c>
      <c r="C116" s="8">
        <f>IFERROR(INDEX(StageGates!$I:$I,MATCH(I116,StageGates!$O:$O,0)),"")</f>
        <v/>
      </c>
      <c r="D116" s="8">
        <f>IFERROR(INDEX(StageGates!$J:$J,MATCH(I116,StageGates!$O:$O,0)),"")</f>
        <v/>
      </c>
      <c r="E116" s="8">
        <f>IFERROR(INDEX(StageGates!$J:$J,MATCH(I116,StageGates!$O:$O,0)),"")</f>
        <v/>
      </c>
      <c r="F116" s="7">
        <f>IFERROR(INDEX(StageGates!$G:$G,MATCH(I116,StageGates!$O:$O,0)),"")</f>
        <v/>
      </c>
      <c r="G116" s="7">
        <f>IFERROR(INDEX(StageGates!$H:$H,MATCH(I116,StageGates!$O:$O,0)),"")</f>
        <v/>
      </c>
      <c r="H116" s="7" t="inlineStr">
        <is>
          <t>StageGate</t>
        </is>
      </c>
      <c r="I116" s="7">
        <f>A116&amp;"|"&amp;B116</f>
        <v/>
      </c>
    </row>
    <row r="117" ht="15" customHeight="1" s="5">
      <c r="A117" s="7" t="inlineStr">
        <is>
          <t>PRJ015</t>
        </is>
      </c>
      <c r="B117" s="7" t="inlineStr">
        <is>
          <t>Business Case / Full Funding</t>
        </is>
      </c>
      <c r="C117" s="8">
        <f>IFERROR(INDEX(StageGates!$I:$I,MATCH(I117,StageGates!$O:$O,0)),"")</f>
        <v/>
      </c>
      <c r="D117" s="8">
        <f>IFERROR(INDEX(StageGates!$J:$J,MATCH(I117,StageGates!$O:$O,0)),"")</f>
        <v/>
      </c>
      <c r="E117" s="8">
        <f>IFERROR(INDEX(StageGates!$J:$J,MATCH(I117,StageGates!$O:$O,0)),"")</f>
        <v/>
      </c>
      <c r="F117" s="7">
        <f>IFERROR(INDEX(StageGates!$G:$G,MATCH(I117,StageGates!$O:$O,0)),"")</f>
        <v/>
      </c>
      <c r="G117" s="7">
        <f>IFERROR(INDEX(StageGates!$H:$H,MATCH(I117,StageGates!$O:$O,0)),"")</f>
        <v/>
      </c>
      <c r="H117" s="7" t="inlineStr">
        <is>
          <t>StageGate</t>
        </is>
      </c>
      <c r="I117" s="7">
        <f>A117&amp;"|"&amp;B117</f>
        <v/>
      </c>
    </row>
    <row r="118" ht="15" customHeight="1" s="5">
      <c r="A118" s="7" t="inlineStr">
        <is>
          <t>PRJ015</t>
        </is>
      </c>
      <c r="B118" s="7" t="inlineStr">
        <is>
          <t>Build</t>
        </is>
      </c>
      <c r="C118" s="8">
        <f>IFERROR(INDEX(StageGates!$I:$I,MATCH(I118,StageGates!$O:$O,0)),"")</f>
        <v/>
      </c>
      <c r="D118" s="8">
        <f>IFERROR(INDEX(StageGates!$J:$J,MATCH(I118,StageGates!$O:$O,0)),"")</f>
        <v/>
      </c>
      <c r="E118" s="8">
        <f>IFERROR(INDEX(StageGates!$J:$J,MATCH(I118,StageGates!$O:$O,0)),"")</f>
        <v/>
      </c>
      <c r="F118" s="7">
        <f>IFERROR(INDEX(StageGates!$G:$G,MATCH(I118,StageGates!$O:$O,0)),"")</f>
        <v/>
      </c>
      <c r="G118" s="7">
        <f>IFERROR(INDEX(StageGates!$H:$H,MATCH(I118,StageGates!$O:$O,0)),"")</f>
        <v/>
      </c>
      <c r="H118" s="7" t="inlineStr">
        <is>
          <t>StageGate</t>
        </is>
      </c>
      <c r="I118" s="7">
        <f>A118&amp;"|"&amp;B118</f>
        <v/>
      </c>
    </row>
    <row r="119" ht="15" customHeight="1" s="5">
      <c r="A119" s="7" t="inlineStr">
        <is>
          <t>PRJ015</t>
        </is>
      </c>
      <c r="B119" s="7" t="inlineStr">
        <is>
          <t>Testing</t>
        </is>
      </c>
      <c r="C119" s="8">
        <f>IFERROR(INDEX(StageGates!$I:$I,MATCH(I119,StageGates!$O:$O,0)),"")</f>
        <v/>
      </c>
      <c r="D119" s="8">
        <f>IFERROR(INDEX(StageGates!$J:$J,MATCH(I119,StageGates!$O:$O,0)),"")</f>
        <v/>
      </c>
      <c r="E119" s="8">
        <f>IFERROR(INDEX(StageGates!$J:$J,MATCH(I119,StageGates!$O:$O,0)),"")</f>
        <v/>
      </c>
      <c r="F119" s="7">
        <f>IFERROR(INDEX(StageGates!$G:$G,MATCH(I119,StageGates!$O:$O,0)),"")</f>
        <v/>
      </c>
      <c r="G119" s="7">
        <f>IFERROR(INDEX(StageGates!$H:$H,MATCH(I119,StageGates!$O:$O,0)),"")</f>
        <v/>
      </c>
      <c r="H119" s="7" t="inlineStr">
        <is>
          <t>StageGate</t>
        </is>
      </c>
      <c r="I119" s="7">
        <f>A119&amp;"|"&amp;B119</f>
        <v/>
      </c>
    </row>
    <row r="120" ht="15" customHeight="1" s="5">
      <c r="A120" s="7" t="inlineStr">
        <is>
          <t>PRJ015</t>
        </is>
      </c>
      <c r="B120" s="7" t="inlineStr">
        <is>
          <t>Deployment</t>
        </is>
      </c>
      <c r="C120" s="8">
        <f>IFERROR(INDEX(StageGates!$I:$I,MATCH(I120,StageGates!$O:$O,0)),"")</f>
        <v/>
      </c>
      <c r="D120" s="8">
        <f>IFERROR(INDEX(StageGates!$J:$J,MATCH(I120,StageGates!$O:$O,0)),"")</f>
        <v/>
      </c>
      <c r="E120" s="7">
        <f>IFERROR(INDEX(StageGates!$J:$J,MATCH(I120,StageGates!$O:$O,0)),"")</f>
        <v/>
      </c>
      <c r="F120" s="7">
        <f>IFERROR(INDEX(StageGates!$G:$G,MATCH(I120,StageGates!$O:$O,0)),"")</f>
        <v/>
      </c>
      <c r="G120" s="7">
        <f>IFERROR(INDEX(StageGates!$H:$H,MATCH(I120,StageGates!$O:$O,0)),"")</f>
        <v/>
      </c>
      <c r="H120" s="7" t="inlineStr">
        <is>
          <t>StageGate</t>
        </is>
      </c>
      <c r="I120" s="7">
        <f>A120&amp;"|"&amp;B120</f>
        <v/>
      </c>
    </row>
    <row r="121" ht="15" customHeight="1" s="5">
      <c r="A121" s="7" t="inlineStr">
        <is>
          <t>PRJ015</t>
        </is>
      </c>
      <c r="B121" s="7" t="inlineStr">
        <is>
          <t>Handover</t>
        </is>
      </c>
      <c r="C121" s="8">
        <f>IFERROR(INDEX(StageGates!$I:$I,MATCH(I121,StageGates!$O:$O,0)),"")</f>
        <v/>
      </c>
      <c r="D121" s="8">
        <f>IFERROR(INDEX(StageGates!$J:$J,MATCH(I121,StageGates!$O:$O,0)),"")</f>
        <v/>
      </c>
      <c r="E121" s="7">
        <f>IFERROR(INDEX(StageGates!$J:$J,MATCH(I121,StageGates!$O:$O,0)),"")</f>
        <v/>
      </c>
      <c r="F121" s="7">
        <f>IFERROR(INDEX(StageGates!$G:$G,MATCH(I121,StageGates!$O:$O,0)),"")</f>
        <v/>
      </c>
      <c r="G121" s="7">
        <f>IFERROR(INDEX(StageGates!$H:$H,MATCH(I121,StageGates!$O:$O,0)),"")</f>
        <v/>
      </c>
      <c r="H121" s="7" t="inlineStr">
        <is>
          <t>StageGate</t>
        </is>
      </c>
      <c r="I121" s="7">
        <f>A121&amp;"|"&amp;B121</f>
        <v/>
      </c>
    </row>
    <row r="122" ht="15" customHeight="1" s="5">
      <c r="A122" s="7" t="inlineStr">
        <is>
          <t>PRJ016</t>
        </is>
      </c>
      <c r="B122" s="7" t="inlineStr">
        <is>
          <t>Discovery</t>
        </is>
      </c>
      <c r="C122" s="8">
        <f>IFERROR(INDEX(StageGates!$I:$I,MATCH(I122,StageGates!$O:$O,0)),"")</f>
        <v/>
      </c>
      <c r="D122" s="8">
        <f>IFERROR(INDEX(StageGates!$J:$J,MATCH(I122,StageGates!$O:$O,0)),"")</f>
        <v/>
      </c>
      <c r="E122" s="8">
        <f>IFERROR(INDEX(StageGates!$J:$J,MATCH(I122,StageGates!$O:$O,0)),"")</f>
        <v/>
      </c>
      <c r="F122" s="7">
        <f>IFERROR(INDEX(StageGates!$G:$G,MATCH(I122,StageGates!$O:$O,0)),"")</f>
        <v/>
      </c>
      <c r="G122" s="7">
        <f>IFERROR(INDEX(StageGates!$H:$H,MATCH(I122,StageGates!$O:$O,0)),"")</f>
        <v/>
      </c>
      <c r="H122" s="7" t="inlineStr">
        <is>
          <t>StageGate</t>
        </is>
      </c>
      <c r="I122" s="7">
        <f>A122&amp;"|"&amp;B122</f>
        <v/>
      </c>
    </row>
    <row r="123" ht="15" customHeight="1" s="5">
      <c r="A123" s="7" t="inlineStr">
        <is>
          <t>PRJ016</t>
        </is>
      </c>
      <c r="B123" s="7" t="inlineStr">
        <is>
          <t>Business Case / Seed Funding</t>
        </is>
      </c>
      <c r="C123" s="8">
        <f>IFERROR(INDEX(StageGates!$I:$I,MATCH(I123,StageGates!$O:$O,0)),"")</f>
        <v/>
      </c>
      <c r="D123" s="8">
        <f>IFERROR(INDEX(StageGates!$J:$J,MATCH(I123,StageGates!$O:$O,0)),"")</f>
        <v/>
      </c>
      <c r="E123" s="8">
        <f>IFERROR(INDEX(StageGates!$J:$J,MATCH(I123,StageGates!$O:$O,0)),"")</f>
        <v/>
      </c>
      <c r="F123" s="7">
        <f>IFERROR(INDEX(StageGates!$G:$G,MATCH(I123,StageGates!$O:$O,0)),"")</f>
        <v/>
      </c>
      <c r="G123" s="7">
        <f>IFERROR(INDEX(StageGates!$H:$H,MATCH(I123,StageGates!$O:$O,0)),"")</f>
        <v/>
      </c>
      <c r="H123" s="7" t="inlineStr">
        <is>
          <t>StageGate</t>
        </is>
      </c>
      <c r="I123" s="7">
        <f>A123&amp;"|"&amp;B123</f>
        <v/>
      </c>
    </row>
    <row r="124" ht="15" customHeight="1" s="5">
      <c r="A124" s="7" t="inlineStr">
        <is>
          <t>PRJ016</t>
        </is>
      </c>
      <c r="B124" s="7" t="inlineStr">
        <is>
          <t>Design</t>
        </is>
      </c>
      <c r="C124" s="8">
        <f>IFERROR(INDEX(StageGates!$I:$I,MATCH(I124,StageGates!$O:$O,0)),"")</f>
        <v/>
      </c>
      <c r="D124" s="8">
        <f>IFERROR(INDEX(StageGates!$J:$J,MATCH(I124,StageGates!$O:$O,0)),"")</f>
        <v/>
      </c>
      <c r="E124" s="8">
        <f>IFERROR(INDEX(StageGates!$J:$J,MATCH(I124,StageGates!$O:$O,0)),"")</f>
        <v/>
      </c>
      <c r="F124" s="7">
        <f>IFERROR(INDEX(StageGates!$G:$G,MATCH(I124,StageGates!$O:$O,0)),"")</f>
        <v/>
      </c>
      <c r="G124" s="7">
        <f>IFERROR(INDEX(StageGates!$H:$H,MATCH(I124,StageGates!$O:$O,0)),"")</f>
        <v/>
      </c>
      <c r="H124" s="7" t="inlineStr">
        <is>
          <t>StageGate</t>
        </is>
      </c>
      <c r="I124" s="7">
        <f>A124&amp;"|"&amp;B124</f>
        <v/>
      </c>
    </row>
    <row r="125" ht="15" customHeight="1" s="5">
      <c r="A125" s="7" t="inlineStr">
        <is>
          <t>PRJ016</t>
        </is>
      </c>
      <c r="B125" s="7" t="inlineStr">
        <is>
          <t>Business Case / Full Funding</t>
        </is>
      </c>
      <c r="C125" s="8">
        <f>IFERROR(INDEX(StageGates!$I:$I,MATCH(I125,StageGates!$O:$O,0)),"")</f>
        <v/>
      </c>
      <c r="D125" s="8">
        <f>IFERROR(INDEX(StageGates!$J:$J,MATCH(I125,StageGates!$O:$O,0)),"")</f>
        <v/>
      </c>
      <c r="E125" s="8">
        <f>IFERROR(INDEX(StageGates!$J:$J,MATCH(I125,StageGates!$O:$O,0)),"")</f>
        <v/>
      </c>
      <c r="F125" s="7">
        <f>IFERROR(INDEX(StageGates!$G:$G,MATCH(I125,StageGates!$O:$O,0)),"")</f>
        <v/>
      </c>
      <c r="G125" s="7">
        <f>IFERROR(INDEX(StageGates!$H:$H,MATCH(I125,StageGates!$O:$O,0)),"")</f>
        <v/>
      </c>
      <c r="H125" s="7" t="inlineStr">
        <is>
          <t>StageGate</t>
        </is>
      </c>
      <c r="I125" s="7">
        <f>A125&amp;"|"&amp;B125</f>
        <v/>
      </c>
    </row>
    <row r="126" ht="15" customHeight="1" s="5">
      <c r="A126" s="7" t="inlineStr">
        <is>
          <t>PRJ016</t>
        </is>
      </c>
      <c r="B126" s="7" t="inlineStr">
        <is>
          <t>Build</t>
        </is>
      </c>
      <c r="C126" s="8">
        <f>IFERROR(INDEX(StageGates!$I:$I,MATCH(I126,StageGates!$O:$O,0)),"")</f>
        <v/>
      </c>
      <c r="D126" s="8">
        <f>IFERROR(INDEX(StageGates!$J:$J,MATCH(I126,StageGates!$O:$O,0)),"")</f>
        <v/>
      </c>
      <c r="E126" s="8">
        <f>IFERROR(INDEX(StageGates!$J:$J,MATCH(I126,StageGates!$O:$O,0)),"")</f>
        <v/>
      </c>
      <c r="F126" s="7">
        <f>IFERROR(INDEX(StageGates!$G:$G,MATCH(I126,StageGates!$O:$O,0)),"")</f>
        <v/>
      </c>
      <c r="G126" s="7">
        <f>IFERROR(INDEX(StageGates!$H:$H,MATCH(I126,StageGates!$O:$O,0)),"")</f>
        <v/>
      </c>
      <c r="H126" s="7" t="inlineStr">
        <is>
          <t>StageGate</t>
        </is>
      </c>
      <c r="I126" s="7">
        <f>A126&amp;"|"&amp;B126</f>
        <v/>
      </c>
    </row>
    <row r="127" ht="15" customHeight="1" s="5">
      <c r="A127" s="7" t="inlineStr">
        <is>
          <t>PRJ016</t>
        </is>
      </c>
      <c r="B127" s="7" t="inlineStr">
        <is>
          <t>Testing</t>
        </is>
      </c>
      <c r="C127" s="8">
        <f>IFERROR(INDEX(StageGates!$I:$I,MATCH(I127,StageGates!$O:$O,0)),"")</f>
        <v/>
      </c>
      <c r="D127" s="8">
        <f>IFERROR(INDEX(StageGates!$J:$J,MATCH(I127,StageGates!$O:$O,0)),"")</f>
        <v/>
      </c>
      <c r="E127" s="7">
        <f>IFERROR(INDEX(StageGates!$J:$J,MATCH(I127,StageGates!$O:$O,0)),"")</f>
        <v/>
      </c>
      <c r="F127" s="7">
        <f>IFERROR(INDEX(StageGates!$G:$G,MATCH(I127,StageGates!$O:$O,0)),"")</f>
        <v/>
      </c>
      <c r="G127" s="7">
        <f>IFERROR(INDEX(StageGates!$H:$H,MATCH(I127,StageGates!$O:$O,0)),"")</f>
        <v/>
      </c>
      <c r="H127" s="7" t="inlineStr">
        <is>
          <t>StageGate</t>
        </is>
      </c>
      <c r="I127" s="7">
        <f>A127&amp;"|"&amp;B127</f>
        <v/>
      </c>
    </row>
    <row r="128" ht="15" customHeight="1" s="5">
      <c r="A128" s="7" t="inlineStr">
        <is>
          <t>PRJ016</t>
        </is>
      </c>
      <c r="B128" s="7" t="inlineStr">
        <is>
          <t>Deployment</t>
        </is>
      </c>
      <c r="C128" s="8">
        <f>IFERROR(INDEX(StageGates!$I:$I,MATCH(I128,StageGates!$O:$O,0)),"")</f>
        <v/>
      </c>
      <c r="D128" s="8">
        <f>IFERROR(INDEX(StageGates!$J:$J,MATCH(I128,StageGates!$O:$O,0)),"")</f>
        <v/>
      </c>
      <c r="E128" s="7">
        <f>IFERROR(INDEX(StageGates!$J:$J,MATCH(I128,StageGates!$O:$O,0)),"")</f>
        <v/>
      </c>
      <c r="F128" s="7">
        <f>IFERROR(INDEX(StageGates!$G:$G,MATCH(I128,StageGates!$O:$O,0)),"")</f>
        <v/>
      </c>
      <c r="G128" s="7">
        <f>IFERROR(INDEX(StageGates!$H:$H,MATCH(I128,StageGates!$O:$O,0)),"")</f>
        <v/>
      </c>
      <c r="H128" s="7" t="inlineStr">
        <is>
          <t>StageGate</t>
        </is>
      </c>
      <c r="I128" s="7">
        <f>A128&amp;"|"&amp;B128</f>
        <v/>
      </c>
    </row>
    <row r="129" ht="15" customHeight="1" s="5">
      <c r="A129" s="7" t="inlineStr">
        <is>
          <t>PRJ016</t>
        </is>
      </c>
      <c r="B129" s="7" t="inlineStr">
        <is>
          <t>Handover</t>
        </is>
      </c>
      <c r="C129" s="8">
        <f>IFERROR(INDEX(StageGates!$I:$I,MATCH(I129,StageGates!$O:$O,0)),"")</f>
        <v/>
      </c>
      <c r="D129" s="8">
        <f>IFERROR(INDEX(StageGates!$J:$J,MATCH(I129,StageGates!$O:$O,0)),"")</f>
        <v/>
      </c>
      <c r="E129" s="7">
        <f>IFERROR(INDEX(StageGates!$J:$J,MATCH(I129,StageGates!$O:$O,0)),"")</f>
        <v/>
      </c>
      <c r="F129" s="7">
        <f>IFERROR(INDEX(StageGates!$G:$G,MATCH(I129,StageGates!$O:$O,0)),"")</f>
        <v/>
      </c>
      <c r="G129" s="7">
        <f>IFERROR(INDEX(StageGates!$H:$H,MATCH(I129,StageGates!$O:$O,0)),"")</f>
        <v/>
      </c>
      <c r="H129" s="7" t="inlineStr">
        <is>
          <t>StageGate</t>
        </is>
      </c>
      <c r="I129" s="7">
        <f>A129&amp;"|"&amp;B129</f>
        <v/>
      </c>
    </row>
    <row r="130" ht="15" customHeight="1" s="5">
      <c r="A130" s="7" t="inlineStr">
        <is>
          <t>PRJ017</t>
        </is>
      </c>
      <c r="B130" s="7" t="inlineStr">
        <is>
          <t>Discovery</t>
        </is>
      </c>
      <c r="C130" s="8">
        <f>IFERROR(INDEX(StageGates!$I:$I,MATCH(I130,StageGates!$O:$O,0)),"")</f>
        <v/>
      </c>
      <c r="D130" s="8">
        <f>IFERROR(INDEX(StageGates!$J:$J,MATCH(I130,StageGates!$O:$O,0)),"")</f>
        <v/>
      </c>
      <c r="E130" s="8">
        <f>IFERROR(INDEX(StageGates!$J:$J,MATCH(I130,StageGates!$O:$O,0)),"")</f>
        <v/>
      </c>
      <c r="F130" s="7">
        <f>IFERROR(INDEX(StageGates!$G:$G,MATCH(I130,StageGates!$O:$O,0)),"")</f>
        <v/>
      </c>
      <c r="G130" s="7">
        <f>IFERROR(INDEX(StageGates!$H:$H,MATCH(I130,StageGates!$O:$O,0)),"")</f>
        <v/>
      </c>
      <c r="H130" s="7" t="inlineStr">
        <is>
          <t>StageGate</t>
        </is>
      </c>
      <c r="I130" s="7">
        <f>A130&amp;"|"&amp;B130</f>
        <v/>
      </c>
    </row>
    <row r="131" ht="15" customHeight="1" s="5">
      <c r="A131" s="7" t="inlineStr">
        <is>
          <t>PRJ017</t>
        </is>
      </c>
      <c r="B131" s="7" t="inlineStr">
        <is>
          <t>Business Case / Seed Funding</t>
        </is>
      </c>
      <c r="C131" s="8">
        <f>IFERROR(INDEX(StageGates!$I:$I,MATCH(I131,StageGates!$O:$O,0)),"")</f>
        <v/>
      </c>
      <c r="D131" s="8">
        <f>IFERROR(INDEX(StageGates!$J:$J,MATCH(I131,StageGates!$O:$O,0)),"")</f>
        <v/>
      </c>
      <c r="E131" s="8">
        <f>IFERROR(INDEX(StageGates!$J:$J,MATCH(I131,StageGates!$O:$O,0)),"")</f>
        <v/>
      </c>
      <c r="F131" s="7">
        <f>IFERROR(INDEX(StageGates!$G:$G,MATCH(I131,StageGates!$O:$O,0)),"")</f>
        <v/>
      </c>
      <c r="G131" s="7">
        <f>IFERROR(INDEX(StageGates!$H:$H,MATCH(I131,StageGates!$O:$O,0)),"")</f>
        <v/>
      </c>
      <c r="H131" s="7" t="inlineStr">
        <is>
          <t>StageGate</t>
        </is>
      </c>
      <c r="I131" s="7">
        <f>A131&amp;"|"&amp;B131</f>
        <v/>
      </c>
    </row>
    <row r="132" ht="15" customHeight="1" s="5">
      <c r="A132" s="7" t="inlineStr">
        <is>
          <t>PRJ017</t>
        </is>
      </c>
      <c r="B132" s="7" t="inlineStr">
        <is>
          <t>Design</t>
        </is>
      </c>
      <c r="C132" s="8">
        <f>IFERROR(INDEX(StageGates!$I:$I,MATCH(I132,StageGates!$O:$O,0)),"")</f>
        <v/>
      </c>
      <c r="D132" s="8">
        <f>IFERROR(INDEX(StageGates!$J:$J,MATCH(I132,StageGates!$O:$O,0)),"")</f>
        <v/>
      </c>
      <c r="E132" s="8">
        <f>IFERROR(INDEX(StageGates!$J:$J,MATCH(I132,StageGates!$O:$O,0)),"")</f>
        <v/>
      </c>
      <c r="F132" s="7">
        <f>IFERROR(INDEX(StageGates!$G:$G,MATCH(I132,StageGates!$O:$O,0)),"")</f>
        <v/>
      </c>
      <c r="G132" s="7">
        <f>IFERROR(INDEX(StageGates!$H:$H,MATCH(I132,StageGates!$O:$O,0)),"")</f>
        <v/>
      </c>
      <c r="H132" s="7" t="inlineStr">
        <is>
          <t>StageGate</t>
        </is>
      </c>
      <c r="I132" s="7">
        <f>A132&amp;"|"&amp;B132</f>
        <v/>
      </c>
    </row>
    <row r="133" ht="15" customHeight="1" s="5">
      <c r="A133" s="7" t="inlineStr">
        <is>
          <t>PRJ017</t>
        </is>
      </c>
      <c r="B133" s="7" t="inlineStr">
        <is>
          <t>Business Case / Full Funding</t>
        </is>
      </c>
      <c r="C133" s="8">
        <f>IFERROR(INDEX(StageGates!$I:$I,MATCH(I133,StageGates!$O:$O,0)),"")</f>
        <v/>
      </c>
      <c r="D133" s="8">
        <f>IFERROR(INDEX(StageGates!$J:$J,MATCH(I133,StageGates!$O:$O,0)),"")</f>
        <v/>
      </c>
      <c r="E133" s="7">
        <f>IFERROR(INDEX(StageGates!$J:$J,MATCH(I133,StageGates!$O:$O,0)),"")</f>
        <v/>
      </c>
      <c r="F133" s="7">
        <f>IFERROR(INDEX(StageGates!$G:$G,MATCH(I133,StageGates!$O:$O,0)),"")</f>
        <v/>
      </c>
      <c r="G133" s="7">
        <f>IFERROR(INDEX(StageGates!$H:$H,MATCH(I133,StageGates!$O:$O,0)),"")</f>
        <v/>
      </c>
      <c r="H133" s="7" t="inlineStr">
        <is>
          <t>StageGate</t>
        </is>
      </c>
      <c r="I133" s="7">
        <f>A133&amp;"|"&amp;B133</f>
        <v/>
      </c>
    </row>
    <row r="134" ht="15" customHeight="1" s="5">
      <c r="A134" s="7" t="inlineStr">
        <is>
          <t>PRJ017</t>
        </is>
      </c>
      <c r="B134" s="7" t="inlineStr">
        <is>
          <t>Build</t>
        </is>
      </c>
      <c r="C134" s="8">
        <f>IFERROR(INDEX(StageGates!$I:$I,MATCH(I134,StageGates!$O:$O,0)),"")</f>
        <v/>
      </c>
      <c r="D134" s="8">
        <f>IFERROR(INDEX(StageGates!$J:$J,MATCH(I134,StageGates!$O:$O,0)),"")</f>
        <v/>
      </c>
      <c r="E134" s="7">
        <f>IFERROR(INDEX(StageGates!$J:$J,MATCH(I134,StageGates!$O:$O,0)),"")</f>
        <v/>
      </c>
      <c r="F134" s="7">
        <f>IFERROR(INDEX(StageGates!$G:$G,MATCH(I134,StageGates!$O:$O,0)),"")</f>
        <v/>
      </c>
      <c r="G134" s="7">
        <f>IFERROR(INDEX(StageGates!$H:$H,MATCH(I134,StageGates!$O:$O,0)),"")</f>
        <v/>
      </c>
      <c r="H134" s="7" t="inlineStr">
        <is>
          <t>StageGate</t>
        </is>
      </c>
      <c r="I134" s="7">
        <f>A134&amp;"|"&amp;B134</f>
        <v/>
      </c>
    </row>
    <row r="135" ht="15" customHeight="1" s="5">
      <c r="A135" s="7" t="inlineStr">
        <is>
          <t>PRJ017</t>
        </is>
      </c>
      <c r="B135" s="7" t="inlineStr">
        <is>
          <t>Testing</t>
        </is>
      </c>
      <c r="C135" s="8">
        <f>IFERROR(INDEX(StageGates!$I:$I,MATCH(I135,StageGates!$O:$O,0)),"")</f>
        <v/>
      </c>
      <c r="D135" s="8">
        <f>IFERROR(INDEX(StageGates!$J:$J,MATCH(I135,StageGates!$O:$O,0)),"")</f>
        <v/>
      </c>
      <c r="E135" s="7">
        <f>IFERROR(INDEX(StageGates!$J:$J,MATCH(I135,StageGates!$O:$O,0)),"")</f>
        <v/>
      </c>
      <c r="F135" s="7">
        <f>IFERROR(INDEX(StageGates!$G:$G,MATCH(I135,StageGates!$O:$O,0)),"")</f>
        <v/>
      </c>
      <c r="G135" s="7">
        <f>IFERROR(INDEX(StageGates!$H:$H,MATCH(I135,StageGates!$O:$O,0)),"")</f>
        <v/>
      </c>
      <c r="H135" s="7" t="inlineStr">
        <is>
          <t>StageGate</t>
        </is>
      </c>
      <c r="I135" s="7">
        <f>A135&amp;"|"&amp;B135</f>
        <v/>
      </c>
    </row>
    <row r="136" ht="15" customHeight="1" s="5">
      <c r="A136" s="7" t="inlineStr">
        <is>
          <t>PRJ017</t>
        </is>
      </c>
      <c r="B136" s="7" t="inlineStr">
        <is>
          <t>Deployment</t>
        </is>
      </c>
      <c r="C136" s="8">
        <f>IFERROR(INDEX(StageGates!$I:$I,MATCH(I136,StageGates!$O:$O,0)),"")</f>
        <v/>
      </c>
      <c r="D136" s="8">
        <f>IFERROR(INDEX(StageGates!$J:$J,MATCH(I136,StageGates!$O:$O,0)),"")</f>
        <v/>
      </c>
      <c r="E136" s="7">
        <f>IFERROR(INDEX(StageGates!$J:$J,MATCH(I136,StageGates!$O:$O,0)),"")</f>
        <v/>
      </c>
      <c r="F136" s="7">
        <f>IFERROR(INDEX(StageGates!$G:$G,MATCH(I136,StageGates!$O:$O,0)),"")</f>
        <v/>
      </c>
      <c r="G136" s="7">
        <f>IFERROR(INDEX(StageGates!$H:$H,MATCH(I136,StageGates!$O:$O,0)),"")</f>
        <v/>
      </c>
      <c r="H136" s="7" t="inlineStr">
        <is>
          <t>StageGate</t>
        </is>
      </c>
      <c r="I136" s="7">
        <f>A136&amp;"|"&amp;B136</f>
        <v/>
      </c>
    </row>
    <row r="137" ht="15" customHeight="1" s="5">
      <c r="A137" s="7" t="inlineStr">
        <is>
          <t>PRJ017</t>
        </is>
      </c>
      <c r="B137" s="7" t="inlineStr">
        <is>
          <t>Handover</t>
        </is>
      </c>
      <c r="C137" s="8">
        <f>IFERROR(INDEX(StageGates!$I:$I,MATCH(I137,StageGates!$O:$O,0)),"")</f>
        <v/>
      </c>
      <c r="D137" s="8">
        <f>IFERROR(INDEX(StageGates!$J:$J,MATCH(I137,StageGates!$O:$O,0)),"")</f>
        <v/>
      </c>
      <c r="E137" s="7">
        <f>IFERROR(INDEX(StageGates!$J:$J,MATCH(I137,StageGates!$O:$O,0)),"")</f>
        <v/>
      </c>
      <c r="F137" s="7">
        <f>IFERROR(INDEX(StageGates!$G:$G,MATCH(I137,StageGates!$O:$O,0)),"")</f>
        <v/>
      </c>
      <c r="G137" s="7">
        <f>IFERROR(INDEX(StageGates!$H:$H,MATCH(I137,StageGates!$O:$O,0)),"")</f>
        <v/>
      </c>
      <c r="H137" s="7" t="inlineStr">
        <is>
          <t>StageGate</t>
        </is>
      </c>
      <c r="I137" s="7">
        <f>A137&amp;"|"&amp;B137</f>
        <v/>
      </c>
    </row>
    <row r="138" ht="15" customHeight="1" s="5">
      <c r="A138" s="7" t="inlineStr">
        <is>
          <t>PRJ018</t>
        </is>
      </c>
      <c r="B138" s="7" t="inlineStr">
        <is>
          <t>Discovery</t>
        </is>
      </c>
      <c r="C138" s="8">
        <f>IFERROR(INDEX(StageGates!$I:$I,MATCH(I138,StageGates!$O:$O,0)),"")</f>
        <v/>
      </c>
      <c r="D138" s="8">
        <f>IFERROR(INDEX(StageGates!$J:$J,MATCH(I138,StageGates!$O:$O,0)),"")</f>
        <v/>
      </c>
      <c r="E138" s="8">
        <f>IFERROR(INDEX(StageGates!$J:$J,MATCH(I138,StageGates!$O:$O,0)),"")</f>
        <v/>
      </c>
      <c r="F138" s="7">
        <f>IFERROR(INDEX(StageGates!$G:$G,MATCH(I138,StageGates!$O:$O,0)),"")</f>
        <v/>
      </c>
      <c r="G138" s="7">
        <f>IFERROR(INDEX(StageGates!$H:$H,MATCH(I138,StageGates!$O:$O,0)),"")</f>
        <v/>
      </c>
      <c r="H138" s="7" t="inlineStr">
        <is>
          <t>StageGate</t>
        </is>
      </c>
      <c r="I138" s="7">
        <f>A138&amp;"|"&amp;B138</f>
        <v/>
      </c>
    </row>
    <row r="139" ht="15" customHeight="1" s="5">
      <c r="A139" s="7" t="inlineStr">
        <is>
          <t>PRJ018</t>
        </is>
      </c>
      <c r="B139" s="7" t="inlineStr">
        <is>
          <t>Business Case / Seed Funding</t>
        </is>
      </c>
      <c r="C139" s="8">
        <f>IFERROR(INDEX(StageGates!$I:$I,MATCH(I139,StageGates!$O:$O,0)),"")</f>
        <v/>
      </c>
      <c r="D139" s="8">
        <f>IFERROR(INDEX(StageGates!$J:$J,MATCH(I139,StageGates!$O:$O,0)),"")</f>
        <v/>
      </c>
      <c r="E139" s="8">
        <f>IFERROR(INDEX(StageGates!$J:$J,MATCH(I139,StageGates!$O:$O,0)),"")</f>
        <v/>
      </c>
      <c r="F139" s="7">
        <f>IFERROR(INDEX(StageGates!$G:$G,MATCH(I139,StageGates!$O:$O,0)),"")</f>
        <v/>
      </c>
      <c r="G139" s="7">
        <f>IFERROR(INDEX(StageGates!$H:$H,MATCH(I139,StageGates!$O:$O,0)),"")</f>
        <v/>
      </c>
      <c r="H139" s="7" t="inlineStr">
        <is>
          <t>StageGate</t>
        </is>
      </c>
      <c r="I139" s="7">
        <f>A139&amp;"|"&amp;B139</f>
        <v/>
      </c>
    </row>
    <row r="140" ht="15" customHeight="1" s="5">
      <c r="A140" s="7" t="inlineStr">
        <is>
          <t>PRJ018</t>
        </is>
      </c>
      <c r="B140" s="7" t="inlineStr">
        <is>
          <t>Design</t>
        </is>
      </c>
      <c r="C140" s="8">
        <f>IFERROR(INDEX(StageGates!$I:$I,MATCH(I140,StageGates!$O:$O,0)),"")</f>
        <v/>
      </c>
      <c r="D140" s="8">
        <f>IFERROR(INDEX(StageGates!$J:$J,MATCH(I140,StageGates!$O:$O,0)),"")</f>
        <v/>
      </c>
      <c r="E140" s="8">
        <f>IFERROR(INDEX(StageGates!$J:$J,MATCH(I140,StageGates!$O:$O,0)),"")</f>
        <v/>
      </c>
      <c r="F140" s="7">
        <f>IFERROR(INDEX(StageGates!$G:$G,MATCH(I140,StageGates!$O:$O,0)),"")</f>
        <v/>
      </c>
      <c r="G140" s="7">
        <f>IFERROR(INDEX(StageGates!$H:$H,MATCH(I140,StageGates!$O:$O,0)),"")</f>
        <v/>
      </c>
      <c r="H140" s="7" t="inlineStr">
        <is>
          <t>StageGate</t>
        </is>
      </c>
      <c r="I140" s="7">
        <f>A140&amp;"|"&amp;B140</f>
        <v/>
      </c>
    </row>
    <row r="141" ht="15" customHeight="1" s="5">
      <c r="A141" s="7" t="inlineStr">
        <is>
          <t>PRJ018</t>
        </is>
      </c>
      <c r="B141" s="7" t="inlineStr">
        <is>
          <t>Business Case / Full Funding</t>
        </is>
      </c>
      <c r="C141" s="8">
        <f>IFERROR(INDEX(StageGates!$I:$I,MATCH(I141,StageGates!$O:$O,0)),"")</f>
        <v/>
      </c>
      <c r="D141" s="8">
        <f>IFERROR(INDEX(StageGates!$J:$J,MATCH(I141,StageGates!$O:$O,0)),"")</f>
        <v/>
      </c>
      <c r="E141" s="8">
        <f>IFERROR(INDEX(StageGates!$J:$J,MATCH(I141,StageGates!$O:$O,0)),"")</f>
        <v/>
      </c>
      <c r="F141" s="7">
        <f>IFERROR(INDEX(StageGates!$G:$G,MATCH(I141,StageGates!$O:$O,0)),"")</f>
        <v/>
      </c>
      <c r="G141" s="7">
        <f>IFERROR(INDEX(StageGates!$H:$H,MATCH(I141,StageGates!$O:$O,0)),"")</f>
        <v/>
      </c>
      <c r="H141" s="7" t="inlineStr">
        <is>
          <t>StageGate</t>
        </is>
      </c>
      <c r="I141" s="7">
        <f>A141&amp;"|"&amp;B141</f>
        <v/>
      </c>
    </row>
    <row r="142" ht="15" customHeight="1" s="5">
      <c r="A142" s="7" t="inlineStr">
        <is>
          <t>PRJ018</t>
        </is>
      </c>
      <c r="B142" s="7" t="inlineStr">
        <is>
          <t>Build</t>
        </is>
      </c>
      <c r="C142" s="8">
        <f>IFERROR(INDEX(StageGates!$I:$I,MATCH(I142,StageGates!$O:$O,0)),"")</f>
        <v/>
      </c>
      <c r="D142" s="8">
        <f>IFERROR(INDEX(StageGates!$J:$J,MATCH(I142,StageGates!$O:$O,0)),"")</f>
        <v/>
      </c>
      <c r="E142" s="8">
        <f>IFERROR(INDEX(StageGates!$J:$J,MATCH(I142,StageGates!$O:$O,0)),"")</f>
        <v/>
      </c>
      <c r="F142" s="7">
        <f>IFERROR(INDEX(StageGates!$G:$G,MATCH(I142,StageGates!$O:$O,0)),"")</f>
        <v/>
      </c>
      <c r="G142" s="7">
        <f>IFERROR(INDEX(StageGates!$H:$H,MATCH(I142,StageGates!$O:$O,0)),"")</f>
        <v/>
      </c>
      <c r="H142" s="7" t="inlineStr">
        <is>
          <t>StageGate</t>
        </is>
      </c>
      <c r="I142" s="7">
        <f>A142&amp;"|"&amp;B142</f>
        <v/>
      </c>
    </row>
    <row r="143" ht="15" customHeight="1" s="5">
      <c r="A143" s="7" t="inlineStr">
        <is>
          <t>PRJ018</t>
        </is>
      </c>
      <c r="B143" s="7" t="inlineStr">
        <is>
          <t>Testing</t>
        </is>
      </c>
      <c r="C143" s="8">
        <f>IFERROR(INDEX(StageGates!$I:$I,MATCH(I143,StageGates!$O:$O,0)),"")</f>
        <v/>
      </c>
      <c r="D143" s="8">
        <f>IFERROR(INDEX(StageGates!$J:$J,MATCH(I143,StageGates!$O:$O,0)),"")</f>
        <v/>
      </c>
      <c r="E143" s="8">
        <f>IFERROR(INDEX(StageGates!$J:$J,MATCH(I143,StageGates!$O:$O,0)),"")</f>
        <v/>
      </c>
      <c r="F143" s="7">
        <f>IFERROR(INDEX(StageGates!$G:$G,MATCH(I143,StageGates!$O:$O,0)),"")</f>
        <v/>
      </c>
      <c r="G143" s="7">
        <f>IFERROR(INDEX(StageGates!$H:$H,MATCH(I143,StageGates!$O:$O,0)),"")</f>
        <v/>
      </c>
      <c r="H143" s="7" t="inlineStr">
        <is>
          <t>StageGate</t>
        </is>
      </c>
      <c r="I143" s="7">
        <f>A143&amp;"|"&amp;B143</f>
        <v/>
      </c>
    </row>
    <row r="144" ht="15" customHeight="1" s="5">
      <c r="A144" s="7" t="inlineStr">
        <is>
          <t>PRJ018</t>
        </is>
      </c>
      <c r="B144" s="7" t="inlineStr">
        <is>
          <t>Deployment</t>
        </is>
      </c>
      <c r="C144" s="8">
        <f>IFERROR(INDEX(StageGates!$I:$I,MATCH(I144,StageGates!$O:$O,0)),"")</f>
        <v/>
      </c>
      <c r="D144" s="8">
        <f>IFERROR(INDEX(StageGates!$J:$J,MATCH(I144,StageGates!$O:$O,0)),"")</f>
        <v/>
      </c>
      <c r="E144" s="7">
        <f>IFERROR(INDEX(StageGates!$J:$J,MATCH(I144,StageGates!$O:$O,0)),"")</f>
        <v/>
      </c>
      <c r="F144" s="7">
        <f>IFERROR(INDEX(StageGates!$G:$G,MATCH(I144,StageGates!$O:$O,0)),"")</f>
        <v/>
      </c>
      <c r="G144" s="7">
        <f>IFERROR(INDEX(StageGates!$H:$H,MATCH(I144,StageGates!$O:$O,0)),"")</f>
        <v/>
      </c>
      <c r="H144" s="7" t="inlineStr">
        <is>
          <t>StageGate</t>
        </is>
      </c>
      <c r="I144" s="7">
        <f>A144&amp;"|"&amp;B144</f>
        <v/>
      </c>
    </row>
    <row r="145" ht="15" customHeight="1" s="5">
      <c r="A145" s="7" t="inlineStr">
        <is>
          <t>PRJ018</t>
        </is>
      </c>
      <c r="B145" s="7" t="inlineStr">
        <is>
          <t>Handover</t>
        </is>
      </c>
      <c r="C145" s="8">
        <f>IFERROR(INDEX(StageGates!$I:$I,MATCH(I145,StageGates!$O:$O,0)),"")</f>
        <v/>
      </c>
      <c r="D145" s="8">
        <f>IFERROR(INDEX(StageGates!$J:$J,MATCH(I145,StageGates!$O:$O,0)),"")</f>
        <v/>
      </c>
      <c r="E145" s="7">
        <f>IFERROR(INDEX(StageGates!$J:$J,MATCH(I145,StageGates!$O:$O,0)),"")</f>
        <v/>
      </c>
      <c r="F145" s="7">
        <f>IFERROR(INDEX(StageGates!$G:$G,MATCH(I145,StageGates!$O:$O,0)),"")</f>
        <v/>
      </c>
      <c r="G145" s="7">
        <f>IFERROR(INDEX(StageGates!$H:$H,MATCH(I145,StageGates!$O:$O,0)),"")</f>
        <v/>
      </c>
      <c r="H145" s="7" t="inlineStr">
        <is>
          <t>StageGate</t>
        </is>
      </c>
      <c r="I145" s="7">
        <f>A145&amp;"|"&amp;B145</f>
        <v/>
      </c>
    </row>
    <row r="146" ht="15" customHeight="1" s="5">
      <c r="A146" s="7" t="inlineStr">
        <is>
          <t>PRJ019</t>
        </is>
      </c>
      <c r="B146" s="7" t="inlineStr">
        <is>
          <t>Discovery</t>
        </is>
      </c>
      <c r="C146" s="8">
        <f>IFERROR(INDEX(StageGates!$I:$I,MATCH(I146,StageGates!$O:$O,0)),"")</f>
        <v/>
      </c>
      <c r="D146" s="8">
        <f>IFERROR(INDEX(StageGates!$J:$J,MATCH(I146,StageGates!$O:$O,0)),"")</f>
        <v/>
      </c>
      <c r="E146" s="8">
        <f>IFERROR(INDEX(StageGates!$J:$J,MATCH(I146,StageGates!$O:$O,0)),"")</f>
        <v/>
      </c>
      <c r="F146" s="7">
        <f>IFERROR(INDEX(StageGates!$G:$G,MATCH(I146,StageGates!$O:$O,0)),"")</f>
        <v/>
      </c>
      <c r="G146" s="7">
        <f>IFERROR(INDEX(StageGates!$H:$H,MATCH(I146,StageGates!$O:$O,0)),"")</f>
        <v/>
      </c>
      <c r="H146" s="7" t="inlineStr">
        <is>
          <t>StageGate</t>
        </is>
      </c>
      <c r="I146" s="7">
        <f>A146&amp;"|"&amp;B146</f>
        <v/>
      </c>
    </row>
    <row r="147" ht="15" customHeight="1" s="5">
      <c r="A147" s="7" t="inlineStr">
        <is>
          <t>PRJ019</t>
        </is>
      </c>
      <c r="B147" s="7" t="inlineStr">
        <is>
          <t>Business Case / Seed Funding</t>
        </is>
      </c>
      <c r="C147" s="8">
        <f>IFERROR(INDEX(StageGates!$I:$I,MATCH(I147,StageGates!$O:$O,0)),"")</f>
        <v/>
      </c>
      <c r="D147" s="8">
        <f>IFERROR(INDEX(StageGates!$J:$J,MATCH(I147,StageGates!$O:$O,0)),"")</f>
        <v/>
      </c>
      <c r="E147" s="8">
        <f>IFERROR(INDEX(StageGates!$J:$J,MATCH(I147,StageGates!$O:$O,0)),"")</f>
        <v/>
      </c>
      <c r="F147" s="7">
        <f>IFERROR(INDEX(StageGates!$G:$G,MATCH(I147,StageGates!$O:$O,0)),"")</f>
        <v/>
      </c>
      <c r="G147" s="7">
        <f>IFERROR(INDEX(StageGates!$H:$H,MATCH(I147,StageGates!$O:$O,0)),"")</f>
        <v/>
      </c>
      <c r="H147" s="7" t="inlineStr">
        <is>
          <t>StageGate</t>
        </is>
      </c>
      <c r="I147" s="7">
        <f>A147&amp;"|"&amp;B147</f>
        <v/>
      </c>
    </row>
    <row r="148" ht="15" customHeight="1" s="5">
      <c r="A148" s="7" t="inlineStr">
        <is>
          <t>PRJ019</t>
        </is>
      </c>
      <c r="B148" s="7" t="inlineStr">
        <is>
          <t>Design</t>
        </is>
      </c>
      <c r="C148" s="8">
        <f>IFERROR(INDEX(StageGates!$I:$I,MATCH(I148,StageGates!$O:$O,0)),"")</f>
        <v/>
      </c>
      <c r="D148" s="8">
        <f>IFERROR(INDEX(StageGates!$J:$J,MATCH(I148,StageGates!$O:$O,0)),"")</f>
        <v/>
      </c>
      <c r="E148" s="8">
        <f>IFERROR(INDEX(StageGates!$J:$J,MATCH(I148,StageGates!$O:$O,0)),"")</f>
        <v/>
      </c>
      <c r="F148" s="7">
        <f>IFERROR(INDEX(StageGates!$G:$G,MATCH(I148,StageGates!$O:$O,0)),"")</f>
        <v/>
      </c>
      <c r="G148" s="7">
        <f>IFERROR(INDEX(StageGates!$H:$H,MATCH(I148,StageGates!$O:$O,0)),"")</f>
        <v/>
      </c>
      <c r="H148" s="7" t="inlineStr">
        <is>
          <t>StageGate</t>
        </is>
      </c>
      <c r="I148" s="7">
        <f>A148&amp;"|"&amp;B148</f>
        <v/>
      </c>
    </row>
    <row r="149" ht="15" customHeight="1" s="5">
      <c r="A149" s="7" t="inlineStr">
        <is>
          <t>PRJ019</t>
        </is>
      </c>
      <c r="B149" s="7" t="inlineStr">
        <is>
          <t>Business Case / Full Funding</t>
        </is>
      </c>
      <c r="C149" s="8">
        <f>IFERROR(INDEX(StageGates!$I:$I,MATCH(I149,StageGates!$O:$O,0)),"")</f>
        <v/>
      </c>
      <c r="D149" s="8">
        <f>IFERROR(INDEX(StageGates!$J:$J,MATCH(I149,StageGates!$O:$O,0)),"")</f>
        <v/>
      </c>
      <c r="E149" s="8">
        <f>IFERROR(INDEX(StageGates!$J:$J,MATCH(I149,StageGates!$O:$O,0)),"")</f>
        <v/>
      </c>
      <c r="F149" s="7">
        <f>IFERROR(INDEX(StageGates!$G:$G,MATCH(I149,StageGates!$O:$O,0)),"")</f>
        <v/>
      </c>
      <c r="G149" s="7">
        <f>IFERROR(INDEX(StageGates!$H:$H,MATCH(I149,StageGates!$O:$O,0)),"")</f>
        <v/>
      </c>
      <c r="H149" s="7" t="inlineStr">
        <is>
          <t>StageGate</t>
        </is>
      </c>
      <c r="I149" s="7">
        <f>A149&amp;"|"&amp;B149</f>
        <v/>
      </c>
    </row>
    <row r="150" ht="15" customHeight="1" s="5">
      <c r="A150" s="7" t="inlineStr">
        <is>
          <t>PRJ019</t>
        </is>
      </c>
      <c r="B150" s="7" t="inlineStr">
        <is>
          <t>Build</t>
        </is>
      </c>
      <c r="C150" s="8">
        <f>IFERROR(INDEX(StageGates!$I:$I,MATCH(I150,StageGates!$O:$O,0)),"")</f>
        <v/>
      </c>
      <c r="D150" s="8">
        <f>IFERROR(INDEX(StageGates!$J:$J,MATCH(I150,StageGates!$O:$O,0)),"")</f>
        <v/>
      </c>
      <c r="E150" s="8">
        <f>IFERROR(INDEX(StageGates!$J:$J,MATCH(I150,StageGates!$O:$O,0)),"")</f>
        <v/>
      </c>
      <c r="F150" s="7">
        <f>IFERROR(INDEX(StageGates!$G:$G,MATCH(I150,StageGates!$O:$O,0)),"")</f>
        <v/>
      </c>
      <c r="G150" s="7">
        <f>IFERROR(INDEX(StageGates!$H:$H,MATCH(I150,StageGates!$O:$O,0)),"")</f>
        <v/>
      </c>
      <c r="H150" s="7" t="inlineStr">
        <is>
          <t>StageGate</t>
        </is>
      </c>
      <c r="I150" s="7">
        <f>A150&amp;"|"&amp;B150</f>
        <v/>
      </c>
    </row>
    <row r="151" ht="15" customHeight="1" s="5">
      <c r="A151" s="7" t="inlineStr">
        <is>
          <t>PRJ019</t>
        </is>
      </c>
      <c r="B151" s="7" t="inlineStr">
        <is>
          <t>Testing</t>
        </is>
      </c>
      <c r="C151" s="8">
        <f>IFERROR(INDEX(StageGates!$I:$I,MATCH(I151,StageGates!$O:$O,0)),"")</f>
        <v/>
      </c>
      <c r="D151" s="8">
        <f>IFERROR(INDEX(StageGates!$J:$J,MATCH(I151,StageGates!$O:$O,0)),"")</f>
        <v/>
      </c>
      <c r="E151" s="8">
        <f>IFERROR(INDEX(StageGates!$J:$J,MATCH(I151,StageGates!$O:$O,0)),"")</f>
        <v/>
      </c>
      <c r="F151" s="7">
        <f>IFERROR(INDEX(StageGates!$G:$G,MATCH(I151,StageGates!$O:$O,0)),"")</f>
        <v/>
      </c>
      <c r="G151" s="7">
        <f>IFERROR(INDEX(StageGates!$H:$H,MATCH(I151,StageGates!$O:$O,0)),"")</f>
        <v/>
      </c>
      <c r="H151" s="7" t="inlineStr">
        <is>
          <t>StageGate</t>
        </is>
      </c>
      <c r="I151" s="7">
        <f>A151&amp;"|"&amp;B151</f>
        <v/>
      </c>
    </row>
    <row r="152" ht="15" customHeight="1" s="5">
      <c r="A152" s="7" t="inlineStr">
        <is>
          <t>PRJ019</t>
        </is>
      </c>
      <c r="B152" s="7" t="inlineStr">
        <is>
          <t>Deployment</t>
        </is>
      </c>
      <c r="C152" s="8">
        <f>IFERROR(INDEX(StageGates!$I:$I,MATCH(I152,StageGates!$O:$O,0)),"")</f>
        <v/>
      </c>
      <c r="D152" s="8">
        <f>IFERROR(INDEX(StageGates!$J:$J,MATCH(I152,StageGates!$O:$O,0)),"")</f>
        <v/>
      </c>
      <c r="E152" s="7">
        <f>IFERROR(INDEX(StageGates!$J:$J,MATCH(I152,StageGates!$O:$O,0)),"")</f>
        <v/>
      </c>
      <c r="F152" s="7">
        <f>IFERROR(INDEX(StageGates!$G:$G,MATCH(I152,StageGates!$O:$O,0)),"")</f>
        <v/>
      </c>
      <c r="G152" s="7">
        <f>IFERROR(INDEX(StageGates!$H:$H,MATCH(I152,StageGates!$O:$O,0)),"")</f>
        <v/>
      </c>
      <c r="H152" s="7" t="inlineStr">
        <is>
          <t>StageGate</t>
        </is>
      </c>
      <c r="I152" s="7">
        <f>A152&amp;"|"&amp;B152</f>
        <v/>
      </c>
    </row>
    <row r="153" ht="15" customHeight="1" s="5">
      <c r="A153" s="7" t="inlineStr">
        <is>
          <t>PRJ019</t>
        </is>
      </c>
      <c r="B153" s="7" t="inlineStr">
        <is>
          <t>Handover</t>
        </is>
      </c>
      <c r="C153" s="8">
        <f>IFERROR(INDEX(StageGates!$I:$I,MATCH(I153,StageGates!$O:$O,0)),"")</f>
        <v/>
      </c>
      <c r="D153" s="8">
        <f>IFERROR(INDEX(StageGates!$J:$J,MATCH(I153,StageGates!$O:$O,0)),"")</f>
        <v/>
      </c>
      <c r="E153" s="7">
        <f>IFERROR(INDEX(StageGates!$J:$J,MATCH(I153,StageGates!$O:$O,0)),"")</f>
        <v/>
      </c>
      <c r="F153" s="7">
        <f>IFERROR(INDEX(StageGates!$G:$G,MATCH(I153,StageGates!$O:$O,0)),"")</f>
        <v/>
      </c>
      <c r="G153" s="7">
        <f>IFERROR(INDEX(StageGates!$H:$H,MATCH(I153,StageGates!$O:$O,0)),"")</f>
        <v/>
      </c>
      <c r="H153" s="7" t="inlineStr">
        <is>
          <t>StageGate</t>
        </is>
      </c>
      <c r="I153" s="7">
        <f>A153&amp;"|"&amp;B153</f>
        <v/>
      </c>
    </row>
    <row r="154" ht="15" customHeight="1" s="5">
      <c r="A154" s="7" t="inlineStr">
        <is>
          <t>PRJ020</t>
        </is>
      </c>
      <c r="B154" s="7" t="inlineStr">
        <is>
          <t>Discovery</t>
        </is>
      </c>
      <c r="C154" s="8">
        <f>IFERROR(INDEX(StageGates!$I:$I,MATCH(I154,StageGates!$O:$O,0)),"")</f>
        <v/>
      </c>
      <c r="D154" s="8">
        <f>IFERROR(INDEX(StageGates!$J:$J,MATCH(I154,StageGates!$O:$O,0)),"")</f>
        <v/>
      </c>
      <c r="E154" s="8">
        <f>IFERROR(INDEX(StageGates!$J:$J,MATCH(I154,StageGates!$O:$O,0)),"")</f>
        <v/>
      </c>
      <c r="F154" s="7">
        <f>IFERROR(INDEX(StageGates!$G:$G,MATCH(I154,StageGates!$O:$O,0)),"")</f>
        <v/>
      </c>
      <c r="G154" s="7">
        <f>IFERROR(INDEX(StageGates!$H:$H,MATCH(I154,StageGates!$O:$O,0)),"")</f>
        <v/>
      </c>
      <c r="H154" s="7" t="inlineStr">
        <is>
          <t>StageGate</t>
        </is>
      </c>
      <c r="I154" s="7">
        <f>A154&amp;"|"&amp;B154</f>
        <v/>
      </c>
    </row>
    <row r="155" ht="15" customHeight="1" s="5">
      <c r="A155" s="7" t="inlineStr">
        <is>
          <t>PRJ020</t>
        </is>
      </c>
      <c r="B155" s="7" t="inlineStr">
        <is>
          <t>Business Case / Seed Funding</t>
        </is>
      </c>
      <c r="C155" s="8">
        <f>IFERROR(INDEX(StageGates!$I:$I,MATCH(I155,StageGates!$O:$O,0)),"")</f>
        <v/>
      </c>
      <c r="D155" s="8">
        <f>IFERROR(INDEX(StageGates!$J:$J,MATCH(I155,StageGates!$O:$O,0)),"")</f>
        <v/>
      </c>
      <c r="E155" s="8">
        <f>IFERROR(INDEX(StageGates!$J:$J,MATCH(I155,StageGates!$O:$O,0)),"")</f>
        <v/>
      </c>
      <c r="F155" s="7">
        <f>IFERROR(INDEX(StageGates!$G:$G,MATCH(I155,StageGates!$O:$O,0)),"")</f>
        <v/>
      </c>
      <c r="G155" s="7">
        <f>IFERROR(INDEX(StageGates!$H:$H,MATCH(I155,StageGates!$O:$O,0)),"")</f>
        <v/>
      </c>
      <c r="H155" s="7" t="inlineStr">
        <is>
          <t>StageGate</t>
        </is>
      </c>
      <c r="I155" s="7">
        <f>A155&amp;"|"&amp;B155</f>
        <v/>
      </c>
    </row>
    <row r="156" ht="15" customHeight="1" s="5">
      <c r="A156" s="7" t="inlineStr">
        <is>
          <t>PRJ020</t>
        </is>
      </c>
      <c r="B156" s="7" t="inlineStr">
        <is>
          <t>Design</t>
        </is>
      </c>
      <c r="C156" s="8">
        <f>IFERROR(INDEX(StageGates!$I:$I,MATCH(I156,StageGates!$O:$O,0)),"")</f>
        <v/>
      </c>
      <c r="D156" s="8">
        <f>IFERROR(INDEX(StageGates!$J:$J,MATCH(I156,StageGates!$O:$O,0)),"")</f>
        <v/>
      </c>
      <c r="E156" s="8">
        <f>IFERROR(INDEX(StageGates!$J:$J,MATCH(I156,StageGates!$O:$O,0)),"")</f>
        <v/>
      </c>
      <c r="F156" s="7">
        <f>IFERROR(INDEX(StageGates!$G:$G,MATCH(I156,StageGates!$O:$O,0)),"")</f>
        <v/>
      </c>
      <c r="G156" s="7">
        <f>IFERROR(INDEX(StageGates!$H:$H,MATCH(I156,StageGates!$O:$O,0)),"")</f>
        <v/>
      </c>
      <c r="H156" s="7" t="inlineStr">
        <is>
          <t>StageGate</t>
        </is>
      </c>
      <c r="I156" s="7">
        <f>A156&amp;"|"&amp;B156</f>
        <v/>
      </c>
    </row>
    <row r="157" ht="15" customHeight="1" s="5">
      <c r="A157" s="7" t="inlineStr">
        <is>
          <t>PRJ020</t>
        </is>
      </c>
      <c r="B157" s="7" t="inlineStr">
        <is>
          <t>Business Case / Full Funding</t>
        </is>
      </c>
      <c r="C157" s="8">
        <f>IFERROR(INDEX(StageGates!$I:$I,MATCH(I157,StageGates!$O:$O,0)),"")</f>
        <v/>
      </c>
      <c r="D157" s="8">
        <f>IFERROR(INDEX(StageGates!$J:$J,MATCH(I157,StageGates!$O:$O,0)),"")</f>
        <v/>
      </c>
      <c r="E157" s="8">
        <f>IFERROR(INDEX(StageGates!$J:$J,MATCH(I157,StageGates!$O:$O,0)),"")</f>
        <v/>
      </c>
      <c r="F157" s="7">
        <f>IFERROR(INDEX(StageGates!$G:$G,MATCH(I157,StageGates!$O:$O,0)),"")</f>
        <v/>
      </c>
      <c r="G157" s="7">
        <f>IFERROR(INDEX(StageGates!$H:$H,MATCH(I157,StageGates!$O:$O,0)),"")</f>
        <v/>
      </c>
      <c r="H157" s="7" t="inlineStr">
        <is>
          <t>StageGate</t>
        </is>
      </c>
      <c r="I157" s="7">
        <f>A157&amp;"|"&amp;B157</f>
        <v/>
      </c>
    </row>
    <row r="158" ht="15" customHeight="1" s="5">
      <c r="A158" s="7" t="inlineStr">
        <is>
          <t>PRJ020</t>
        </is>
      </c>
      <c r="B158" s="7" t="inlineStr">
        <is>
          <t>Build</t>
        </is>
      </c>
      <c r="C158" s="8">
        <f>IFERROR(INDEX(StageGates!$I:$I,MATCH(I158,StageGates!$O:$O,0)),"")</f>
        <v/>
      </c>
      <c r="D158" s="8">
        <f>IFERROR(INDEX(StageGates!$J:$J,MATCH(I158,StageGates!$O:$O,0)),"")</f>
        <v/>
      </c>
      <c r="E158" s="8">
        <f>IFERROR(INDEX(StageGates!$J:$J,MATCH(I158,StageGates!$O:$O,0)),"")</f>
        <v/>
      </c>
      <c r="F158" s="7">
        <f>IFERROR(INDEX(StageGates!$G:$G,MATCH(I158,StageGates!$O:$O,0)),"")</f>
        <v/>
      </c>
      <c r="G158" s="7">
        <f>IFERROR(INDEX(StageGates!$H:$H,MATCH(I158,StageGates!$O:$O,0)),"")</f>
        <v/>
      </c>
      <c r="H158" s="7" t="inlineStr">
        <is>
          <t>StageGate</t>
        </is>
      </c>
      <c r="I158" s="7">
        <f>A158&amp;"|"&amp;B158</f>
        <v/>
      </c>
    </row>
    <row r="159" ht="15" customHeight="1" s="5">
      <c r="A159" s="7" t="inlineStr">
        <is>
          <t>PRJ020</t>
        </is>
      </c>
      <c r="B159" s="7" t="inlineStr">
        <is>
          <t>Testing</t>
        </is>
      </c>
      <c r="C159" s="8">
        <f>IFERROR(INDEX(StageGates!$I:$I,MATCH(I159,StageGates!$O:$O,0)),"")</f>
        <v/>
      </c>
      <c r="D159" s="8">
        <f>IFERROR(INDEX(StageGates!$J:$J,MATCH(I159,StageGates!$O:$O,0)),"")</f>
        <v/>
      </c>
      <c r="E159" s="8">
        <f>IFERROR(INDEX(StageGates!$J:$J,MATCH(I159,StageGates!$O:$O,0)),"")</f>
        <v/>
      </c>
      <c r="F159" s="7">
        <f>IFERROR(INDEX(StageGates!$G:$G,MATCH(I159,StageGates!$O:$O,0)),"")</f>
        <v/>
      </c>
      <c r="G159" s="7">
        <f>IFERROR(INDEX(StageGates!$H:$H,MATCH(I159,StageGates!$O:$O,0)),"")</f>
        <v/>
      </c>
      <c r="H159" s="7" t="inlineStr">
        <is>
          <t>StageGate</t>
        </is>
      </c>
      <c r="I159" s="7">
        <f>A159&amp;"|"&amp;B159</f>
        <v/>
      </c>
    </row>
    <row r="160" ht="15" customHeight="1" s="5">
      <c r="A160" s="7" t="inlineStr">
        <is>
          <t>PRJ020</t>
        </is>
      </c>
      <c r="B160" s="7" t="inlineStr">
        <is>
          <t>Deployment</t>
        </is>
      </c>
      <c r="C160" s="8">
        <f>IFERROR(INDEX(StageGates!$I:$I,MATCH(I160,StageGates!$O:$O,0)),"")</f>
        <v/>
      </c>
      <c r="D160" s="8">
        <f>IFERROR(INDEX(StageGates!$J:$J,MATCH(I160,StageGates!$O:$O,0)),"")</f>
        <v/>
      </c>
      <c r="E160" s="7">
        <f>IFERROR(INDEX(StageGates!$J:$J,MATCH(I160,StageGates!$O:$O,0)),"")</f>
        <v/>
      </c>
      <c r="F160" s="7">
        <f>IFERROR(INDEX(StageGates!$G:$G,MATCH(I160,StageGates!$O:$O,0)),"")</f>
        <v/>
      </c>
      <c r="G160" s="7">
        <f>IFERROR(INDEX(StageGates!$H:$H,MATCH(I160,StageGates!$O:$O,0)),"")</f>
        <v/>
      </c>
      <c r="H160" s="7" t="inlineStr">
        <is>
          <t>StageGate</t>
        </is>
      </c>
      <c r="I160" s="7">
        <f>A160&amp;"|"&amp;B160</f>
        <v/>
      </c>
    </row>
    <row r="161" ht="15" customHeight="1" s="5">
      <c r="A161" s="7" t="inlineStr">
        <is>
          <t>PRJ020</t>
        </is>
      </c>
      <c r="B161" s="7" t="inlineStr">
        <is>
          <t>Handover</t>
        </is>
      </c>
      <c r="C161" s="8">
        <f>IFERROR(INDEX(StageGates!$I:$I,MATCH(I161,StageGates!$O:$O,0)),"")</f>
        <v/>
      </c>
      <c r="D161" s="8">
        <f>IFERROR(INDEX(StageGates!$J:$J,MATCH(I161,StageGates!$O:$O,0)),"")</f>
        <v/>
      </c>
      <c r="E161" s="7">
        <f>IFERROR(INDEX(StageGates!$J:$J,MATCH(I161,StageGates!$O:$O,0)),"")</f>
        <v/>
      </c>
      <c r="F161" s="7">
        <f>IFERROR(INDEX(StageGates!$G:$G,MATCH(I161,StageGates!$O:$O,0)),"")</f>
        <v/>
      </c>
      <c r="G161" s="7">
        <f>IFERROR(INDEX(StageGates!$H:$H,MATCH(I161,StageGates!$O:$O,0)),"")</f>
        <v/>
      </c>
      <c r="H161" s="7" t="inlineStr">
        <is>
          <t>StageGate</t>
        </is>
      </c>
      <c r="I161" s="7">
        <f>A161&amp;"|"&amp;B161</f>
        <v/>
      </c>
    </row>
    <row r="162" ht="15" customHeight="1" s="5">
      <c r="A162" s="7" t="inlineStr">
        <is>
          <t>PRJ021</t>
        </is>
      </c>
      <c r="B162" s="7" t="inlineStr">
        <is>
          <t>Discovery</t>
        </is>
      </c>
      <c r="C162" s="8">
        <f>IFERROR(INDEX(StageGates!$I:$I,MATCH(I162,StageGates!$O:$O,0)),"")</f>
        <v/>
      </c>
      <c r="D162" s="8">
        <f>IFERROR(INDEX(StageGates!$J:$J,MATCH(I162,StageGates!$O:$O,0)),"")</f>
        <v/>
      </c>
      <c r="E162" s="8">
        <f>IFERROR(INDEX(StageGates!$J:$J,MATCH(I162,StageGates!$O:$O,0)),"")</f>
        <v/>
      </c>
      <c r="F162" s="7">
        <f>IFERROR(INDEX(StageGates!$G:$G,MATCH(I162,StageGates!$O:$O,0)),"")</f>
        <v/>
      </c>
      <c r="G162" s="7">
        <f>IFERROR(INDEX(StageGates!$H:$H,MATCH(I162,StageGates!$O:$O,0)),"")</f>
        <v/>
      </c>
      <c r="H162" s="7" t="inlineStr">
        <is>
          <t>StageGate</t>
        </is>
      </c>
      <c r="I162" s="7">
        <f>A162&amp;"|"&amp;B162</f>
        <v/>
      </c>
    </row>
    <row r="163" ht="15" customHeight="1" s="5">
      <c r="A163" s="7" t="inlineStr">
        <is>
          <t>PRJ021</t>
        </is>
      </c>
      <c r="B163" s="7" t="inlineStr">
        <is>
          <t>Business Case / Seed Funding</t>
        </is>
      </c>
      <c r="C163" s="8">
        <f>IFERROR(INDEX(StageGates!$I:$I,MATCH(I163,StageGates!$O:$O,0)),"")</f>
        <v/>
      </c>
      <c r="D163" s="8">
        <f>IFERROR(INDEX(StageGates!$J:$J,MATCH(I163,StageGates!$O:$O,0)),"")</f>
        <v/>
      </c>
      <c r="E163" s="8">
        <f>IFERROR(INDEX(StageGates!$J:$J,MATCH(I163,StageGates!$O:$O,0)),"")</f>
        <v/>
      </c>
      <c r="F163" s="7">
        <f>IFERROR(INDEX(StageGates!$G:$G,MATCH(I163,StageGates!$O:$O,0)),"")</f>
        <v/>
      </c>
      <c r="G163" s="7">
        <f>IFERROR(INDEX(StageGates!$H:$H,MATCH(I163,StageGates!$O:$O,0)),"")</f>
        <v/>
      </c>
      <c r="H163" s="7" t="inlineStr">
        <is>
          <t>StageGate</t>
        </is>
      </c>
      <c r="I163" s="7">
        <f>A163&amp;"|"&amp;B163</f>
        <v/>
      </c>
    </row>
    <row r="164" ht="15" customHeight="1" s="5">
      <c r="A164" s="7" t="inlineStr">
        <is>
          <t>PRJ021</t>
        </is>
      </c>
      <c r="B164" s="7" t="inlineStr">
        <is>
          <t>Design</t>
        </is>
      </c>
      <c r="C164" s="8">
        <f>IFERROR(INDEX(StageGates!$I:$I,MATCH(I164,StageGates!$O:$O,0)),"")</f>
        <v/>
      </c>
      <c r="D164" s="8">
        <f>IFERROR(INDEX(StageGates!$J:$J,MATCH(I164,StageGates!$O:$O,0)),"")</f>
        <v/>
      </c>
      <c r="E164" s="8">
        <f>IFERROR(INDEX(StageGates!$J:$J,MATCH(I164,StageGates!$O:$O,0)),"")</f>
        <v/>
      </c>
      <c r="F164" s="7">
        <f>IFERROR(INDEX(StageGates!$G:$G,MATCH(I164,StageGates!$O:$O,0)),"")</f>
        <v/>
      </c>
      <c r="G164" s="7">
        <f>IFERROR(INDEX(StageGates!$H:$H,MATCH(I164,StageGates!$O:$O,0)),"")</f>
        <v/>
      </c>
      <c r="H164" s="7" t="inlineStr">
        <is>
          <t>StageGate</t>
        </is>
      </c>
      <c r="I164" s="7">
        <f>A164&amp;"|"&amp;B164</f>
        <v/>
      </c>
    </row>
    <row r="165" ht="15" customHeight="1" s="5">
      <c r="A165" s="7" t="inlineStr">
        <is>
          <t>PRJ021</t>
        </is>
      </c>
      <c r="B165" s="7" t="inlineStr">
        <is>
          <t>Business Case / Full Funding</t>
        </is>
      </c>
      <c r="C165" s="8">
        <f>IFERROR(INDEX(StageGates!$I:$I,MATCH(I165,StageGates!$O:$O,0)),"")</f>
        <v/>
      </c>
      <c r="D165" s="8">
        <f>IFERROR(INDEX(StageGates!$J:$J,MATCH(I165,StageGates!$O:$O,0)),"")</f>
        <v/>
      </c>
      <c r="E165" s="8">
        <f>IFERROR(INDEX(StageGates!$J:$J,MATCH(I165,StageGates!$O:$O,0)),"")</f>
        <v/>
      </c>
      <c r="F165" s="7">
        <f>IFERROR(INDEX(StageGates!$G:$G,MATCH(I165,StageGates!$O:$O,0)),"")</f>
        <v/>
      </c>
      <c r="G165" s="7">
        <f>IFERROR(INDEX(StageGates!$H:$H,MATCH(I165,StageGates!$O:$O,0)),"")</f>
        <v/>
      </c>
      <c r="H165" s="7" t="inlineStr">
        <is>
          <t>StageGate</t>
        </is>
      </c>
      <c r="I165" s="7">
        <f>A165&amp;"|"&amp;B165</f>
        <v/>
      </c>
    </row>
    <row r="166" ht="15" customHeight="1" s="5">
      <c r="A166" s="7" t="inlineStr">
        <is>
          <t>PRJ021</t>
        </is>
      </c>
      <c r="B166" s="7" t="inlineStr">
        <is>
          <t>Build</t>
        </is>
      </c>
      <c r="C166" s="8">
        <f>IFERROR(INDEX(StageGates!$I:$I,MATCH(I166,StageGates!$O:$O,0)),"")</f>
        <v/>
      </c>
      <c r="D166" s="8">
        <f>IFERROR(INDEX(StageGates!$J:$J,MATCH(I166,StageGates!$O:$O,0)),"")</f>
        <v/>
      </c>
      <c r="E166" s="8">
        <f>IFERROR(INDEX(StageGates!$J:$J,MATCH(I166,StageGates!$O:$O,0)),"")</f>
        <v/>
      </c>
      <c r="F166" s="7">
        <f>IFERROR(INDEX(StageGates!$G:$G,MATCH(I166,StageGates!$O:$O,0)),"")</f>
        <v/>
      </c>
      <c r="G166" s="7">
        <f>IFERROR(INDEX(StageGates!$H:$H,MATCH(I166,StageGates!$O:$O,0)),"")</f>
        <v/>
      </c>
      <c r="H166" s="7" t="inlineStr">
        <is>
          <t>StageGate</t>
        </is>
      </c>
      <c r="I166" s="7">
        <f>A166&amp;"|"&amp;B166</f>
        <v/>
      </c>
    </row>
    <row r="167" ht="15" customHeight="1" s="5">
      <c r="A167" s="7" t="inlineStr">
        <is>
          <t>PRJ021</t>
        </is>
      </c>
      <c r="B167" s="7" t="inlineStr">
        <is>
          <t>Testing</t>
        </is>
      </c>
      <c r="C167" s="8">
        <f>IFERROR(INDEX(StageGates!$I:$I,MATCH(I167,StageGates!$O:$O,0)),"")</f>
        <v/>
      </c>
      <c r="D167" s="8">
        <f>IFERROR(INDEX(StageGates!$J:$J,MATCH(I167,StageGates!$O:$O,0)),"")</f>
        <v/>
      </c>
      <c r="E167" s="8">
        <f>IFERROR(INDEX(StageGates!$J:$J,MATCH(I167,StageGates!$O:$O,0)),"")</f>
        <v/>
      </c>
      <c r="F167" s="7">
        <f>IFERROR(INDEX(StageGates!$G:$G,MATCH(I167,StageGates!$O:$O,0)),"")</f>
        <v/>
      </c>
      <c r="G167" s="7">
        <f>IFERROR(INDEX(StageGates!$H:$H,MATCH(I167,StageGates!$O:$O,0)),"")</f>
        <v/>
      </c>
      <c r="H167" s="7" t="inlineStr">
        <is>
          <t>StageGate</t>
        </is>
      </c>
      <c r="I167" s="7">
        <f>A167&amp;"|"&amp;B167</f>
        <v/>
      </c>
    </row>
    <row r="168" ht="15" customHeight="1" s="5">
      <c r="A168" s="7" t="inlineStr">
        <is>
          <t>PRJ021</t>
        </is>
      </c>
      <c r="B168" s="7" t="inlineStr">
        <is>
          <t>Deployment</t>
        </is>
      </c>
      <c r="C168" s="8">
        <f>IFERROR(INDEX(StageGates!$I:$I,MATCH(I168,StageGates!$O:$O,0)),"")</f>
        <v/>
      </c>
      <c r="D168" s="8">
        <f>IFERROR(INDEX(StageGates!$J:$J,MATCH(I168,StageGates!$O:$O,0)),"")</f>
        <v/>
      </c>
      <c r="E168" s="7">
        <f>IFERROR(INDEX(StageGates!$J:$J,MATCH(I168,StageGates!$O:$O,0)),"")</f>
        <v/>
      </c>
      <c r="F168" s="7">
        <f>IFERROR(INDEX(StageGates!$G:$G,MATCH(I168,StageGates!$O:$O,0)),"")</f>
        <v/>
      </c>
      <c r="G168" s="7">
        <f>IFERROR(INDEX(StageGates!$H:$H,MATCH(I168,StageGates!$O:$O,0)),"")</f>
        <v/>
      </c>
      <c r="H168" s="7" t="inlineStr">
        <is>
          <t>StageGate</t>
        </is>
      </c>
      <c r="I168" s="7">
        <f>A168&amp;"|"&amp;B168</f>
        <v/>
      </c>
    </row>
    <row r="169" ht="15" customHeight="1" s="5">
      <c r="A169" s="7" t="inlineStr">
        <is>
          <t>PRJ021</t>
        </is>
      </c>
      <c r="B169" s="7" t="inlineStr">
        <is>
          <t>Handover</t>
        </is>
      </c>
      <c r="C169" s="8">
        <f>IFERROR(INDEX(StageGates!$I:$I,MATCH(I169,StageGates!$O:$O,0)),"")</f>
        <v/>
      </c>
      <c r="D169" s="8">
        <f>IFERROR(INDEX(StageGates!$J:$J,MATCH(I169,StageGates!$O:$O,0)),"")</f>
        <v/>
      </c>
      <c r="E169" s="7">
        <f>IFERROR(INDEX(StageGates!$J:$J,MATCH(I169,StageGates!$O:$O,0)),"")</f>
        <v/>
      </c>
      <c r="F169" s="7">
        <f>IFERROR(INDEX(StageGates!$G:$G,MATCH(I169,StageGates!$O:$O,0)),"")</f>
        <v/>
      </c>
      <c r="G169" s="7">
        <f>IFERROR(INDEX(StageGates!$H:$H,MATCH(I169,StageGates!$O:$O,0)),"")</f>
        <v/>
      </c>
      <c r="H169" s="7" t="inlineStr">
        <is>
          <t>StageGate</t>
        </is>
      </c>
      <c r="I169" s="7">
        <f>A169&amp;"|"&amp;B169</f>
        <v/>
      </c>
    </row>
    <row r="170" ht="15" customHeight="1" s="5">
      <c r="A170" s="7" t="inlineStr">
        <is>
          <t>PRJ022</t>
        </is>
      </c>
      <c r="B170" s="7" t="inlineStr">
        <is>
          <t>Discovery</t>
        </is>
      </c>
      <c r="C170" s="8">
        <f>IFERROR(INDEX(StageGates!$I:$I,MATCH(I170,StageGates!$O:$O,0)),"")</f>
        <v/>
      </c>
      <c r="D170" s="8">
        <f>IFERROR(INDEX(StageGates!$J:$J,MATCH(I170,StageGates!$O:$O,0)),"")</f>
        <v/>
      </c>
      <c r="E170" s="8">
        <f>IFERROR(INDEX(StageGates!$J:$J,MATCH(I170,StageGates!$O:$O,0)),"")</f>
        <v/>
      </c>
      <c r="F170" s="7">
        <f>IFERROR(INDEX(StageGates!$G:$G,MATCH(I170,StageGates!$O:$O,0)),"")</f>
        <v/>
      </c>
      <c r="G170" s="7">
        <f>IFERROR(INDEX(StageGates!$H:$H,MATCH(I170,StageGates!$O:$O,0)),"")</f>
        <v/>
      </c>
      <c r="H170" s="7" t="inlineStr">
        <is>
          <t>StageGate</t>
        </is>
      </c>
      <c r="I170" s="7">
        <f>A170&amp;"|"&amp;B170</f>
        <v/>
      </c>
    </row>
    <row r="171" ht="15" customHeight="1" s="5">
      <c r="A171" s="7" t="inlineStr">
        <is>
          <t>PRJ022</t>
        </is>
      </c>
      <c r="B171" s="7" t="inlineStr">
        <is>
          <t>Business Case / Seed Funding</t>
        </is>
      </c>
      <c r="C171" s="8">
        <f>IFERROR(INDEX(StageGates!$I:$I,MATCH(I171,StageGates!$O:$O,0)),"")</f>
        <v/>
      </c>
      <c r="D171" s="8">
        <f>IFERROR(INDEX(StageGates!$J:$J,MATCH(I171,StageGates!$O:$O,0)),"")</f>
        <v/>
      </c>
      <c r="E171" s="8">
        <f>IFERROR(INDEX(StageGates!$J:$J,MATCH(I171,StageGates!$O:$O,0)),"")</f>
        <v/>
      </c>
      <c r="F171" s="7">
        <f>IFERROR(INDEX(StageGates!$G:$G,MATCH(I171,StageGates!$O:$O,0)),"")</f>
        <v/>
      </c>
      <c r="G171" s="7">
        <f>IFERROR(INDEX(StageGates!$H:$H,MATCH(I171,StageGates!$O:$O,0)),"")</f>
        <v/>
      </c>
      <c r="H171" s="7" t="inlineStr">
        <is>
          <t>StageGate</t>
        </is>
      </c>
      <c r="I171" s="7">
        <f>A171&amp;"|"&amp;B171</f>
        <v/>
      </c>
    </row>
    <row r="172" ht="15" customHeight="1" s="5">
      <c r="A172" s="7" t="inlineStr">
        <is>
          <t>PRJ022</t>
        </is>
      </c>
      <c r="B172" s="7" t="inlineStr">
        <is>
          <t>Design</t>
        </is>
      </c>
      <c r="C172" s="8">
        <f>IFERROR(INDEX(StageGates!$I:$I,MATCH(I172,StageGates!$O:$O,0)),"")</f>
        <v/>
      </c>
      <c r="D172" s="8">
        <f>IFERROR(INDEX(StageGates!$J:$J,MATCH(I172,StageGates!$O:$O,0)),"")</f>
        <v/>
      </c>
      <c r="E172" s="8">
        <f>IFERROR(INDEX(StageGates!$J:$J,MATCH(I172,StageGates!$O:$O,0)),"")</f>
        <v/>
      </c>
      <c r="F172" s="7">
        <f>IFERROR(INDEX(StageGates!$G:$G,MATCH(I172,StageGates!$O:$O,0)),"")</f>
        <v/>
      </c>
      <c r="G172" s="7">
        <f>IFERROR(INDEX(StageGates!$H:$H,MATCH(I172,StageGates!$O:$O,0)),"")</f>
        <v/>
      </c>
      <c r="H172" s="7" t="inlineStr">
        <is>
          <t>StageGate</t>
        </is>
      </c>
      <c r="I172" s="7">
        <f>A172&amp;"|"&amp;B172</f>
        <v/>
      </c>
    </row>
    <row r="173" ht="15" customHeight="1" s="5">
      <c r="A173" s="7" t="inlineStr">
        <is>
          <t>PRJ022</t>
        </is>
      </c>
      <c r="B173" s="7" t="inlineStr">
        <is>
          <t>Business Case / Full Funding</t>
        </is>
      </c>
      <c r="C173" s="8">
        <f>IFERROR(INDEX(StageGates!$I:$I,MATCH(I173,StageGates!$O:$O,0)),"")</f>
        <v/>
      </c>
      <c r="D173" s="8">
        <f>IFERROR(INDEX(StageGates!$J:$J,MATCH(I173,StageGates!$O:$O,0)),"")</f>
        <v/>
      </c>
      <c r="E173" s="8">
        <f>IFERROR(INDEX(StageGates!$J:$J,MATCH(I173,StageGates!$O:$O,0)),"")</f>
        <v/>
      </c>
      <c r="F173" s="7">
        <f>IFERROR(INDEX(StageGates!$G:$G,MATCH(I173,StageGates!$O:$O,0)),"")</f>
        <v/>
      </c>
      <c r="G173" s="7">
        <f>IFERROR(INDEX(StageGates!$H:$H,MATCH(I173,StageGates!$O:$O,0)),"")</f>
        <v/>
      </c>
      <c r="H173" s="7" t="inlineStr">
        <is>
          <t>StageGate</t>
        </is>
      </c>
      <c r="I173" s="7">
        <f>A173&amp;"|"&amp;B173</f>
        <v/>
      </c>
    </row>
    <row r="174" ht="15" customHeight="1" s="5">
      <c r="A174" s="7" t="inlineStr">
        <is>
          <t>PRJ022</t>
        </is>
      </c>
      <c r="B174" s="7" t="inlineStr">
        <is>
          <t>Build</t>
        </is>
      </c>
      <c r="C174" s="8">
        <f>IFERROR(INDEX(StageGates!$I:$I,MATCH(I174,StageGates!$O:$O,0)),"")</f>
        <v/>
      </c>
      <c r="D174" s="8">
        <f>IFERROR(INDEX(StageGates!$J:$J,MATCH(I174,StageGates!$O:$O,0)),"")</f>
        <v/>
      </c>
      <c r="E174" s="8">
        <f>IFERROR(INDEX(StageGates!$J:$J,MATCH(I174,StageGates!$O:$O,0)),"")</f>
        <v/>
      </c>
      <c r="F174" s="7">
        <f>IFERROR(INDEX(StageGates!$G:$G,MATCH(I174,StageGates!$O:$O,0)),"")</f>
        <v/>
      </c>
      <c r="G174" s="7">
        <f>IFERROR(INDEX(StageGates!$H:$H,MATCH(I174,StageGates!$O:$O,0)),"")</f>
        <v/>
      </c>
      <c r="H174" s="7" t="inlineStr">
        <is>
          <t>StageGate</t>
        </is>
      </c>
      <c r="I174" s="7">
        <f>A174&amp;"|"&amp;B174</f>
        <v/>
      </c>
    </row>
    <row r="175" ht="15" customHeight="1" s="5">
      <c r="A175" s="7" t="inlineStr">
        <is>
          <t>PRJ022</t>
        </is>
      </c>
      <c r="B175" s="7" t="inlineStr">
        <is>
          <t>Testing</t>
        </is>
      </c>
      <c r="C175" s="8">
        <f>IFERROR(INDEX(StageGates!$I:$I,MATCH(I175,StageGates!$O:$O,0)),"")</f>
        <v/>
      </c>
      <c r="D175" s="8">
        <f>IFERROR(INDEX(StageGates!$J:$J,MATCH(I175,StageGates!$O:$O,0)),"")</f>
        <v/>
      </c>
      <c r="E175" s="7">
        <f>IFERROR(INDEX(StageGates!$J:$J,MATCH(I175,StageGates!$O:$O,0)),"")</f>
        <v/>
      </c>
      <c r="F175" s="7">
        <f>IFERROR(INDEX(StageGates!$G:$G,MATCH(I175,StageGates!$O:$O,0)),"")</f>
        <v/>
      </c>
      <c r="G175" s="7">
        <f>IFERROR(INDEX(StageGates!$H:$H,MATCH(I175,StageGates!$O:$O,0)),"")</f>
        <v/>
      </c>
      <c r="H175" s="7" t="inlineStr">
        <is>
          <t>StageGate</t>
        </is>
      </c>
      <c r="I175" s="7">
        <f>A175&amp;"|"&amp;B175</f>
        <v/>
      </c>
    </row>
    <row r="176" ht="15" customHeight="1" s="5">
      <c r="A176" s="7" t="inlineStr">
        <is>
          <t>PRJ022</t>
        </is>
      </c>
      <c r="B176" s="7" t="inlineStr">
        <is>
          <t>Deployment</t>
        </is>
      </c>
      <c r="C176" s="8">
        <f>IFERROR(INDEX(StageGates!$I:$I,MATCH(I176,StageGates!$O:$O,0)),"")</f>
        <v/>
      </c>
      <c r="D176" s="8">
        <f>IFERROR(INDEX(StageGates!$J:$J,MATCH(I176,StageGates!$O:$O,0)),"")</f>
        <v/>
      </c>
      <c r="E176" s="7">
        <f>IFERROR(INDEX(StageGates!$J:$J,MATCH(I176,StageGates!$O:$O,0)),"")</f>
        <v/>
      </c>
      <c r="F176" s="7">
        <f>IFERROR(INDEX(StageGates!$G:$G,MATCH(I176,StageGates!$O:$O,0)),"")</f>
        <v/>
      </c>
      <c r="G176" s="7">
        <f>IFERROR(INDEX(StageGates!$H:$H,MATCH(I176,StageGates!$O:$O,0)),"")</f>
        <v/>
      </c>
      <c r="H176" s="7" t="inlineStr">
        <is>
          <t>StageGate</t>
        </is>
      </c>
      <c r="I176" s="7">
        <f>A176&amp;"|"&amp;B176</f>
        <v/>
      </c>
    </row>
    <row r="177" ht="15" customHeight="1" s="5">
      <c r="A177" s="7" t="inlineStr">
        <is>
          <t>PRJ022</t>
        </is>
      </c>
      <c r="B177" s="7" t="inlineStr">
        <is>
          <t>Handover</t>
        </is>
      </c>
      <c r="C177" s="8">
        <f>IFERROR(INDEX(StageGates!$I:$I,MATCH(I177,StageGates!$O:$O,0)),"")</f>
        <v/>
      </c>
      <c r="D177" s="8">
        <f>IFERROR(INDEX(StageGates!$J:$J,MATCH(I177,StageGates!$O:$O,0)),"")</f>
        <v/>
      </c>
      <c r="E177" s="7">
        <f>IFERROR(INDEX(StageGates!$J:$J,MATCH(I177,StageGates!$O:$O,0)),"")</f>
        <v/>
      </c>
      <c r="F177" s="7">
        <f>IFERROR(INDEX(StageGates!$G:$G,MATCH(I177,StageGates!$O:$O,0)),"")</f>
        <v/>
      </c>
      <c r="G177" s="7">
        <f>IFERROR(INDEX(StageGates!$H:$H,MATCH(I177,StageGates!$O:$O,0)),"")</f>
        <v/>
      </c>
      <c r="H177" s="7" t="inlineStr">
        <is>
          <t>StageGate</t>
        </is>
      </c>
      <c r="I177" s="7">
        <f>A177&amp;"|"&amp;B177</f>
        <v/>
      </c>
    </row>
    <row r="178" ht="15" customHeight="1" s="5">
      <c r="A178" s="7" t="inlineStr">
        <is>
          <t>PRJ023</t>
        </is>
      </c>
      <c r="B178" s="7" t="inlineStr">
        <is>
          <t>Discovery</t>
        </is>
      </c>
      <c r="C178" s="8">
        <f>IFERROR(INDEX(StageGates!$I:$I,MATCH(I178,StageGates!$O:$O,0)),"")</f>
        <v/>
      </c>
      <c r="D178" s="8">
        <f>IFERROR(INDEX(StageGates!$J:$J,MATCH(I178,StageGates!$O:$O,0)),"")</f>
        <v/>
      </c>
      <c r="E178" s="8">
        <f>IFERROR(INDEX(StageGates!$J:$J,MATCH(I178,StageGates!$O:$O,0)),"")</f>
        <v/>
      </c>
      <c r="F178" s="7">
        <f>IFERROR(INDEX(StageGates!$G:$G,MATCH(I178,StageGates!$O:$O,0)),"")</f>
        <v/>
      </c>
      <c r="G178" s="7">
        <f>IFERROR(INDEX(StageGates!$H:$H,MATCH(I178,StageGates!$O:$O,0)),"")</f>
        <v/>
      </c>
      <c r="H178" s="7" t="inlineStr">
        <is>
          <t>StageGate</t>
        </is>
      </c>
      <c r="I178" s="7">
        <f>A178&amp;"|"&amp;B178</f>
        <v/>
      </c>
    </row>
    <row r="179" ht="15" customHeight="1" s="5">
      <c r="A179" s="7" t="inlineStr">
        <is>
          <t>PRJ023</t>
        </is>
      </c>
      <c r="B179" s="7" t="inlineStr">
        <is>
          <t>Business Case / Seed Funding</t>
        </is>
      </c>
      <c r="C179" s="8">
        <f>IFERROR(INDEX(StageGates!$I:$I,MATCH(I179,StageGates!$O:$O,0)),"")</f>
        <v/>
      </c>
      <c r="D179" s="8">
        <f>IFERROR(INDEX(StageGates!$J:$J,MATCH(I179,StageGates!$O:$O,0)),"")</f>
        <v/>
      </c>
      <c r="E179" s="8">
        <f>IFERROR(INDEX(StageGates!$J:$J,MATCH(I179,StageGates!$O:$O,0)),"")</f>
        <v/>
      </c>
      <c r="F179" s="7">
        <f>IFERROR(INDEX(StageGates!$G:$G,MATCH(I179,StageGates!$O:$O,0)),"")</f>
        <v/>
      </c>
      <c r="G179" s="7">
        <f>IFERROR(INDEX(StageGates!$H:$H,MATCH(I179,StageGates!$O:$O,0)),"")</f>
        <v/>
      </c>
      <c r="H179" s="7" t="inlineStr">
        <is>
          <t>StageGate</t>
        </is>
      </c>
      <c r="I179" s="7">
        <f>A179&amp;"|"&amp;B179</f>
        <v/>
      </c>
    </row>
    <row r="180" ht="15" customHeight="1" s="5">
      <c r="A180" s="7" t="inlineStr">
        <is>
          <t>PRJ023</t>
        </is>
      </c>
      <c r="B180" s="7" t="inlineStr">
        <is>
          <t>Design</t>
        </is>
      </c>
      <c r="C180" s="8">
        <f>IFERROR(INDEX(StageGates!$I:$I,MATCH(I180,StageGates!$O:$O,0)),"")</f>
        <v/>
      </c>
      <c r="D180" s="8">
        <f>IFERROR(INDEX(StageGates!$J:$J,MATCH(I180,StageGates!$O:$O,0)),"")</f>
        <v/>
      </c>
      <c r="E180" s="8">
        <f>IFERROR(INDEX(StageGates!$J:$J,MATCH(I180,StageGates!$O:$O,0)),"")</f>
        <v/>
      </c>
      <c r="F180" s="7">
        <f>IFERROR(INDEX(StageGates!$G:$G,MATCH(I180,StageGates!$O:$O,0)),"")</f>
        <v/>
      </c>
      <c r="G180" s="7">
        <f>IFERROR(INDEX(StageGates!$H:$H,MATCH(I180,StageGates!$O:$O,0)),"")</f>
        <v/>
      </c>
      <c r="H180" s="7" t="inlineStr">
        <is>
          <t>StageGate</t>
        </is>
      </c>
      <c r="I180" s="7">
        <f>A180&amp;"|"&amp;B180</f>
        <v/>
      </c>
    </row>
    <row r="181" ht="15" customHeight="1" s="5">
      <c r="A181" s="7" t="inlineStr">
        <is>
          <t>PRJ023</t>
        </is>
      </c>
      <c r="B181" s="7" t="inlineStr">
        <is>
          <t>Business Case / Full Funding</t>
        </is>
      </c>
      <c r="C181" s="8">
        <f>IFERROR(INDEX(StageGates!$I:$I,MATCH(I181,StageGates!$O:$O,0)),"")</f>
        <v/>
      </c>
      <c r="D181" s="8">
        <f>IFERROR(INDEX(StageGates!$J:$J,MATCH(I181,StageGates!$O:$O,0)),"")</f>
        <v/>
      </c>
      <c r="E181" s="8">
        <f>IFERROR(INDEX(StageGates!$J:$J,MATCH(I181,StageGates!$O:$O,0)),"")</f>
        <v/>
      </c>
      <c r="F181" s="7">
        <f>IFERROR(INDEX(StageGates!$G:$G,MATCH(I181,StageGates!$O:$O,0)),"")</f>
        <v/>
      </c>
      <c r="G181" s="7">
        <f>IFERROR(INDEX(StageGates!$H:$H,MATCH(I181,StageGates!$O:$O,0)),"")</f>
        <v/>
      </c>
      <c r="H181" s="7" t="inlineStr">
        <is>
          <t>StageGate</t>
        </is>
      </c>
      <c r="I181" s="7">
        <f>A181&amp;"|"&amp;B181</f>
        <v/>
      </c>
    </row>
    <row r="182" ht="15" customHeight="1" s="5">
      <c r="A182" s="7" t="inlineStr">
        <is>
          <t>PRJ023</t>
        </is>
      </c>
      <c r="B182" s="7" t="inlineStr">
        <is>
          <t>Build</t>
        </is>
      </c>
      <c r="C182" s="8">
        <f>IFERROR(INDEX(StageGates!$I:$I,MATCH(I182,StageGates!$O:$O,0)),"")</f>
        <v/>
      </c>
      <c r="D182" s="8">
        <f>IFERROR(INDEX(StageGates!$J:$J,MATCH(I182,StageGates!$O:$O,0)),"")</f>
        <v/>
      </c>
      <c r="E182" s="8">
        <f>IFERROR(INDEX(StageGates!$J:$J,MATCH(I182,StageGates!$O:$O,0)),"")</f>
        <v/>
      </c>
      <c r="F182" s="7">
        <f>IFERROR(INDEX(StageGates!$G:$G,MATCH(I182,StageGates!$O:$O,0)),"")</f>
        <v/>
      </c>
      <c r="G182" s="7">
        <f>IFERROR(INDEX(StageGates!$H:$H,MATCH(I182,StageGates!$O:$O,0)),"")</f>
        <v/>
      </c>
      <c r="H182" s="7" t="inlineStr">
        <is>
          <t>StageGate</t>
        </is>
      </c>
      <c r="I182" s="7">
        <f>A182&amp;"|"&amp;B182</f>
        <v/>
      </c>
    </row>
    <row r="183" ht="15" customHeight="1" s="5">
      <c r="A183" s="7" t="inlineStr">
        <is>
          <t>PRJ023</t>
        </is>
      </c>
      <c r="B183" s="7" t="inlineStr">
        <is>
          <t>Testing</t>
        </is>
      </c>
      <c r="C183" s="8">
        <f>IFERROR(INDEX(StageGates!$I:$I,MATCH(I183,StageGates!$O:$O,0)),"")</f>
        <v/>
      </c>
      <c r="D183" s="8">
        <f>IFERROR(INDEX(StageGates!$J:$J,MATCH(I183,StageGates!$O:$O,0)),"")</f>
        <v/>
      </c>
      <c r="E183" s="8">
        <f>IFERROR(INDEX(StageGates!$J:$J,MATCH(I183,StageGates!$O:$O,0)),"")</f>
        <v/>
      </c>
      <c r="F183" s="7">
        <f>IFERROR(INDEX(StageGates!$G:$G,MATCH(I183,StageGates!$O:$O,0)),"")</f>
        <v/>
      </c>
      <c r="G183" s="7">
        <f>IFERROR(INDEX(StageGates!$H:$H,MATCH(I183,StageGates!$O:$O,0)),"")</f>
        <v/>
      </c>
      <c r="H183" s="7" t="inlineStr">
        <is>
          <t>StageGate</t>
        </is>
      </c>
      <c r="I183" s="7">
        <f>A183&amp;"|"&amp;B183</f>
        <v/>
      </c>
    </row>
    <row r="184" ht="15" customHeight="1" s="5">
      <c r="A184" s="7" t="inlineStr">
        <is>
          <t>PRJ023</t>
        </is>
      </c>
      <c r="B184" s="7" t="inlineStr">
        <is>
          <t>Deployment</t>
        </is>
      </c>
      <c r="C184" s="8">
        <f>IFERROR(INDEX(StageGates!$I:$I,MATCH(I184,StageGates!$O:$O,0)),"")</f>
        <v/>
      </c>
      <c r="D184" s="8">
        <f>IFERROR(INDEX(StageGates!$J:$J,MATCH(I184,StageGates!$O:$O,0)),"")</f>
        <v/>
      </c>
      <c r="E184" s="7">
        <f>IFERROR(INDEX(StageGates!$J:$J,MATCH(I184,StageGates!$O:$O,0)),"")</f>
        <v/>
      </c>
      <c r="F184" s="7">
        <f>IFERROR(INDEX(StageGates!$G:$G,MATCH(I184,StageGates!$O:$O,0)),"")</f>
        <v/>
      </c>
      <c r="G184" s="7">
        <f>IFERROR(INDEX(StageGates!$H:$H,MATCH(I184,StageGates!$O:$O,0)),"")</f>
        <v/>
      </c>
      <c r="H184" s="7" t="inlineStr">
        <is>
          <t>StageGate</t>
        </is>
      </c>
      <c r="I184" s="7">
        <f>A184&amp;"|"&amp;B184</f>
        <v/>
      </c>
    </row>
    <row r="185" ht="15" customHeight="1" s="5">
      <c r="A185" s="7" t="inlineStr">
        <is>
          <t>PRJ023</t>
        </is>
      </c>
      <c r="B185" s="7" t="inlineStr">
        <is>
          <t>Handover</t>
        </is>
      </c>
      <c r="C185" s="8">
        <f>IFERROR(INDEX(StageGates!$I:$I,MATCH(I185,StageGates!$O:$O,0)),"")</f>
        <v/>
      </c>
      <c r="D185" s="8">
        <f>IFERROR(INDEX(StageGates!$J:$J,MATCH(I185,StageGates!$O:$O,0)),"")</f>
        <v/>
      </c>
      <c r="E185" s="7">
        <f>IFERROR(INDEX(StageGates!$J:$J,MATCH(I185,StageGates!$O:$O,0)),"")</f>
        <v/>
      </c>
      <c r="F185" s="7">
        <f>IFERROR(INDEX(StageGates!$G:$G,MATCH(I185,StageGates!$O:$O,0)),"")</f>
        <v/>
      </c>
      <c r="G185" s="7">
        <f>IFERROR(INDEX(StageGates!$H:$H,MATCH(I185,StageGates!$O:$O,0)),"")</f>
        <v/>
      </c>
      <c r="H185" s="7" t="inlineStr">
        <is>
          <t>StageGate</t>
        </is>
      </c>
      <c r="I185" s="7">
        <f>A185&amp;"|"&amp;B185</f>
        <v/>
      </c>
    </row>
    <row r="186" ht="15" customHeight="1" s="5">
      <c r="A186" s="7" t="inlineStr">
        <is>
          <t>PRJ024</t>
        </is>
      </c>
      <c r="B186" s="7" t="inlineStr">
        <is>
          <t>Discovery</t>
        </is>
      </c>
      <c r="C186" s="8">
        <f>IFERROR(INDEX(StageGates!$I:$I,MATCH(I186,StageGates!$O:$O,0)),"")</f>
        <v/>
      </c>
      <c r="D186" s="8">
        <f>IFERROR(INDEX(StageGates!$J:$J,MATCH(I186,StageGates!$O:$O,0)),"")</f>
        <v/>
      </c>
      <c r="E186" s="8">
        <f>IFERROR(INDEX(StageGates!$J:$J,MATCH(I186,StageGates!$O:$O,0)),"")</f>
        <v/>
      </c>
      <c r="F186" s="7">
        <f>IFERROR(INDEX(StageGates!$G:$G,MATCH(I186,StageGates!$O:$O,0)),"")</f>
        <v/>
      </c>
      <c r="G186" s="7">
        <f>IFERROR(INDEX(StageGates!$H:$H,MATCH(I186,StageGates!$O:$O,0)),"")</f>
        <v/>
      </c>
      <c r="H186" s="7" t="inlineStr">
        <is>
          <t>StageGate</t>
        </is>
      </c>
      <c r="I186" s="7">
        <f>A186&amp;"|"&amp;B186</f>
        <v/>
      </c>
    </row>
    <row r="187" ht="15" customHeight="1" s="5">
      <c r="A187" s="7" t="inlineStr">
        <is>
          <t>PRJ024</t>
        </is>
      </c>
      <c r="B187" s="7" t="inlineStr">
        <is>
          <t>Business Case / Seed Funding</t>
        </is>
      </c>
      <c r="C187" s="8">
        <f>IFERROR(INDEX(StageGates!$I:$I,MATCH(I187,StageGates!$O:$O,0)),"")</f>
        <v/>
      </c>
      <c r="D187" s="8">
        <f>IFERROR(INDEX(StageGates!$J:$J,MATCH(I187,StageGates!$O:$O,0)),"")</f>
        <v/>
      </c>
      <c r="E187" s="8">
        <f>IFERROR(INDEX(StageGates!$J:$J,MATCH(I187,StageGates!$O:$O,0)),"")</f>
        <v/>
      </c>
      <c r="F187" s="7">
        <f>IFERROR(INDEX(StageGates!$G:$G,MATCH(I187,StageGates!$O:$O,0)),"")</f>
        <v/>
      </c>
      <c r="G187" s="7">
        <f>IFERROR(INDEX(StageGates!$H:$H,MATCH(I187,StageGates!$O:$O,0)),"")</f>
        <v/>
      </c>
      <c r="H187" s="7" t="inlineStr">
        <is>
          <t>StageGate</t>
        </is>
      </c>
      <c r="I187" s="7">
        <f>A187&amp;"|"&amp;B187</f>
        <v/>
      </c>
    </row>
    <row r="188" ht="15" customHeight="1" s="5">
      <c r="A188" s="7" t="inlineStr">
        <is>
          <t>PRJ024</t>
        </is>
      </c>
      <c r="B188" s="7" t="inlineStr">
        <is>
          <t>Design</t>
        </is>
      </c>
      <c r="C188" s="8">
        <f>IFERROR(INDEX(StageGates!$I:$I,MATCH(I188,StageGates!$O:$O,0)),"")</f>
        <v/>
      </c>
      <c r="D188" s="8">
        <f>IFERROR(INDEX(StageGates!$J:$J,MATCH(I188,StageGates!$O:$O,0)),"")</f>
        <v/>
      </c>
      <c r="E188" s="8">
        <f>IFERROR(INDEX(StageGates!$J:$J,MATCH(I188,StageGates!$O:$O,0)),"")</f>
        <v/>
      </c>
      <c r="F188" s="7">
        <f>IFERROR(INDEX(StageGates!$G:$G,MATCH(I188,StageGates!$O:$O,0)),"")</f>
        <v/>
      </c>
      <c r="G188" s="7">
        <f>IFERROR(INDEX(StageGates!$H:$H,MATCH(I188,StageGates!$O:$O,0)),"")</f>
        <v/>
      </c>
      <c r="H188" s="7" t="inlineStr">
        <is>
          <t>StageGate</t>
        </is>
      </c>
      <c r="I188" s="7">
        <f>A188&amp;"|"&amp;B188</f>
        <v/>
      </c>
    </row>
    <row r="189" ht="15" customHeight="1" s="5">
      <c r="A189" s="7" t="inlineStr">
        <is>
          <t>PRJ024</t>
        </is>
      </c>
      <c r="B189" s="7" t="inlineStr">
        <is>
          <t>Business Case / Full Funding</t>
        </is>
      </c>
      <c r="C189" s="8">
        <f>IFERROR(INDEX(StageGates!$I:$I,MATCH(I189,StageGates!$O:$O,0)),"")</f>
        <v/>
      </c>
      <c r="D189" s="8">
        <f>IFERROR(INDEX(StageGates!$J:$J,MATCH(I189,StageGates!$O:$O,0)),"")</f>
        <v/>
      </c>
      <c r="E189" s="8">
        <f>IFERROR(INDEX(StageGates!$J:$J,MATCH(I189,StageGates!$O:$O,0)),"")</f>
        <v/>
      </c>
      <c r="F189" s="7">
        <f>IFERROR(INDEX(StageGates!$G:$G,MATCH(I189,StageGates!$O:$O,0)),"")</f>
        <v/>
      </c>
      <c r="G189" s="7">
        <f>IFERROR(INDEX(StageGates!$H:$H,MATCH(I189,StageGates!$O:$O,0)),"")</f>
        <v/>
      </c>
      <c r="H189" s="7" t="inlineStr">
        <is>
          <t>StageGate</t>
        </is>
      </c>
      <c r="I189" s="7">
        <f>A189&amp;"|"&amp;B189</f>
        <v/>
      </c>
    </row>
    <row r="190" ht="15" customHeight="1" s="5">
      <c r="A190" s="7" t="inlineStr">
        <is>
          <t>PRJ024</t>
        </is>
      </c>
      <c r="B190" s="7" t="inlineStr">
        <is>
          <t>Build</t>
        </is>
      </c>
      <c r="C190" s="8">
        <f>IFERROR(INDEX(StageGates!$I:$I,MATCH(I190,StageGates!$O:$O,0)),"")</f>
        <v/>
      </c>
      <c r="D190" s="8">
        <f>IFERROR(INDEX(StageGates!$J:$J,MATCH(I190,StageGates!$O:$O,0)),"")</f>
        <v/>
      </c>
      <c r="E190" s="8">
        <f>IFERROR(INDEX(StageGates!$J:$J,MATCH(I190,StageGates!$O:$O,0)),"")</f>
        <v/>
      </c>
      <c r="F190" s="7">
        <f>IFERROR(INDEX(StageGates!$G:$G,MATCH(I190,StageGates!$O:$O,0)),"")</f>
        <v/>
      </c>
      <c r="G190" s="7">
        <f>IFERROR(INDEX(StageGates!$H:$H,MATCH(I190,StageGates!$O:$O,0)),"")</f>
        <v/>
      </c>
      <c r="H190" s="7" t="inlineStr">
        <is>
          <t>StageGate</t>
        </is>
      </c>
      <c r="I190" s="7">
        <f>A190&amp;"|"&amp;B190</f>
        <v/>
      </c>
    </row>
    <row r="191" ht="15" customHeight="1" s="5">
      <c r="A191" s="7" t="inlineStr">
        <is>
          <t>PRJ024</t>
        </is>
      </c>
      <c r="B191" s="7" t="inlineStr">
        <is>
          <t>Testing</t>
        </is>
      </c>
      <c r="C191" s="8">
        <f>IFERROR(INDEX(StageGates!$I:$I,MATCH(I191,StageGates!$O:$O,0)),"")</f>
        <v/>
      </c>
      <c r="D191" s="8">
        <f>IFERROR(INDEX(StageGates!$J:$J,MATCH(I191,StageGates!$O:$O,0)),"")</f>
        <v/>
      </c>
      <c r="E191" s="7">
        <f>IFERROR(INDEX(StageGates!$J:$J,MATCH(I191,StageGates!$O:$O,0)),"")</f>
        <v/>
      </c>
      <c r="F191" s="7">
        <f>IFERROR(INDEX(StageGates!$G:$G,MATCH(I191,StageGates!$O:$O,0)),"")</f>
        <v/>
      </c>
      <c r="G191" s="7">
        <f>IFERROR(INDEX(StageGates!$H:$H,MATCH(I191,StageGates!$O:$O,0)),"")</f>
        <v/>
      </c>
      <c r="H191" s="7" t="inlineStr">
        <is>
          <t>StageGate</t>
        </is>
      </c>
      <c r="I191" s="7">
        <f>A191&amp;"|"&amp;B191</f>
        <v/>
      </c>
    </row>
    <row r="192" ht="15" customHeight="1" s="5">
      <c r="A192" s="7" t="inlineStr">
        <is>
          <t>PRJ024</t>
        </is>
      </c>
      <c r="B192" s="7" t="inlineStr">
        <is>
          <t>Deployment</t>
        </is>
      </c>
      <c r="C192" s="8">
        <f>IFERROR(INDEX(StageGates!$I:$I,MATCH(I192,StageGates!$O:$O,0)),"")</f>
        <v/>
      </c>
      <c r="D192" s="8">
        <f>IFERROR(INDEX(StageGates!$J:$J,MATCH(I192,StageGates!$O:$O,0)),"")</f>
        <v/>
      </c>
      <c r="E192" s="7">
        <f>IFERROR(INDEX(StageGates!$J:$J,MATCH(I192,StageGates!$O:$O,0)),"")</f>
        <v/>
      </c>
      <c r="F192" s="7">
        <f>IFERROR(INDEX(StageGates!$G:$G,MATCH(I192,StageGates!$O:$O,0)),"")</f>
        <v/>
      </c>
      <c r="G192" s="7">
        <f>IFERROR(INDEX(StageGates!$H:$H,MATCH(I192,StageGates!$O:$O,0)),"")</f>
        <v/>
      </c>
      <c r="H192" s="7" t="inlineStr">
        <is>
          <t>StageGate</t>
        </is>
      </c>
      <c r="I192" s="7">
        <f>A192&amp;"|"&amp;B192</f>
        <v/>
      </c>
    </row>
    <row r="193" ht="15" customHeight="1" s="5">
      <c r="A193" s="7" t="inlineStr">
        <is>
          <t>PRJ024</t>
        </is>
      </c>
      <c r="B193" s="7" t="inlineStr">
        <is>
          <t>Handover</t>
        </is>
      </c>
      <c r="C193" s="8">
        <f>IFERROR(INDEX(StageGates!$I:$I,MATCH(I193,StageGates!$O:$O,0)),"")</f>
        <v/>
      </c>
      <c r="D193" s="8">
        <f>IFERROR(INDEX(StageGates!$J:$J,MATCH(I193,StageGates!$O:$O,0)),"")</f>
        <v/>
      </c>
      <c r="E193" s="7">
        <f>IFERROR(INDEX(StageGates!$J:$J,MATCH(I193,StageGates!$O:$O,0)),"")</f>
        <v/>
      </c>
      <c r="F193" s="7">
        <f>IFERROR(INDEX(StageGates!$G:$G,MATCH(I193,StageGates!$O:$O,0)),"")</f>
        <v/>
      </c>
      <c r="G193" s="7">
        <f>IFERROR(INDEX(StageGates!$H:$H,MATCH(I193,StageGates!$O:$O,0)),"")</f>
        <v/>
      </c>
      <c r="H193" s="7" t="inlineStr">
        <is>
          <t>StageGate</t>
        </is>
      </c>
      <c r="I193" s="7">
        <f>A193&amp;"|"&amp;B193</f>
        <v/>
      </c>
    </row>
    <row r="194" ht="15" customHeight="1" s="5">
      <c r="A194" s="7" t="inlineStr">
        <is>
          <t>PRJ025</t>
        </is>
      </c>
      <c r="B194" s="7" t="inlineStr">
        <is>
          <t>Discovery</t>
        </is>
      </c>
      <c r="C194" s="8">
        <f>IFERROR(INDEX(StageGates!$I:$I,MATCH(I194,StageGates!$O:$O,0)),"")</f>
        <v/>
      </c>
      <c r="D194" s="8">
        <f>IFERROR(INDEX(StageGates!$J:$J,MATCH(I194,StageGates!$O:$O,0)),"")</f>
        <v/>
      </c>
      <c r="E194" s="8">
        <f>IFERROR(INDEX(StageGates!$J:$J,MATCH(I194,StageGates!$O:$O,0)),"")</f>
        <v/>
      </c>
      <c r="F194" s="7">
        <f>IFERROR(INDEX(StageGates!$G:$G,MATCH(I194,StageGates!$O:$O,0)),"")</f>
        <v/>
      </c>
      <c r="G194" s="7">
        <f>IFERROR(INDEX(StageGates!$H:$H,MATCH(I194,StageGates!$O:$O,0)),"")</f>
        <v/>
      </c>
      <c r="H194" s="7" t="inlineStr">
        <is>
          <t>StageGate</t>
        </is>
      </c>
      <c r="I194" s="7">
        <f>A194&amp;"|"&amp;B194</f>
        <v/>
      </c>
    </row>
    <row r="195" ht="15" customHeight="1" s="5">
      <c r="A195" s="7" t="inlineStr">
        <is>
          <t>PRJ025</t>
        </is>
      </c>
      <c r="B195" s="7" t="inlineStr">
        <is>
          <t>Business Case / Seed Funding</t>
        </is>
      </c>
      <c r="C195" s="8">
        <f>IFERROR(INDEX(StageGates!$I:$I,MATCH(I195,StageGates!$O:$O,0)),"")</f>
        <v/>
      </c>
      <c r="D195" s="8">
        <f>IFERROR(INDEX(StageGates!$J:$J,MATCH(I195,StageGates!$O:$O,0)),"")</f>
        <v/>
      </c>
      <c r="E195" s="8">
        <f>IFERROR(INDEX(StageGates!$J:$J,MATCH(I195,StageGates!$O:$O,0)),"")</f>
        <v/>
      </c>
      <c r="F195" s="7">
        <f>IFERROR(INDEX(StageGates!$G:$G,MATCH(I195,StageGates!$O:$O,0)),"")</f>
        <v/>
      </c>
      <c r="G195" s="7">
        <f>IFERROR(INDEX(StageGates!$H:$H,MATCH(I195,StageGates!$O:$O,0)),"")</f>
        <v/>
      </c>
      <c r="H195" s="7" t="inlineStr">
        <is>
          <t>StageGate</t>
        </is>
      </c>
      <c r="I195" s="7">
        <f>A195&amp;"|"&amp;B195</f>
        <v/>
      </c>
    </row>
    <row r="196" ht="15" customHeight="1" s="5">
      <c r="A196" s="7" t="inlineStr">
        <is>
          <t>PRJ025</t>
        </is>
      </c>
      <c r="B196" s="7" t="inlineStr">
        <is>
          <t>Design</t>
        </is>
      </c>
      <c r="C196" s="8">
        <f>IFERROR(INDEX(StageGates!$I:$I,MATCH(I196,StageGates!$O:$O,0)),"")</f>
        <v/>
      </c>
      <c r="D196" s="8">
        <f>IFERROR(INDEX(StageGates!$J:$J,MATCH(I196,StageGates!$O:$O,0)),"")</f>
        <v/>
      </c>
      <c r="E196" s="8">
        <f>IFERROR(INDEX(StageGates!$J:$J,MATCH(I196,StageGates!$O:$O,0)),"")</f>
        <v/>
      </c>
      <c r="F196" s="7">
        <f>IFERROR(INDEX(StageGates!$G:$G,MATCH(I196,StageGates!$O:$O,0)),"")</f>
        <v/>
      </c>
      <c r="G196" s="7">
        <f>IFERROR(INDEX(StageGates!$H:$H,MATCH(I196,StageGates!$O:$O,0)),"")</f>
        <v/>
      </c>
      <c r="H196" s="7" t="inlineStr">
        <is>
          <t>StageGate</t>
        </is>
      </c>
      <c r="I196" s="7">
        <f>A196&amp;"|"&amp;B196</f>
        <v/>
      </c>
    </row>
    <row r="197" ht="15" customHeight="1" s="5">
      <c r="A197" s="7" t="inlineStr">
        <is>
          <t>PRJ025</t>
        </is>
      </c>
      <c r="B197" s="7" t="inlineStr">
        <is>
          <t>Business Case / Full Funding</t>
        </is>
      </c>
      <c r="C197" s="8">
        <f>IFERROR(INDEX(StageGates!$I:$I,MATCH(I197,StageGates!$O:$O,0)),"")</f>
        <v/>
      </c>
      <c r="D197" s="8">
        <f>IFERROR(INDEX(StageGates!$J:$J,MATCH(I197,StageGates!$O:$O,0)),"")</f>
        <v/>
      </c>
      <c r="E197" s="8">
        <f>IFERROR(INDEX(StageGates!$J:$J,MATCH(I197,StageGates!$O:$O,0)),"")</f>
        <v/>
      </c>
      <c r="F197" s="7">
        <f>IFERROR(INDEX(StageGates!$G:$G,MATCH(I197,StageGates!$O:$O,0)),"")</f>
        <v/>
      </c>
      <c r="G197" s="7">
        <f>IFERROR(INDEX(StageGates!$H:$H,MATCH(I197,StageGates!$O:$O,0)),"")</f>
        <v/>
      </c>
      <c r="H197" s="7" t="inlineStr">
        <is>
          <t>StageGate</t>
        </is>
      </c>
      <c r="I197" s="7">
        <f>A197&amp;"|"&amp;B197</f>
        <v/>
      </c>
    </row>
    <row r="198" ht="15" customHeight="1" s="5">
      <c r="A198" s="7" t="inlineStr">
        <is>
          <t>PRJ025</t>
        </is>
      </c>
      <c r="B198" s="7" t="inlineStr">
        <is>
          <t>Build</t>
        </is>
      </c>
      <c r="C198" s="8">
        <f>IFERROR(INDEX(StageGates!$I:$I,MATCH(I198,StageGates!$O:$O,0)),"")</f>
        <v/>
      </c>
      <c r="D198" s="8">
        <f>IFERROR(INDEX(StageGates!$J:$J,MATCH(I198,StageGates!$O:$O,0)),"")</f>
        <v/>
      </c>
      <c r="E198" s="7">
        <f>IFERROR(INDEX(StageGates!$J:$J,MATCH(I198,StageGates!$O:$O,0)),"")</f>
        <v/>
      </c>
      <c r="F198" s="7">
        <f>IFERROR(INDEX(StageGates!$G:$G,MATCH(I198,StageGates!$O:$O,0)),"")</f>
        <v/>
      </c>
      <c r="G198" s="7">
        <f>IFERROR(INDEX(StageGates!$H:$H,MATCH(I198,StageGates!$O:$O,0)),"")</f>
        <v/>
      </c>
      <c r="H198" s="7" t="inlineStr">
        <is>
          <t>StageGate</t>
        </is>
      </c>
      <c r="I198" s="7">
        <f>A198&amp;"|"&amp;B198</f>
        <v/>
      </c>
    </row>
    <row r="199" ht="15" customHeight="1" s="5">
      <c r="A199" s="7" t="inlineStr">
        <is>
          <t>PRJ025</t>
        </is>
      </c>
      <c r="B199" s="7" t="inlineStr">
        <is>
          <t>Testing</t>
        </is>
      </c>
      <c r="C199" s="8">
        <f>IFERROR(INDEX(StageGates!$I:$I,MATCH(I199,StageGates!$O:$O,0)),"")</f>
        <v/>
      </c>
      <c r="D199" s="8">
        <f>IFERROR(INDEX(StageGates!$J:$J,MATCH(I199,StageGates!$O:$O,0)),"")</f>
        <v/>
      </c>
      <c r="E199" s="7">
        <f>IFERROR(INDEX(StageGates!$J:$J,MATCH(I199,StageGates!$O:$O,0)),"")</f>
        <v/>
      </c>
      <c r="F199" s="7">
        <f>IFERROR(INDEX(StageGates!$G:$G,MATCH(I199,StageGates!$O:$O,0)),"")</f>
        <v/>
      </c>
      <c r="G199" s="7">
        <f>IFERROR(INDEX(StageGates!$H:$H,MATCH(I199,StageGates!$O:$O,0)),"")</f>
        <v/>
      </c>
      <c r="H199" s="7" t="inlineStr">
        <is>
          <t>StageGate</t>
        </is>
      </c>
      <c r="I199" s="7">
        <f>A199&amp;"|"&amp;B199</f>
        <v/>
      </c>
    </row>
    <row r="200" ht="15" customHeight="1" s="5">
      <c r="A200" s="7" t="inlineStr">
        <is>
          <t>PRJ025</t>
        </is>
      </c>
      <c r="B200" s="7" t="inlineStr">
        <is>
          <t>Deployment</t>
        </is>
      </c>
      <c r="C200" s="8">
        <f>IFERROR(INDEX(StageGates!$I:$I,MATCH(I200,StageGates!$O:$O,0)),"")</f>
        <v/>
      </c>
      <c r="D200" s="8">
        <f>IFERROR(INDEX(StageGates!$J:$J,MATCH(I200,StageGates!$O:$O,0)),"")</f>
        <v/>
      </c>
      <c r="E200" s="7">
        <f>IFERROR(INDEX(StageGates!$J:$J,MATCH(I200,StageGates!$O:$O,0)),"")</f>
        <v/>
      </c>
      <c r="F200" s="7">
        <f>IFERROR(INDEX(StageGates!$G:$G,MATCH(I200,StageGates!$O:$O,0)),"")</f>
        <v/>
      </c>
      <c r="G200" s="7">
        <f>IFERROR(INDEX(StageGates!$H:$H,MATCH(I200,StageGates!$O:$O,0)),"")</f>
        <v/>
      </c>
      <c r="H200" s="7" t="inlineStr">
        <is>
          <t>StageGate</t>
        </is>
      </c>
      <c r="I200" s="7">
        <f>A200&amp;"|"&amp;B200</f>
        <v/>
      </c>
    </row>
    <row r="201" ht="15" customHeight="1" s="5">
      <c r="A201" s="7" t="inlineStr">
        <is>
          <t>PRJ025</t>
        </is>
      </c>
      <c r="B201" s="7" t="inlineStr">
        <is>
          <t>Handover</t>
        </is>
      </c>
      <c r="C201" s="8">
        <f>IFERROR(INDEX(StageGates!$I:$I,MATCH(I201,StageGates!$O:$O,0)),"")</f>
        <v/>
      </c>
      <c r="D201" s="8">
        <f>IFERROR(INDEX(StageGates!$J:$J,MATCH(I201,StageGates!$O:$O,0)),"")</f>
        <v/>
      </c>
      <c r="E201" s="7">
        <f>IFERROR(INDEX(StageGates!$J:$J,MATCH(I201,StageGates!$O:$O,0)),"")</f>
        <v/>
      </c>
      <c r="F201" s="7">
        <f>IFERROR(INDEX(StageGates!$G:$G,MATCH(I201,StageGates!$O:$O,0)),"")</f>
        <v/>
      </c>
      <c r="G201" s="7">
        <f>IFERROR(INDEX(StageGates!$H:$H,MATCH(I201,StageGates!$O:$O,0)),"")</f>
        <v/>
      </c>
      <c r="H201" s="7" t="inlineStr">
        <is>
          <t>StageGate</t>
        </is>
      </c>
      <c r="I201" s="7">
        <f>A201&amp;"|"&amp;B201</f>
        <v/>
      </c>
    </row>
    <row r="202" ht="15" customHeight="1" s="5">
      <c r="A202" s="7" t="inlineStr">
        <is>
          <t>PRJ026</t>
        </is>
      </c>
      <c r="B202" s="7" t="inlineStr">
        <is>
          <t>Discovery</t>
        </is>
      </c>
      <c r="C202" s="8">
        <f>IFERROR(INDEX(StageGates!$I:$I,MATCH(I202,StageGates!$O:$O,0)),"")</f>
        <v/>
      </c>
      <c r="D202" s="8">
        <f>IFERROR(INDEX(StageGates!$J:$J,MATCH(I202,StageGates!$O:$O,0)),"")</f>
        <v/>
      </c>
      <c r="E202" s="8">
        <f>IFERROR(INDEX(StageGates!$J:$J,MATCH(I202,StageGates!$O:$O,0)),"")</f>
        <v/>
      </c>
      <c r="F202" s="7">
        <f>IFERROR(INDEX(StageGates!$G:$G,MATCH(I202,StageGates!$O:$O,0)),"")</f>
        <v/>
      </c>
      <c r="G202" s="7">
        <f>IFERROR(INDEX(StageGates!$H:$H,MATCH(I202,StageGates!$O:$O,0)),"")</f>
        <v/>
      </c>
      <c r="H202" s="7" t="inlineStr">
        <is>
          <t>StageGate</t>
        </is>
      </c>
      <c r="I202" s="7">
        <f>A202&amp;"|"&amp;B202</f>
        <v/>
      </c>
    </row>
    <row r="203" ht="15" customHeight="1" s="5">
      <c r="A203" s="7" t="inlineStr">
        <is>
          <t>PRJ026</t>
        </is>
      </c>
      <c r="B203" s="7" t="inlineStr">
        <is>
          <t>Business Case / Seed Funding</t>
        </is>
      </c>
      <c r="C203" s="8">
        <f>IFERROR(INDEX(StageGates!$I:$I,MATCH(I203,StageGates!$O:$O,0)),"")</f>
        <v/>
      </c>
      <c r="D203" s="8">
        <f>IFERROR(INDEX(StageGates!$J:$J,MATCH(I203,StageGates!$O:$O,0)),"")</f>
        <v/>
      </c>
      <c r="E203" s="8">
        <f>IFERROR(INDEX(StageGates!$J:$J,MATCH(I203,StageGates!$O:$O,0)),"")</f>
        <v/>
      </c>
      <c r="F203" s="7">
        <f>IFERROR(INDEX(StageGates!$G:$G,MATCH(I203,StageGates!$O:$O,0)),"")</f>
        <v/>
      </c>
      <c r="G203" s="7">
        <f>IFERROR(INDEX(StageGates!$H:$H,MATCH(I203,StageGates!$O:$O,0)),"")</f>
        <v/>
      </c>
      <c r="H203" s="7" t="inlineStr">
        <is>
          <t>StageGate</t>
        </is>
      </c>
      <c r="I203" s="7">
        <f>A203&amp;"|"&amp;B203</f>
        <v/>
      </c>
    </row>
    <row r="204" ht="15" customHeight="1" s="5">
      <c r="A204" s="7" t="inlineStr">
        <is>
          <t>PRJ026</t>
        </is>
      </c>
      <c r="B204" s="7" t="inlineStr">
        <is>
          <t>Design</t>
        </is>
      </c>
      <c r="C204" s="8">
        <f>IFERROR(INDEX(StageGates!$I:$I,MATCH(I204,StageGates!$O:$O,0)),"")</f>
        <v/>
      </c>
      <c r="D204" s="8">
        <f>IFERROR(INDEX(StageGates!$J:$J,MATCH(I204,StageGates!$O:$O,0)),"")</f>
        <v/>
      </c>
      <c r="E204" s="8">
        <f>IFERROR(INDEX(StageGates!$J:$J,MATCH(I204,StageGates!$O:$O,0)),"")</f>
        <v/>
      </c>
      <c r="F204" s="7">
        <f>IFERROR(INDEX(StageGates!$G:$G,MATCH(I204,StageGates!$O:$O,0)),"")</f>
        <v/>
      </c>
      <c r="G204" s="7">
        <f>IFERROR(INDEX(StageGates!$H:$H,MATCH(I204,StageGates!$O:$O,0)),"")</f>
        <v/>
      </c>
      <c r="H204" s="7" t="inlineStr">
        <is>
          <t>StageGate</t>
        </is>
      </c>
      <c r="I204" s="7">
        <f>A204&amp;"|"&amp;B204</f>
        <v/>
      </c>
    </row>
    <row r="205" ht="15" customHeight="1" s="5">
      <c r="A205" s="7" t="inlineStr">
        <is>
          <t>PRJ026</t>
        </is>
      </c>
      <c r="B205" s="7" t="inlineStr">
        <is>
          <t>Business Case / Full Funding</t>
        </is>
      </c>
      <c r="C205" s="8">
        <f>IFERROR(INDEX(StageGates!$I:$I,MATCH(I205,StageGates!$O:$O,0)),"")</f>
        <v/>
      </c>
      <c r="D205" s="8">
        <f>IFERROR(INDEX(StageGates!$J:$J,MATCH(I205,StageGates!$O:$O,0)),"")</f>
        <v/>
      </c>
      <c r="E205" s="8">
        <f>IFERROR(INDEX(StageGates!$J:$J,MATCH(I205,StageGates!$O:$O,0)),"")</f>
        <v/>
      </c>
      <c r="F205" s="7">
        <f>IFERROR(INDEX(StageGates!$G:$G,MATCH(I205,StageGates!$O:$O,0)),"")</f>
        <v/>
      </c>
      <c r="G205" s="7">
        <f>IFERROR(INDEX(StageGates!$H:$H,MATCH(I205,StageGates!$O:$O,0)),"")</f>
        <v/>
      </c>
      <c r="H205" s="7" t="inlineStr">
        <is>
          <t>StageGate</t>
        </is>
      </c>
      <c r="I205" s="7">
        <f>A205&amp;"|"&amp;B205</f>
        <v/>
      </c>
    </row>
    <row r="206" ht="15" customHeight="1" s="5">
      <c r="A206" s="7" t="inlineStr">
        <is>
          <t>PRJ026</t>
        </is>
      </c>
      <c r="B206" s="7" t="inlineStr">
        <is>
          <t>Build</t>
        </is>
      </c>
      <c r="C206" s="8">
        <f>IFERROR(INDEX(StageGates!$I:$I,MATCH(I206,StageGates!$O:$O,0)),"")</f>
        <v/>
      </c>
      <c r="D206" s="8">
        <f>IFERROR(INDEX(StageGates!$J:$J,MATCH(I206,StageGates!$O:$O,0)),"")</f>
        <v/>
      </c>
      <c r="E206" s="8">
        <f>IFERROR(INDEX(StageGates!$J:$J,MATCH(I206,StageGates!$O:$O,0)),"")</f>
        <v/>
      </c>
      <c r="F206" s="7">
        <f>IFERROR(INDEX(StageGates!$G:$G,MATCH(I206,StageGates!$O:$O,0)),"")</f>
        <v/>
      </c>
      <c r="G206" s="7">
        <f>IFERROR(INDEX(StageGates!$H:$H,MATCH(I206,StageGates!$O:$O,0)),"")</f>
        <v/>
      </c>
      <c r="H206" s="7" t="inlineStr">
        <is>
          <t>StageGate</t>
        </is>
      </c>
      <c r="I206" s="7">
        <f>A206&amp;"|"&amp;B206</f>
        <v/>
      </c>
    </row>
    <row r="207" ht="15" customHeight="1" s="5">
      <c r="A207" s="7" t="inlineStr">
        <is>
          <t>PRJ026</t>
        </is>
      </c>
      <c r="B207" s="7" t="inlineStr">
        <is>
          <t>Testing</t>
        </is>
      </c>
      <c r="C207" s="8">
        <f>IFERROR(INDEX(StageGates!$I:$I,MATCH(I207,StageGates!$O:$O,0)),"")</f>
        <v/>
      </c>
      <c r="D207" s="8">
        <f>IFERROR(INDEX(StageGates!$J:$J,MATCH(I207,StageGates!$O:$O,0)),"")</f>
        <v/>
      </c>
      <c r="E207" s="7">
        <f>IFERROR(INDEX(StageGates!$J:$J,MATCH(I207,StageGates!$O:$O,0)),"")</f>
        <v/>
      </c>
      <c r="F207" s="7">
        <f>IFERROR(INDEX(StageGates!$G:$G,MATCH(I207,StageGates!$O:$O,0)),"")</f>
        <v/>
      </c>
      <c r="G207" s="7">
        <f>IFERROR(INDEX(StageGates!$H:$H,MATCH(I207,StageGates!$O:$O,0)),"")</f>
        <v/>
      </c>
      <c r="H207" s="7" t="inlineStr">
        <is>
          <t>StageGate</t>
        </is>
      </c>
      <c r="I207" s="7">
        <f>A207&amp;"|"&amp;B207</f>
        <v/>
      </c>
    </row>
    <row r="208" ht="15" customHeight="1" s="5">
      <c r="A208" s="7" t="inlineStr">
        <is>
          <t>PRJ026</t>
        </is>
      </c>
      <c r="B208" s="7" t="inlineStr">
        <is>
          <t>Deployment</t>
        </is>
      </c>
      <c r="C208" s="8">
        <f>IFERROR(INDEX(StageGates!$I:$I,MATCH(I208,StageGates!$O:$O,0)),"")</f>
        <v/>
      </c>
      <c r="D208" s="8">
        <f>IFERROR(INDEX(StageGates!$J:$J,MATCH(I208,StageGates!$O:$O,0)),"")</f>
        <v/>
      </c>
      <c r="E208" s="7">
        <f>IFERROR(INDEX(StageGates!$J:$J,MATCH(I208,StageGates!$O:$O,0)),"")</f>
        <v/>
      </c>
      <c r="F208" s="7">
        <f>IFERROR(INDEX(StageGates!$G:$G,MATCH(I208,StageGates!$O:$O,0)),"")</f>
        <v/>
      </c>
      <c r="G208" s="7">
        <f>IFERROR(INDEX(StageGates!$H:$H,MATCH(I208,StageGates!$O:$O,0)),"")</f>
        <v/>
      </c>
      <c r="H208" s="7" t="inlineStr">
        <is>
          <t>StageGate</t>
        </is>
      </c>
      <c r="I208" s="7">
        <f>A208&amp;"|"&amp;B208</f>
        <v/>
      </c>
    </row>
    <row r="209" ht="15" customHeight="1" s="5">
      <c r="A209" s="7" t="inlineStr">
        <is>
          <t>PRJ026</t>
        </is>
      </c>
      <c r="B209" s="7" t="inlineStr">
        <is>
          <t>Handover</t>
        </is>
      </c>
      <c r="C209" s="8">
        <f>IFERROR(INDEX(StageGates!$I:$I,MATCH(I209,StageGates!$O:$O,0)),"")</f>
        <v/>
      </c>
      <c r="D209" s="8">
        <f>IFERROR(INDEX(StageGates!$J:$J,MATCH(I209,StageGates!$O:$O,0)),"")</f>
        <v/>
      </c>
      <c r="E209" s="7">
        <f>IFERROR(INDEX(StageGates!$J:$J,MATCH(I209,StageGates!$O:$O,0)),"")</f>
        <v/>
      </c>
      <c r="F209" s="7">
        <f>IFERROR(INDEX(StageGates!$G:$G,MATCH(I209,StageGates!$O:$O,0)),"")</f>
        <v/>
      </c>
      <c r="G209" s="7">
        <f>IFERROR(INDEX(StageGates!$H:$H,MATCH(I209,StageGates!$O:$O,0)),"")</f>
        <v/>
      </c>
      <c r="H209" s="7" t="inlineStr">
        <is>
          <t>StageGate</t>
        </is>
      </c>
      <c r="I209" s="7">
        <f>A209&amp;"|"&amp;B209</f>
        <v/>
      </c>
    </row>
    <row r="210" ht="15" customHeight="1" s="5">
      <c r="A210" s="7" t="inlineStr">
        <is>
          <t>PRJ027</t>
        </is>
      </c>
      <c r="B210" s="7" t="inlineStr">
        <is>
          <t>Discovery</t>
        </is>
      </c>
      <c r="C210" s="8">
        <f>IFERROR(INDEX(StageGates!$I:$I,MATCH(I210,StageGates!$O:$O,0)),"")</f>
        <v/>
      </c>
      <c r="D210" s="8">
        <f>IFERROR(INDEX(StageGates!$J:$J,MATCH(I210,StageGates!$O:$O,0)),"")</f>
        <v/>
      </c>
      <c r="E210" s="8">
        <f>IFERROR(INDEX(StageGates!$J:$J,MATCH(I210,StageGates!$O:$O,0)),"")</f>
        <v/>
      </c>
      <c r="F210" s="7">
        <f>IFERROR(INDEX(StageGates!$G:$G,MATCH(I210,StageGates!$O:$O,0)),"")</f>
        <v/>
      </c>
      <c r="G210" s="7">
        <f>IFERROR(INDEX(StageGates!$H:$H,MATCH(I210,StageGates!$O:$O,0)),"")</f>
        <v/>
      </c>
      <c r="H210" s="7" t="inlineStr">
        <is>
          <t>StageGate</t>
        </is>
      </c>
      <c r="I210" s="7">
        <f>A210&amp;"|"&amp;B210</f>
        <v/>
      </c>
    </row>
    <row r="211" ht="15" customHeight="1" s="5">
      <c r="A211" s="7" t="inlineStr">
        <is>
          <t>PRJ027</t>
        </is>
      </c>
      <c r="B211" s="7" t="inlineStr">
        <is>
          <t>Business Case / Seed Funding</t>
        </is>
      </c>
      <c r="C211" s="8">
        <f>IFERROR(INDEX(StageGates!$I:$I,MATCH(I211,StageGates!$O:$O,0)),"")</f>
        <v/>
      </c>
      <c r="D211" s="8">
        <f>IFERROR(INDEX(StageGates!$J:$J,MATCH(I211,StageGates!$O:$O,0)),"")</f>
        <v/>
      </c>
      <c r="E211" s="8">
        <f>IFERROR(INDEX(StageGates!$J:$J,MATCH(I211,StageGates!$O:$O,0)),"")</f>
        <v/>
      </c>
      <c r="F211" s="7">
        <f>IFERROR(INDEX(StageGates!$G:$G,MATCH(I211,StageGates!$O:$O,0)),"")</f>
        <v/>
      </c>
      <c r="G211" s="7">
        <f>IFERROR(INDEX(StageGates!$H:$H,MATCH(I211,StageGates!$O:$O,0)),"")</f>
        <v/>
      </c>
      <c r="H211" s="7" t="inlineStr">
        <is>
          <t>StageGate</t>
        </is>
      </c>
      <c r="I211" s="7">
        <f>A211&amp;"|"&amp;B211</f>
        <v/>
      </c>
    </row>
    <row r="212" ht="15" customHeight="1" s="5">
      <c r="A212" s="7" t="inlineStr">
        <is>
          <t>PRJ027</t>
        </is>
      </c>
      <c r="B212" s="7" t="inlineStr">
        <is>
          <t>Design</t>
        </is>
      </c>
      <c r="C212" s="8">
        <f>IFERROR(INDEX(StageGates!$I:$I,MATCH(I212,StageGates!$O:$O,0)),"")</f>
        <v/>
      </c>
      <c r="D212" s="8">
        <f>IFERROR(INDEX(StageGates!$J:$J,MATCH(I212,StageGates!$O:$O,0)),"")</f>
        <v/>
      </c>
      <c r="E212" s="8">
        <f>IFERROR(INDEX(StageGates!$J:$J,MATCH(I212,StageGates!$O:$O,0)),"")</f>
        <v/>
      </c>
      <c r="F212" s="7">
        <f>IFERROR(INDEX(StageGates!$G:$G,MATCH(I212,StageGates!$O:$O,0)),"")</f>
        <v/>
      </c>
      <c r="G212" s="7">
        <f>IFERROR(INDEX(StageGates!$H:$H,MATCH(I212,StageGates!$O:$O,0)),"")</f>
        <v/>
      </c>
      <c r="H212" s="7" t="inlineStr">
        <is>
          <t>StageGate</t>
        </is>
      </c>
      <c r="I212" s="7">
        <f>A212&amp;"|"&amp;B212</f>
        <v/>
      </c>
    </row>
    <row r="213" ht="15" customHeight="1" s="5">
      <c r="A213" s="7" t="inlineStr">
        <is>
          <t>PRJ027</t>
        </is>
      </c>
      <c r="B213" s="7" t="inlineStr">
        <is>
          <t>Business Case / Full Funding</t>
        </is>
      </c>
      <c r="C213" s="8">
        <f>IFERROR(INDEX(StageGates!$I:$I,MATCH(I213,StageGates!$O:$O,0)),"")</f>
        <v/>
      </c>
      <c r="D213" s="8">
        <f>IFERROR(INDEX(StageGates!$J:$J,MATCH(I213,StageGates!$O:$O,0)),"")</f>
        <v/>
      </c>
      <c r="E213" s="8">
        <f>IFERROR(INDEX(StageGates!$J:$J,MATCH(I213,StageGates!$O:$O,0)),"")</f>
        <v/>
      </c>
      <c r="F213" s="7">
        <f>IFERROR(INDEX(StageGates!$G:$G,MATCH(I213,StageGates!$O:$O,0)),"")</f>
        <v/>
      </c>
      <c r="G213" s="7">
        <f>IFERROR(INDEX(StageGates!$H:$H,MATCH(I213,StageGates!$O:$O,0)),"")</f>
        <v/>
      </c>
      <c r="H213" s="7" t="inlineStr">
        <is>
          <t>StageGate</t>
        </is>
      </c>
      <c r="I213" s="7">
        <f>A213&amp;"|"&amp;B213</f>
        <v/>
      </c>
    </row>
    <row r="214" ht="15" customHeight="1" s="5">
      <c r="A214" s="7" t="inlineStr">
        <is>
          <t>PRJ027</t>
        </is>
      </c>
      <c r="B214" s="7" t="inlineStr">
        <is>
          <t>Build</t>
        </is>
      </c>
      <c r="C214" s="8">
        <f>IFERROR(INDEX(StageGates!$I:$I,MATCH(I214,StageGates!$O:$O,0)),"")</f>
        <v/>
      </c>
      <c r="D214" s="8">
        <f>IFERROR(INDEX(StageGates!$J:$J,MATCH(I214,StageGates!$O:$O,0)),"")</f>
        <v/>
      </c>
      <c r="E214" s="8">
        <f>IFERROR(INDEX(StageGates!$J:$J,MATCH(I214,StageGates!$O:$O,0)),"")</f>
        <v/>
      </c>
      <c r="F214" s="7">
        <f>IFERROR(INDEX(StageGates!$G:$G,MATCH(I214,StageGates!$O:$O,0)),"")</f>
        <v/>
      </c>
      <c r="G214" s="7">
        <f>IFERROR(INDEX(StageGates!$H:$H,MATCH(I214,StageGates!$O:$O,0)),"")</f>
        <v/>
      </c>
      <c r="H214" s="7" t="inlineStr">
        <is>
          <t>StageGate</t>
        </is>
      </c>
      <c r="I214" s="7">
        <f>A214&amp;"|"&amp;B214</f>
        <v/>
      </c>
    </row>
    <row r="215" ht="15" customHeight="1" s="5">
      <c r="A215" s="7" t="inlineStr">
        <is>
          <t>PRJ027</t>
        </is>
      </c>
      <c r="B215" s="7" t="inlineStr">
        <is>
          <t>Testing</t>
        </is>
      </c>
      <c r="C215" s="8">
        <f>IFERROR(INDEX(StageGates!$I:$I,MATCH(I215,StageGates!$O:$O,0)),"")</f>
        <v/>
      </c>
      <c r="D215" s="8">
        <f>IFERROR(INDEX(StageGates!$J:$J,MATCH(I215,StageGates!$O:$O,0)),"")</f>
        <v/>
      </c>
      <c r="E215" s="8">
        <f>IFERROR(INDEX(StageGates!$J:$J,MATCH(I215,StageGates!$O:$O,0)),"")</f>
        <v/>
      </c>
      <c r="F215" s="7">
        <f>IFERROR(INDEX(StageGates!$G:$G,MATCH(I215,StageGates!$O:$O,0)),"")</f>
        <v/>
      </c>
      <c r="G215" s="7">
        <f>IFERROR(INDEX(StageGates!$H:$H,MATCH(I215,StageGates!$O:$O,0)),"")</f>
        <v/>
      </c>
      <c r="H215" s="7" t="inlineStr">
        <is>
          <t>StageGate</t>
        </is>
      </c>
      <c r="I215" s="7">
        <f>A215&amp;"|"&amp;B215</f>
        <v/>
      </c>
    </row>
    <row r="216" ht="15" customHeight="1" s="5">
      <c r="A216" s="7" t="inlineStr">
        <is>
          <t>PRJ027</t>
        </is>
      </c>
      <c r="B216" s="7" t="inlineStr">
        <is>
          <t>Deployment</t>
        </is>
      </c>
      <c r="C216" s="8">
        <f>IFERROR(INDEX(StageGates!$I:$I,MATCH(I216,StageGates!$O:$O,0)),"")</f>
        <v/>
      </c>
      <c r="D216" s="8">
        <f>IFERROR(INDEX(StageGates!$J:$J,MATCH(I216,StageGates!$O:$O,0)),"")</f>
        <v/>
      </c>
      <c r="E216" s="8">
        <f>IFERROR(INDEX(StageGates!$J:$J,MATCH(I216,StageGates!$O:$O,0)),"")</f>
        <v/>
      </c>
      <c r="F216" s="7">
        <f>IFERROR(INDEX(StageGates!$G:$G,MATCH(I216,StageGates!$O:$O,0)),"")</f>
        <v/>
      </c>
      <c r="G216" s="7">
        <f>IFERROR(INDEX(StageGates!$H:$H,MATCH(I216,StageGates!$O:$O,0)),"")</f>
        <v/>
      </c>
      <c r="H216" s="7" t="inlineStr">
        <is>
          <t>StageGate</t>
        </is>
      </c>
      <c r="I216" s="7">
        <f>A216&amp;"|"&amp;B216</f>
        <v/>
      </c>
    </row>
    <row r="217" ht="15" customHeight="1" s="5">
      <c r="A217" s="7" t="inlineStr">
        <is>
          <t>PRJ027</t>
        </is>
      </c>
      <c r="B217" s="7" t="inlineStr">
        <is>
          <t>Handover</t>
        </is>
      </c>
      <c r="C217" s="8">
        <f>IFERROR(INDEX(StageGates!$I:$I,MATCH(I217,StageGates!$O:$O,0)),"")</f>
        <v/>
      </c>
      <c r="D217" s="8">
        <f>IFERROR(INDEX(StageGates!$J:$J,MATCH(I217,StageGates!$O:$O,0)),"")</f>
        <v/>
      </c>
      <c r="E217" s="7">
        <f>IFERROR(INDEX(StageGates!$J:$J,MATCH(I217,StageGates!$O:$O,0)),"")</f>
        <v/>
      </c>
      <c r="F217" s="7">
        <f>IFERROR(INDEX(StageGates!$G:$G,MATCH(I217,StageGates!$O:$O,0)),"")</f>
        <v/>
      </c>
      <c r="G217" s="7">
        <f>IFERROR(INDEX(StageGates!$H:$H,MATCH(I217,StageGates!$O:$O,0)),"")</f>
        <v/>
      </c>
      <c r="H217" s="7" t="inlineStr">
        <is>
          <t>StageGate</t>
        </is>
      </c>
      <c r="I217" s="7">
        <f>A217&amp;"|"&amp;B217</f>
        <v/>
      </c>
    </row>
    <row r="218" ht="15" customHeight="1" s="5">
      <c r="A218" s="7" t="inlineStr">
        <is>
          <t>PRJ028</t>
        </is>
      </c>
      <c r="B218" s="7" t="inlineStr">
        <is>
          <t>Discovery</t>
        </is>
      </c>
      <c r="C218" s="8">
        <f>IFERROR(INDEX(StageGates!$I:$I,MATCH(I218,StageGates!$O:$O,0)),"")</f>
        <v/>
      </c>
      <c r="D218" s="8">
        <f>IFERROR(INDEX(StageGates!$J:$J,MATCH(I218,StageGates!$O:$O,0)),"")</f>
        <v/>
      </c>
      <c r="E218" s="8">
        <f>IFERROR(INDEX(StageGates!$J:$J,MATCH(I218,StageGates!$O:$O,0)),"")</f>
        <v/>
      </c>
      <c r="F218" s="7">
        <f>IFERROR(INDEX(StageGates!$G:$G,MATCH(I218,StageGates!$O:$O,0)),"")</f>
        <v/>
      </c>
      <c r="G218" s="7">
        <f>IFERROR(INDEX(StageGates!$H:$H,MATCH(I218,StageGates!$O:$O,0)),"")</f>
        <v/>
      </c>
      <c r="H218" s="7" t="inlineStr">
        <is>
          <t>StageGate</t>
        </is>
      </c>
      <c r="I218" s="7">
        <f>A218&amp;"|"&amp;B218</f>
        <v/>
      </c>
    </row>
    <row r="219" ht="15" customHeight="1" s="5">
      <c r="A219" s="7" t="inlineStr">
        <is>
          <t>PRJ028</t>
        </is>
      </c>
      <c r="B219" s="7" t="inlineStr">
        <is>
          <t>Business Case / Seed Funding</t>
        </is>
      </c>
      <c r="C219" s="8">
        <f>IFERROR(INDEX(StageGates!$I:$I,MATCH(I219,StageGates!$O:$O,0)),"")</f>
        <v/>
      </c>
      <c r="D219" s="8">
        <f>IFERROR(INDEX(StageGates!$J:$J,MATCH(I219,StageGates!$O:$O,0)),"")</f>
        <v/>
      </c>
      <c r="E219" s="8">
        <f>IFERROR(INDEX(StageGates!$J:$J,MATCH(I219,StageGates!$O:$O,0)),"")</f>
        <v/>
      </c>
      <c r="F219" s="7">
        <f>IFERROR(INDEX(StageGates!$G:$G,MATCH(I219,StageGates!$O:$O,0)),"")</f>
        <v/>
      </c>
      <c r="G219" s="7">
        <f>IFERROR(INDEX(StageGates!$H:$H,MATCH(I219,StageGates!$O:$O,0)),"")</f>
        <v/>
      </c>
      <c r="H219" s="7" t="inlineStr">
        <is>
          <t>StageGate</t>
        </is>
      </c>
      <c r="I219" s="7">
        <f>A219&amp;"|"&amp;B219</f>
        <v/>
      </c>
    </row>
    <row r="220" ht="15" customHeight="1" s="5">
      <c r="A220" s="7" t="inlineStr">
        <is>
          <t>PRJ028</t>
        </is>
      </c>
      <c r="B220" s="7" t="inlineStr">
        <is>
          <t>Design</t>
        </is>
      </c>
      <c r="C220" s="8">
        <f>IFERROR(INDEX(StageGates!$I:$I,MATCH(I220,StageGates!$O:$O,0)),"")</f>
        <v/>
      </c>
      <c r="D220" s="8">
        <f>IFERROR(INDEX(StageGates!$J:$J,MATCH(I220,StageGates!$O:$O,0)),"")</f>
        <v/>
      </c>
      <c r="E220" s="8">
        <f>IFERROR(INDEX(StageGates!$J:$J,MATCH(I220,StageGates!$O:$O,0)),"")</f>
        <v/>
      </c>
      <c r="F220" s="7">
        <f>IFERROR(INDEX(StageGates!$G:$G,MATCH(I220,StageGates!$O:$O,0)),"")</f>
        <v/>
      </c>
      <c r="G220" s="7">
        <f>IFERROR(INDEX(StageGates!$H:$H,MATCH(I220,StageGates!$O:$O,0)),"")</f>
        <v/>
      </c>
      <c r="H220" s="7" t="inlineStr">
        <is>
          <t>StageGate</t>
        </is>
      </c>
      <c r="I220" s="7">
        <f>A220&amp;"|"&amp;B220</f>
        <v/>
      </c>
    </row>
    <row r="221" ht="15" customHeight="1" s="5">
      <c r="A221" s="7" t="inlineStr">
        <is>
          <t>PRJ028</t>
        </is>
      </c>
      <c r="B221" s="7" t="inlineStr">
        <is>
          <t>Business Case / Full Funding</t>
        </is>
      </c>
      <c r="C221" s="8">
        <f>IFERROR(INDEX(StageGates!$I:$I,MATCH(I221,StageGates!$O:$O,0)),"")</f>
        <v/>
      </c>
      <c r="D221" s="8">
        <f>IFERROR(INDEX(StageGates!$J:$J,MATCH(I221,StageGates!$O:$O,0)),"")</f>
        <v/>
      </c>
      <c r="E221" s="7">
        <f>IFERROR(INDEX(StageGates!$J:$J,MATCH(I221,StageGates!$O:$O,0)),"")</f>
        <v/>
      </c>
      <c r="F221" s="7">
        <f>IFERROR(INDEX(StageGates!$G:$G,MATCH(I221,StageGates!$O:$O,0)),"")</f>
        <v/>
      </c>
      <c r="G221" s="7">
        <f>IFERROR(INDEX(StageGates!$H:$H,MATCH(I221,StageGates!$O:$O,0)),"")</f>
        <v/>
      </c>
      <c r="H221" s="7" t="inlineStr">
        <is>
          <t>StageGate</t>
        </is>
      </c>
      <c r="I221" s="7">
        <f>A221&amp;"|"&amp;B221</f>
        <v/>
      </c>
    </row>
    <row r="222" ht="15" customHeight="1" s="5">
      <c r="A222" s="7" t="inlineStr">
        <is>
          <t>PRJ028</t>
        </is>
      </c>
      <c r="B222" s="7" t="inlineStr">
        <is>
          <t>Build</t>
        </is>
      </c>
      <c r="C222" s="8">
        <f>IFERROR(INDEX(StageGates!$I:$I,MATCH(I222,StageGates!$O:$O,0)),"")</f>
        <v/>
      </c>
      <c r="D222" s="8">
        <f>IFERROR(INDEX(StageGates!$J:$J,MATCH(I222,StageGates!$O:$O,0)),"")</f>
        <v/>
      </c>
      <c r="E222" s="7">
        <f>IFERROR(INDEX(StageGates!$J:$J,MATCH(I222,StageGates!$O:$O,0)),"")</f>
        <v/>
      </c>
      <c r="F222" s="7">
        <f>IFERROR(INDEX(StageGates!$G:$G,MATCH(I222,StageGates!$O:$O,0)),"")</f>
        <v/>
      </c>
      <c r="G222" s="7">
        <f>IFERROR(INDEX(StageGates!$H:$H,MATCH(I222,StageGates!$O:$O,0)),"")</f>
        <v/>
      </c>
      <c r="H222" s="7" t="inlineStr">
        <is>
          <t>StageGate</t>
        </is>
      </c>
      <c r="I222" s="7">
        <f>A222&amp;"|"&amp;B222</f>
        <v/>
      </c>
    </row>
    <row r="223" ht="15" customHeight="1" s="5">
      <c r="A223" s="7" t="inlineStr">
        <is>
          <t>PRJ028</t>
        </is>
      </c>
      <c r="B223" s="7" t="inlineStr">
        <is>
          <t>Testing</t>
        </is>
      </c>
      <c r="C223" s="8">
        <f>IFERROR(INDEX(StageGates!$I:$I,MATCH(I223,StageGates!$O:$O,0)),"")</f>
        <v/>
      </c>
      <c r="D223" s="8">
        <f>IFERROR(INDEX(StageGates!$J:$J,MATCH(I223,StageGates!$O:$O,0)),"")</f>
        <v/>
      </c>
      <c r="E223" s="7">
        <f>IFERROR(INDEX(StageGates!$J:$J,MATCH(I223,StageGates!$O:$O,0)),"")</f>
        <v/>
      </c>
      <c r="F223" s="7">
        <f>IFERROR(INDEX(StageGates!$G:$G,MATCH(I223,StageGates!$O:$O,0)),"")</f>
        <v/>
      </c>
      <c r="G223" s="7">
        <f>IFERROR(INDEX(StageGates!$H:$H,MATCH(I223,StageGates!$O:$O,0)),"")</f>
        <v/>
      </c>
      <c r="H223" s="7" t="inlineStr">
        <is>
          <t>StageGate</t>
        </is>
      </c>
      <c r="I223" s="7">
        <f>A223&amp;"|"&amp;B223</f>
        <v/>
      </c>
    </row>
    <row r="224" ht="15" customHeight="1" s="5">
      <c r="A224" s="7" t="inlineStr">
        <is>
          <t>PRJ028</t>
        </is>
      </c>
      <c r="B224" s="7" t="inlineStr">
        <is>
          <t>Deployment</t>
        </is>
      </c>
      <c r="C224" s="8">
        <f>IFERROR(INDEX(StageGates!$I:$I,MATCH(I224,StageGates!$O:$O,0)),"")</f>
        <v/>
      </c>
      <c r="D224" s="8">
        <f>IFERROR(INDEX(StageGates!$J:$J,MATCH(I224,StageGates!$O:$O,0)),"")</f>
        <v/>
      </c>
      <c r="E224" s="7">
        <f>IFERROR(INDEX(StageGates!$J:$J,MATCH(I224,StageGates!$O:$O,0)),"")</f>
        <v/>
      </c>
      <c r="F224" s="7">
        <f>IFERROR(INDEX(StageGates!$G:$G,MATCH(I224,StageGates!$O:$O,0)),"")</f>
        <v/>
      </c>
      <c r="G224" s="7">
        <f>IFERROR(INDEX(StageGates!$H:$H,MATCH(I224,StageGates!$O:$O,0)),"")</f>
        <v/>
      </c>
      <c r="H224" s="7" t="inlineStr">
        <is>
          <t>StageGate</t>
        </is>
      </c>
      <c r="I224" s="7">
        <f>A224&amp;"|"&amp;B224</f>
        <v/>
      </c>
    </row>
    <row r="225" ht="15" customHeight="1" s="5">
      <c r="A225" s="7" t="inlineStr">
        <is>
          <t>PRJ028</t>
        </is>
      </c>
      <c r="B225" s="7" t="inlineStr">
        <is>
          <t>Handover</t>
        </is>
      </c>
      <c r="C225" s="8">
        <f>IFERROR(INDEX(StageGates!$I:$I,MATCH(I225,StageGates!$O:$O,0)),"")</f>
        <v/>
      </c>
      <c r="D225" s="8">
        <f>IFERROR(INDEX(StageGates!$J:$J,MATCH(I225,StageGates!$O:$O,0)),"")</f>
        <v/>
      </c>
      <c r="E225" s="7">
        <f>IFERROR(INDEX(StageGates!$J:$J,MATCH(I225,StageGates!$O:$O,0)),"")</f>
        <v/>
      </c>
      <c r="F225" s="7">
        <f>IFERROR(INDEX(StageGates!$G:$G,MATCH(I225,StageGates!$O:$O,0)),"")</f>
        <v/>
      </c>
      <c r="G225" s="7">
        <f>IFERROR(INDEX(StageGates!$H:$H,MATCH(I225,StageGates!$O:$O,0)),"")</f>
        <v/>
      </c>
      <c r="H225" s="7" t="inlineStr">
        <is>
          <t>StageGate</t>
        </is>
      </c>
      <c r="I225" s="7">
        <f>A225&amp;"|"&amp;B225</f>
        <v/>
      </c>
    </row>
    <row r="226" ht="15" customHeight="1" s="5">
      <c r="A226" s="7" t="inlineStr">
        <is>
          <t>PRJ029</t>
        </is>
      </c>
      <c r="B226" s="7" t="inlineStr">
        <is>
          <t>Discovery</t>
        </is>
      </c>
      <c r="C226" s="8">
        <f>IFERROR(INDEX(StageGates!$I:$I,MATCH(I226,StageGates!$O:$O,0)),"")</f>
        <v/>
      </c>
      <c r="D226" s="8">
        <f>IFERROR(INDEX(StageGates!$J:$J,MATCH(I226,StageGates!$O:$O,0)),"")</f>
        <v/>
      </c>
      <c r="E226" s="7">
        <f>IFERROR(INDEX(StageGates!$J:$J,MATCH(I226,StageGates!$O:$O,0)),"")</f>
        <v/>
      </c>
      <c r="F226" s="7">
        <f>IFERROR(INDEX(StageGates!$G:$G,MATCH(I226,StageGates!$O:$O,0)),"")</f>
        <v/>
      </c>
      <c r="G226" s="7">
        <f>IFERROR(INDEX(StageGates!$H:$H,MATCH(I226,StageGates!$O:$O,0)),"")</f>
        <v/>
      </c>
      <c r="H226" s="7" t="inlineStr">
        <is>
          <t>StageGate</t>
        </is>
      </c>
      <c r="I226" s="7">
        <f>A226&amp;"|"&amp;B226</f>
        <v/>
      </c>
    </row>
    <row r="227" ht="15" customHeight="1" s="5">
      <c r="A227" s="7" t="inlineStr">
        <is>
          <t>PRJ029</t>
        </is>
      </c>
      <c r="B227" s="7" t="inlineStr">
        <is>
          <t>Business Case / Seed Funding</t>
        </is>
      </c>
      <c r="C227" s="8">
        <f>IFERROR(INDEX(StageGates!$I:$I,MATCH(I227,StageGates!$O:$O,0)),"")</f>
        <v/>
      </c>
      <c r="D227" s="8">
        <f>IFERROR(INDEX(StageGates!$J:$J,MATCH(I227,StageGates!$O:$O,0)),"")</f>
        <v/>
      </c>
      <c r="E227" s="7">
        <f>IFERROR(INDEX(StageGates!$J:$J,MATCH(I227,StageGates!$O:$O,0)),"")</f>
        <v/>
      </c>
      <c r="F227" s="7">
        <f>IFERROR(INDEX(StageGates!$G:$G,MATCH(I227,StageGates!$O:$O,0)),"")</f>
        <v/>
      </c>
      <c r="G227" s="7">
        <f>IFERROR(INDEX(StageGates!$H:$H,MATCH(I227,StageGates!$O:$O,0)),"")</f>
        <v/>
      </c>
      <c r="H227" s="7" t="inlineStr">
        <is>
          <t>StageGate</t>
        </is>
      </c>
      <c r="I227" s="7">
        <f>A227&amp;"|"&amp;B227</f>
        <v/>
      </c>
    </row>
    <row r="228" ht="15" customHeight="1" s="5">
      <c r="A228" s="7" t="inlineStr">
        <is>
          <t>PRJ029</t>
        </is>
      </c>
      <c r="B228" s="7" t="inlineStr">
        <is>
          <t>Design</t>
        </is>
      </c>
      <c r="C228" s="8">
        <f>IFERROR(INDEX(StageGates!$I:$I,MATCH(I228,StageGates!$O:$O,0)),"")</f>
        <v/>
      </c>
      <c r="D228" s="8">
        <f>IFERROR(INDEX(StageGates!$J:$J,MATCH(I228,StageGates!$O:$O,0)),"")</f>
        <v/>
      </c>
      <c r="E228" s="7">
        <f>IFERROR(INDEX(StageGates!$J:$J,MATCH(I228,StageGates!$O:$O,0)),"")</f>
        <v/>
      </c>
      <c r="F228" s="7">
        <f>IFERROR(INDEX(StageGates!$G:$G,MATCH(I228,StageGates!$O:$O,0)),"")</f>
        <v/>
      </c>
      <c r="G228" s="7">
        <f>IFERROR(INDEX(StageGates!$H:$H,MATCH(I228,StageGates!$O:$O,0)),"")</f>
        <v/>
      </c>
      <c r="H228" s="7" t="inlineStr">
        <is>
          <t>StageGate</t>
        </is>
      </c>
      <c r="I228" s="7">
        <f>A228&amp;"|"&amp;B228</f>
        <v/>
      </c>
    </row>
    <row r="229" ht="15" customHeight="1" s="5">
      <c r="A229" s="7" t="inlineStr">
        <is>
          <t>PRJ029</t>
        </is>
      </c>
      <c r="B229" s="7" t="inlineStr">
        <is>
          <t>Business Case / Full Funding</t>
        </is>
      </c>
      <c r="C229" s="8">
        <f>IFERROR(INDEX(StageGates!$I:$I,MATCH(I229,StageGates!$O:$O,0)),"")</f>
        <v/>
      </c>
      <c r="D229" s="8">
        <f>IFERROR(INDEX(StageGates!$J:$J,MATCH(I229,StageGates!$O:$O,0)),"")</f>
        <v/>
      </c>
      <c r="E229" s="7">
        <f>IFERROR(INDEX(StageGates!$J:$J,MATCH(I229,StageGates!$O:$O,0)),"")</f>
        <v/>
      </c>
      <c r="F229" s="7">
        <f>IFERROR(INDEX(StageGates!$G:$G,MATCH(I229,StageGates!$O:$O,0)),"")</f>
        <v/>
      </c>
      <c r="G229" s="7">
        <f>IFERROR(INDEX(StageGates!$H:$H,MATCH(I229,StageGates!$O:$O,0)),"")</f>
        <v/>
      </c>
      <c r="H229" s="7" t="inlineStr">
        <is>
          <t>StageGate</t>
        </is>
      </c>
      <c r="I229" s="7">
        <f>A229&amp;"|"&amp;B229</f>
        <v/>
      </c>
    </row>
    <row r="230" ht="15" customHeight="1" s="5">
      <c r="A230" s="7" t="inlineStr">
        <is>
          <t>PRJ029</t>
        </is>
      </c>
      <c r="B230" s="7" t="inlineStr">
        <is>
          <t>Build</t>
        </is>
      </c>
      <c r="C230" s="8">
        <f>IFERROR(INDEX(StageGates!$I:$I,MATCH(I230,StageGates!$O:$O,0)),"")</f>
        <v/>
      </c>
      <c r="D230" s="8">
        <f>IFERROR(INDEX(StageGates!$J:$J,MATCH(I230,StageGates!$O:$O,0)),"")</f>
        <v/>
      </c>
      <c r="E230" s="7">
        <f>IFERROR(INDEX(StageGates!$J:$J,MATCH(I230,StageGates!$O:$O,0)),"")</f>
        <v/>
      </c>
      <c r="F230" s="7">
        <f>IFERROR(INDEX(StageGates!$G:$G,MATCH(I230,StageGates!$O:$O,0)),"")</f>
        <v/>
      </c>
      <c r="G230" s="7">
        <f>IFERROR(INDEX(StageGates!$H:$H,MATCH(I230,StageGates!$O:$O,0)),"")</f>
        <v/>
      </c>
      <c r="H230" s="7" t="inlineStr">
        <is>
          <t>StageGate</t>
        </is>
      </c>
      <c r="I230" s="7">
        <f>A230&amp;"|"&amp;B230</f>
        <v/>
      </c>
    </row>
    <row r="231" ht="15" customHeight="1" s="5">
      <c r="A231" s="7" t="inlineStr">
        <is>
          <t>PRJ029</t>
        </is>
      </c>
      <c r="B231" s="7" t="inlineStr">
        <is>
          <t>Testing</t>
        </is>
      </c>
      <c r="C231" s="8">
        <f>IFERROR(INDEX(StageGates!$I:$I,MATCH(I231,StageGates!$O:$O,0)),"")</f>
        <v/>
      </c>
      <c r="D231" s="8">
        <f>IFERROR(INDEX(StageGates!$J:$J,MATCH(I231,StageGates!$O:$O,0)),"")</f>
        <v/>
      </c>
      <c r="E231" s="7">
        <f>IFERROR(INDEX(StageGates!$J:$J,MATCH(I231,StageGates!$O:$O,0)),"")</f>
        <v/>
      </c>
      <c r="F231" s="7">
        <f>IFERROR(INDEX(StageGates!$G:$G,MATCH(I231,StageGates!$O:$O,0)),"")</f>
        <v/>
      </c>
      <c r="G231" s="7">
        <f>IFERROR(INDEX(StageGates!$H:$H,MATCH(I231,StageGates!$O:$O,0)),"")</f>
        <v/>
      </c>
      <c r="H231" s="7" t="inlineStr">
        <is>
          <t>StageGate</t>
        </is>
      </c>
      <c r="I231" s="7">
        <f>A231&amp;"|"&amp;B231</f>
        <v/>
      </c>
    </row>
    <row r="232" ht="15" customHeight="1" s="5">
      <c r="A232" s="7" t="inlineStr">
        <is>
          <t>PRJ029</t>
        </is>
      </c>
      <c r="B232" s="7" t="inlineStr">
        <is>
          <t>Deployment</t>
        </is>
      </c>
      <c r="C232" s="8">
        <f>IFERROR(INDEX(StageGates!$I:$I,MATCH(I232,StageGates!$O:$O,0)),"")</f>
        <v/>
      </c>
      <c r="D232" s="8">
        <f>IFERROR(INDEX(StageGates!$J:$J,MATCH(I232,StageGates!$O:$O,0)),"")</f>
        <v/>
      </c>
      <c r="E232" s="7">
        <f>IFERROR(INDEX(StageGates!$J:$J,MATCH(I232,StageGates!$O:$O,0)),"")</f>
        <v/>
      </c>
      <c r="F232" s="7">
        <f>IFERROR(INDEX(StageGates!$G:$G,MATCH(I232,StageGates!$O:$O,0)),"")</f>
        <v/>
      </c>
      <c r="G232" s="7">
        <f>IFERROR(INDEX(StageGates!$H:$H,MATCH(I232,StageGates!$O:$O,0)),"")</f>
        <v/>
      </c>
      <c r="H232" s="7" t="inlineStr">
        <is>
          <t>StageGate</t>
        </is>
      </c>
      <c r="I232" s="7">
        <f>A232&amp;"|"&amp;B232</f>
        <v/>
      </c>
    </row>
    <row r="233" ht="15" customHeight="1" s="5">
      <c r="A233" s="7" t="inlineStr">
        <is>
          <t>PRJ029</t>
        </is>
      </c>
      <c r="B233" s="7" t="inlineStr">
        <is>
          <t>Handover</t>
        </is>
      </c>
      <c r="C233" s="8">
        <f>IFERROR(INDEX(StageGates!$I:$I,MATCH(I233,StageGates!$O:$O,0)),"")</f>
        <v/>
      </c>
      <c r="D233" s="8">
        <f>IFERROR(INDEX(StageGates!$J:$J,MATCH(I233,StageGates!$O:$O,0)),"")</f>
        <v/>
      </c>
      <c r="E233" s="7">
        <f>IFERROR(INDEX(StageGates!$J:$J,MATCH(I233,StageGates!$O:$O,0)),"")</f>
        <v/>
      </c>
      <c r="F233" s="7">
        <f>IFERROR(INDEX(StageGates!$G:$G,MATCH(I233,StageGates!$O:$O,0)),"")</f>
        <v/>
      </c>
      <c r="G233" s="7">
        <f>IFERROR(INDEX(StageGates!$H:$H,MATCH(I233,StageGates!$O:$O,0)),"")</f>
        <v/>
      </c>
      <c r="H233" s="7" t="inlineStr">
        <is>
          <t>StageGate</t>
        </is>
      </c>
      <c r="I233" s="7">
        <f>A233&amp;"|"&amp;B233</f>
        <v/>
      </c>
    </row>
    <row r="234" ht="15" customHeight="1" s="5">
      <c r="A234" s="7" t="inlineStr">
        <is>
          <t>PRJ030</t>
        </is>
      </c>
      <c r="B234" s="7" t="inlineStr">
        <is>
          <t>Discovery</t>
        </is>
      </c>
      <c r="C234" s="8">
        <f>IFERROR(INDEX(StageGates!$I:$I,MATCH(I234,StageGates!$O:$O,0)),"")</f>
        <v/>
      </c>
      <c r="D234" s="8">
        <f>IFERROR(INDEX(StageGates!$J:$J,MATCH(I234,StageGates!$O:$O,0)),"")</f>
        <v/>
      </c>
      <c r="E234" s="8">
        <f>IFERROR(INDEX(StageGates!$J:$J,MATCH(I234,StageGates!$O:$O,0)),"")</f>
        <v/>
      </c>
      <c r="F234" s="7">
        <f>IFERROR(INDEX(StageGates!$G:$G,MATCH(I234,StageGates!$O:$O,0)),"")</f>
        <v/>
      </c>
      <c r="G234" s="7">
        <f>IFERROR(INDEX(StageGates!$H:$H,MATCH(I234,StageGates!$O:$O,0)),"")</f>
        <v/>
      </c>
      <c r="H234" s="7" t="inlineStr">
        <is>
          <t>StageGate</t>
        </is>
      </c>
      <c r="I234" s="7">
        <f>A234&amp;"|"&amp;B234</f>
        <v/>
      </c>
    </row>
    <row r="235" ht="15" customHeight="1" s="5">
      <c r="A235" s="7" t="inlineStr">
        <is>
          <t>PRJ030</t>
        </is>
      </c>
      <c r="B235" s="7" t="inlineStr">
        <is>
          <t>Business Case / Seed Funding</t>
        </is>
      </c>
      <c r="C235" s="8">
        <f>IFERROR(INDEX(StageGates!$I:$I,MATCH(I235,StageGates!$O:$O,0)),"")</f>
        <v/>
      </c>
      <c r="D235" s="8">
        <f>IFERROR(INDEX(StageGates!$J:$J,MATCH(I235,StageGates!$O:$O,0)),"")</f>
        <v/>
      </c>
      <c r="E235" s="8">
        <f>IFERROR(INDEX(StageGates!$J:$J,MATCH(I235,StageGates!$O:$O,0)),"")</f>
        <v/>
      </c>
      <c r="F235" s="7">
        <f>IFERROR(INDEX(StageGates!$G:$G,MATCH(I235,StageGates!$O:$O,0)),"")</f>
        <v/>
      </c>
      <c r="G235" s="7">
        <f>IFERROR(INDEX(StageGates!$H:$H,MATCH(I235,StageGates!$O:$O,0)),"")</f>
        <v/>
      </c>
      <c r="H235" s="7" t="inlineStr">
        <is>
          <t>StageGate</t>
        </is>
      </c>
      <c r="I235" s="7">
        <f>A235&amp;"|"&amp;B235</f>
        <v/>
      </c>
    </row>
    <row r="236" ht="15" customHeight="1" s="5">
      <c r="A236" s="7" t="inlineStr">
        <is>
          <t>PRJ030</t>
        </is>
      </c>
      <c r="B236" s="7" t="inlineStr">
        <is>
          <t>Design</t>
        </is>
      </c>
      <c r="C236" s="8">
        <f>IFERROR(INDEX(StageGates!$I:$I,MATCH(I236,StageGates!$O:$O,0)),"")</f>
        <v/>
      </c>
      <c r="D236" s="8">
        <f>IFERROR(INDEX(StageGates!$J:$J,MATCH(I236,StageGates!$O:$O,0)),"")</f>
        <v/>
      </c>
      <c r="E236" s="8">
        <f>IFERROR(INDEX(StageGates!$J:$J,MATCH(I236,StageGates!$O:$O,0)),"")</f>
        <v/>
      </c>
      <c r="F236" s="7">
        <f>IFERROR(INDEX(StageGates!$G:$G,MATCH(I236,StageGates!$O:$O,0)),"")</f>
        <v/>
      </c>
      <c r="G236" s="7">
        <f>IFERROR(INDEX(StageGates!$H:$H,MATCH(I236,StageGates!$O:$O,0)),"")</f>
        <v/>
      </c>
      <c r="H236" s="7" t="inlineStr">
        <is>
          <t>StageGate</t>
        </is>
      </c>
      <c r="I236" s="7">
        <f>A236&amp;"|"&amp;B236</f>
        <v/>
      </c>
    </row>
    <row r="237" ht="15" customHeight="1" s="5">
      <c r="A237" s="7" t="inlineStr">
        <is>
          <t>PRJ030</t>
        </is>
      </c>
      <c r="B237" s="7" t="inlineStr">
        <is>
          <t>Business Case / Full Funding</t>
        </is>
      </c>
      <c r="C237" s="8">
        <f>IFERROR(INDEX(StageGates!$I:$I,MATCH(I237,StageGates!$O:$O,0)),"")</f>
        <v/>
      </c>
      <c r="D237" s="8">
        <f>IFERROR(INDEX(StageGates!$J:$J,MATCH(I237,StageGates!$O:$O,0)),"")</f>
        <v/>
      </c>
      <c r="E237" s="8">
        <f>IFERROR(INDEX(StageGates!$J:$J,MATCH(I237,StageGates!$O:$O,0)),"")</f>
        <v/>
      </c>
      <c r="F237" s="7">
        <f>IFERROR(INDEX(StageGates!$G:$G,MATCH(I237,StageGates!$O:$O,0)),"")</f>
        <v/>
      </c>
      <c r="G237" s="7">
        <f>IFERROR(INDEX(StageGates!$H:$H,MATCH(I237,StageGates!$O:$O,0)),"")</f>
        <v/>
      </c>
      <c r="H237" s="7" t="inlineStr">
        <is>
          <t>StageGate</t>
        </is>
      </c>
      <c r="I237" s="7">
        <f>A237&amp;"|"&amp;B237</f>
        <v/>
      </c>
    </row>
    <row r="238" ht="15" customHeight="1" s="5">
      <c r="A238" s="7" t="inlineStr">
        <is>
          <t>PRJ030</t>
        </is>
      </c>
      <c r="B238" s="7" t="inlineStr">
        <is>
          <t>Build</t>
        </is>
      </c>
      <c r="C238" s="8">
        <f>IFERROR(INDEX(StageGates!$I:$I,MATCH(I238,StageGates!$O:$O,0)),"")</f>
        <v/>
      </c>
      <c r="D238" s="8">
        <f>IFERROR(INDEX(StageGates!$J:$J,MATCH(I238,StageGates!$O:$O,0)),"")</f>
        <v/>
      </c>
      <c r="E238" s="7">
        <f>IFERROR(INDEX(StageGates!$J:$J,MATCH(I238,StageGates!$O:$O,0)),"")</f>
        <v/>
      </c>
      <c r="F238" s="7">
        <f>IFERROR(INDEX(StageGates!$G:$G,MATCH(I238,StageGates!$O:$O,0)),"")</f>
        <v/>
      </c>
      <c r="G238" s="7">
        <f>IFERROR(INDEX(StageGates!$H:$H,MATCH(I238,StageGates!$O:$O,0)),"")</f>
        <v/>
      </c>
      <c r="H238" s="7" t="inlineStr">
        <is>
          <t>StageGate</t>
        </is>
      </c>
      <c r="I238" s="7">
        <f>A238&amp;"|"&amp;B238</f>
        <v/>
      </c>
    </row>
    <row r="239" ht="15" customHeight="1" s="5">
      <c r="A239" s="7" t="inlineStr">
        <is>
          <t>PRJ030</t>
        </is>
      </c>
      <c r="B239" s="7" t="inlineStr">
        <is>
          <t>Testing</t>
        </is>
      </c>
      <c r="C239" s="8">
        <f>IFERROR(INDEX(StageGates!$I:$I,MATCH(I239,StageGates!$O:$O,0)),"")</f>
        <v/>
      </c>
      <c r="D239" s="8">
        <f>IFERROR(INDEX(StageGates!$J:$J,MATCH(I239,StageGates!$O:$O,0)),"")</f>
        <v/>
      </c>
      <c r="E239" s="7">
        <f>IFERROR(INDEX(StageGates!$J:$J,MATCH(I239,StageGates!$O:$O,0)),"")</f>
        <v/>
      </c>
      <c r="F239" s="7">
        <f>IFERROR(INDEX(StageGates!$G:$G,MATCH(I239,StageGates!$O:$O,0)),"")</f>
        <v/>
      </c>
      <c r="G239" s="7">
        <f>IFERROR(INDEX(StageGates!$H:$H,MATCH(I239,StageGates!$O:$O,0)),"")</f>
        <v/>
      </c>
      <c r="H239" s="7" t="inlineStr">
        <is>
          <t>StageGate</t>
        </is>
      </c>
      <c r="I239" s="7">
        <f>A239&amp;"|"&amp;B239</f>
        <v/>
      </c>
    </row>
    <row r="240" ht="15" customHeight="1" s="5">
      <c r="A240" s="7" t="inlineStr">
        <is>
          <t>PRJ030</t>
        </is>
      </c>
      <c r="B240" s="7" t="inlineStr">
        <is>
          <t>Deployment</t>
        </is>
      </c>
      <c r="C240" s="8">
        <f>IFERROR(INDEX(StageGates!$I:$I,MATCH(I240,StageGates!$O:$O,0)),"")</f>
        <v/>
      </c>
      <c r="D240" s="8">
        <f>IFERROR(INDEX(StageGates!$J:$J,MATCH(I240,StageGates!$O:$O,0)),"")</f>
        <v/>
      </c>
      <c r="E240" s="7">
        <f>IFERROR(INDEX(StageGates!$J:$J,MATCH(I240,StageGates!$O:$O,0)),"")</f>
        <v/>
      </c>
      <c r="F240" s="7">
        <f>IFERROR(INDEX(StageGates!$G:$G,MATCH(I240,StageGates!$O:$O,0)),"")</f>
        <v/>
      </c>
      <c r="G240" s="7">
        <f>IFERROR(INDEX(StageGates!$H:$H,MATCH(I240,StageGates!$O:$O,0)),"")</f>
        <v/>
      </c>
      <c r="H240" s="7" t="inlineStr">
        <is>
          <t>StageGate</t>
        </is>
      </c>
      <c r="I240" s="7">
        <f>A240&amp;"|"&amp;B240</f>
        <v/>
      </c>
    </row>
    <row r="241" ht="15" customHeight="1" s="5">
      <c r="A241" s="7" t="inlineStr">
        <is>
          <t>PRJ030</t>
        </is>
      </c>
      <c r="B241" s="7" t="inlineStr">
        <is>
          <t>Handover</t>
        </is>
      </c>
      <c r="C241" s="8">
        <f>IFERROR(INDEX(StageGates!$I:$I,MATCH(I241,StageGates!$O:$O,0)),"")</f>
        <v/>
      </c>
      <c r="D241" s="8">
        <f>IFERROR(INDEX(StageGates!$J:$J,MATCH(I241,StageGates!$O:$O,0)),"")</f>
        <v/>
      </c>
      <c r="E241" s="7">
        <f>IFERROR(INDEX(StageGates!$J:$J,MATCH(I241,StageGates!$O:$O,0)),"")</f>
        <v/>
      </c>
      <c r="F241" s="7">
        <f>IFERROR(INDEX(StageGates!$G:$G,MATCH(I241,StageGates!$O:$O,0)),"")</f>
        <v/>
      </c>
      <c r="G241" s="7">
        <f>IFERROR(INDEX(StageGates!$H:$H,MATCH(I241,StageGates!$O:$O,0)),"")</f>
        <v/>
      </c>
      <c r="H241" s="7" t="inlineStr">
        <is>
          <t>StageGate</t>
        </is>
      </c>
      <c r="I241" s="7">
        <f>A241&amp;"|"&amp;B241</f>
        <v/>
      </c>
    </row>
    <row r="242" ht="15" customHeight="1" s="5">
      <c r="A242" s="7" t="inlineStr">
        <is>
          <t>PRJ031</t>
        </is>
      </c>
      <c r="B242" s="7" t="inlineStr">
        <is>
          <t>Discovery</t>
        </is>
      </c>
      <c r="C242" s="8">
        <f>IFERROR(INDEX(StageGates!$I:$I,MATCH(I242,StageGates!$O:$O,0)),"")</f>
        <v/>
      </c>
      <c r="D242" s="8">
        <f>IFERROR(INDEX(StageGates!$J:$J,MATCH(I242,StageGates!$O:$O,0)),"")</f>
        <v/>
      </c>
      <c r="E242" s="8">
        <f>IFERROR(INDEX(StageGates!$J:$J,MATCH(I242,StageGates!$O:$O,0)),"")</f>
        <v/>
      </c>
      <c r="F242" s="7">
        <f>IFERROR(INDEX(StageGates!$G:$G,MATCH(I242,StageGates!$O:$O,0)),"")</f>
        <v/>
      </c>
      <c r="G242" s="7">
        <f>IFERROR(INDEX(StageGates!$H:$H,MATCH(I242,StageGates!$O:$O,0)),"")</f>
        <v/>
      </c>
      <c r="H242" s="7" t="inlineStr">
        <is>
          <t>StageGate</t>
        </is>
      </c>
      <c r="I242" s="7">
        <f>A242&amp;"|"&amp;B242</f>
        <v/>
      </c>
    </row>
    <row r="243" ht="15" customHeight="1" s="5">
      <c r="A243" s="7" t="inlineStr">
        <is>
          <t>PRJ031</t>
        </is>
      </c>
      <c r="B243" s="7" t="inlineStr">
        <is>
          <t>Business Case / Seed Funding</t>
        </is>
      </c>
      <c r="C243" s="8">
        <f>IFERROR(INDEX(StageGates!$I:$I,MATCH(I243,StageGates!$O:$O,0)),"")</f>
        <v/>
      </c>
      <c r="D243" s="8">
        <f>IFERROR(INDEX(StageGates!$J:$J,MATCH(I243,StageGates!$O:$O,0)),"")</f>
        <v/>
      </c>
      <c r="E243" s="7">
        <f>IFERROR(INDEX(StageGates!$J:$J,MATCH(I243,StageGates!$O:$O,0)),"")</f>
        <v/>
      </c>
      <c r="F243" s="7">
        <f>IFERROR(INDEX(StageGates!$G:$G,MATCH(I243,StageGates!$O:$O,0)),"")</f>
        <v/>
      </c>
      <c r="G243" s="7">
        <f>IFERROR(INDEX(StageGates!$H:$H,MATCH(I243,StageGates!$O:$O,0)),"")</f>
        <v/>
      </c>
      <c r="H243" s="7" t="inlineStr">
        <is>
          <t>StageGate</t>
        </is>
      </c>
      <c r="I243" s="7">
        <f>A243&amp;"|"&amp;B243</f>
        <v/>
      </c>
    </row>
    <row r="244" ht="15" customHeight="1" s="5">
      <c r="A244" s="7" t="inlineStr">
        <is>
          <t>PRJ031</t>
        </is>
      </c>
      <c r="B244" s="7" t="inlineStr">
        <is>
          <t>Design</t>
        </is>
      </c>
      <c r="C244" s="8">
        <f>IFERROR(INDEX(StageGates!$I:$I,MATCH(I244,StageGates!$O:$O,0)),"")</f>
        <v/>
      </c>
      <c r="D244" s="8">
        <f>IFERROR(INDEX(StageGates!$J:$J,MATCH(I244,StageGates!$O:$O,0)),"")</f>
        <v/>
      </c>
      <c r="E244" s="7">
        <f>IFERROR(INDEX(StageGates!$J:$J,MATCH(I244,StageGates!$O:$O,0)),"")</f>
        <v/>
      </c>
      <c r="F244" s="7">
        <f>IFERROR(INDEX(StageGates!$G:$G,MATCH(I244,StageGates!$O:$O,0)),"")</f>
        <v/>
      </c>
      <c r="G244" s="7">
        <f>IFERROR(INDEX(StageGates!$H:$H,MATCH(I244,StageGates!$O:$O,0)),"")</f>
        <v/>
      </c>
      <c r="H244" s="7" t="inlineStr">
        <is>
          <t>StageGate</t>
        </is>
      </c>
      <c r="I244" s="7">
        <f>A244&amp;"|"&amp;B244</f>
        <v/>
      </c>
    </row>
    <row r="245" ht="15" customHeight="1" s="5">
      <c r="A245" s="7" t="inlineStr">
        <is>
          <t>PRJ031</t>
        </is>
      </c>
      <c r="B245" s="7" t="inlineStr">
        <is>
          <t>Business Case / Full Funding</t>
        </is>
      </c>
      <c r="C245" s="8">
        <f>IFERROR(INDEX(StageGates!$I:$I,MATCH(I245,StageGates!$O:$O,0)),"")</f>
        <v/>
      </c>
      <c r="D245" s="8">
        <f>IFERROR(INDEX(StageGates!$J:$J,MATCH(I245,StageGates!$O:$O,0)),"")</f>
        <v/>
      </c>
      <c r="E245" s="7">
        <f>IFERROR(INDEX(StageGates!$J:$J,MATCH(I245,StageGates!$O:$O,0)),"")</f>
        <v/>
      </c>
      <c r="F245" s="7">
        <f>IFERROR(INDEX(StageGates!$G:$G,MATCH(I245,StageGates!$O:$O,0)),"")</f>
        <v/>
      </c>
      <c r="G245" s="7">
        <f>IFERROR(INDEX(StageGates!$H:$H,MATCH(I245,StageGates!$O:$O,0)),"")</f>
        <v/>
      </c>
      <c r="H245" s="7" t="inlineStr">
        <is>
          <t>StageGate</t>
        </is>
      </c>
      <c r="I245" s="7">
        <f>A245&amp;"|"&amp;B245</f>
        <v/>
      </c>
    </row>
    <row r="246" ht="15" customHeight="1" s="5">
      <c r="A246" s="7" t="inlineStr">
        <is>
          <t>PRJ031</t>
        </is>
      </c>
      <c r="B246" s="7" t="inlineStr">
        <is>
          <t>Build</t>
        </is>
      </c>
      <c r="C246" s="8">
        <f>IFERROR(INDEX(StageGates!$I:$I,MATCH(I246,StageGates!$O:$O,0)),"")</f>
        <v/>
      </c>
      <c r="D246" s="8">
        <f>IFERROR(INDEX(StageGates!$J:$J,MATCH(I246,StageGates!$O:$O,0)),"")</f>
        <v/>
      </c>
      <c r="E246" s="7">
        <f>IFERROR(INDEX(StageGates!$J:$J,MATCH(I246,StageGates!$O:$O,0)),"")</f>
        <v/>
      </c>
      <c r="F246" s="7">
        <f>IFERROR(INDEX(StageGates!$G:$G,MATCH(I246,StageGates!$O:$O,0)),"")</f>
        <v/>
      </c>
      <c r="G246" s="7">
        <f>IFERROR(INDEX(StageGates!$H:$H,MATCH(I246,StageGates!$O:$O,0)),"")</f>
        <v/>
      </c>
      <c r="H246" s="7" t="inlineStr">
        <is>
          <t>StageGate</t>
        </is>
      </c>
      <c r="I246" s="7">
        <f>A246&amp;"|"&amp;B246</f>
        <v/>
      </c>
    </row>
    <row r="247" ht="15" customHeight="1" s="5">
      <c r="A247" s="7" t="inlineStr">
        <is>
          <t>PRJ031</t>
        </is>
      </c>
      <c r="B247" s="7" t="inlineStr">
        <is>
          <t>Testing</t>
        </is>
      </c>
      <c r="C247" s="8">
        <f>IFERROR(INDEX(StageGates!$I:$I,MATCH(I247,StageGates!$O:$O,0)),"")</f>
        <v/>
      </c>
      <c r="D247" s="8">
        <f>IFERROR(INDEX(StageGates!$J:$J,MATCH(I247,StageGates!$O:$O,0)),"")</f>
        <v/>
      </c>
      <c r="E247" s="7">
        <f>IFERROR(INDEX(StageGates!$J:$J,MATCH(I247,StageGates!$O:$O,0)),"")</f>
        <v/>
      </c>
      <c r="F247" s="7">
        <f>IFERROR(INDEX(StageGates!$G:$G,MATCH(I247,StageGates!$O:$O,0)),"")</f>
        <v/>
      </c>
      <c r="G247" s="7">
        <f>IFERROR(INDEX(StageGates!$H:$H,MATCH(I247,StageGates!$O:$O,0)),"")</f>
        <v/>
      </c>
      <c r="H247" s="7" t="inlineStr">
        <is>
          <t>StageGate</t>
        </is>
      </c>
      <c r="I247" s="7">
        <f>A247&amp;"|"&amp;B247</f>
        <v/>
      </c>
    </row>
    <row r="248" ht="15" customHeight="1" s="5">
      <c r="A248" s="7" t="inlineStr">
        <is>
          <t>PRJ031</t>
        </is>
      </c>
      <c r="B248" s="7" t="inlineStr">
        <is>
          <t>Deployment</t>
        </is>
      </c>
      <c r="C248" s="8">
        <f>IFERROR(INDEX(StageGates!$I:$I,MATCH(I248,StageGates!$O:$O,0)),"")</f>
        <v/>
      </c>
      <c r="D248" s="8">
        <f>IFERROR(INDEX(StageGates!$J:$J,MATCH(I248,StageGates!$O:$O,0)),"")</f>
        <v/>
      </c>
      <c r="E248" s="7">
        <f>IFERROR(INDEX(StageGates!$J:$J,MATCH(I248,StageGates!$O:$O,0)),"")</f>
        <v/>
      </c>
      <c r="F248" s="7">
        <f>IFERROR(INDEX(StageGates!$G:$G,MATCH(I248,StageGates!$O:$O,0)),"")</f>
        <v/>
      </c>
      <c r="G248" s="7">
        <f>IFERROR(INDEX(StageGates!$H:$H,MATCH(I248,StageGates!$O:$O,0)),"")</f>
        <v/>
      </c>
      <c r="H248" s="7" t="inlineStr">
        <is>
          <t>StageGate</t>
        </is>
      </c>
      <c r="I248" s="7">
        <f>A248&amp;"|"&amp;B248</f>
        <v/>
      </c>
    </row>
    <row r="249" ht="15" customHeight="1" s="5">
      <c r="A249" s="7" t="inlineStr">
        <is>
          <t>PRJ031</t>
        </is>
      </c>
      <c r="B249" s="7" t="inlineStr">
        <is>
          <t>Handover</t>
        </is>
      </c>
      <c r="C249" s="8">
        <f>IFERROR(INDEX(StageGates!$I:$I,MATCH(I249,StageGates!$O:$O,0)),"")</f>
        <v/>
      </c>
      <c r="D249" s="8">
        <f>IFERROR(INDEX(StageGates!$J:$J,MATCH(I249,StageGates!$O:$O,0)),"")</f>
        <v/>
      </c>
      <c r="E249" s="7">
        <f>IFERROR(INDEX(StageGates!$J:$J,MATCH(I249,StageGates!$O:$O,0)),"")</f>
        <v/>
      </c>
      <c r="F249" s="7">
        <f>IFERROR(INDEX(StageGates!$G:$G,MATCH(I249,StageGates!$O:$O,0)),"")</f>
        <v/>
      </c>
      <c r="G249" s="7">
        <f>IFERROR(INDEX(StageGates!$H:$H,MATCH(I249,StageGates!$O:$O,0)),"")</f>
        <v/>
      </c>
      <c r="H249" s="7" t="inlineStr">
        <is>
          <t>StageGate</t>
        </is>
      </c>
      <c r="I249" s="7">
        <f>A249&amp;"|"&amp;B249</f>
        <v/>
      </c>
    </row>
    <row r="250" ht="15" customHeight="1" s="5">
      <c r="A250" s="7" t="inlineStr">
        <is>
          <t>PRJ032</t>
        </is>
      </c>
      <c r="B250" s="7" t="inlineStr">
        <is>
          <t>Discovery</t>
        </is>
      </c>
      <c r="C250" s="8">
        <f>IFERROR(INDEX(StageGates!$I:$I,MATCH(I250,StageGates!$O:$O,0)),"")</f>
        <v/>
      </c>
      <c r="D250" s="8">
        <f>IFERROR(INDEX(StageGates!$J:$J,MATCH(I250,StageGates!$O:$O,0)),"")</f>
        <v/>
      </c>
      <c r="E250" s="8">
        <f>IFERROR(INDEX(StageGates!$J:$J,MATCH(I250,StageGates!$O:$O,0)),"")</f>
        <v/>
      </c>
      <c r="F250" s="7">
        <f>IFERROR(INDEX(StageGates!$G:$G,MATCH(I250,StageGates!$O:$O,0)),"")</f>
        <v/>
      </c>
      <c r="G250" s="7">
        <f>IFERROR(INDEX(StageGates!$H:$H,MATCH(I250,StageGates!$O:$O,0)),"")</f>
        <v/>
      </c>
      <c r="H250" s="7" t="inlineStr">
        <is>
          <t>StageGate</t>
        </is>
      </c>
      <c r="I250" s="7">
        <f>A250&amp;"|"&amp;B250</f>
        <v/>
      </c>
    </row>
    <row r="251" ht="15" customHeight="1" s="5">
      <c r="A251" s="7" t="inlineStr">
        <is>
          <t>PRJ032</t>
        </is>
      </c>
      <c r="B251" s="7" t="inlineStr">
        <is>
          <t>Business Case / Seed Funding</t>
        </is>
      </c>
      <c r="C251" s="8">
        <f>IFERROR(INDEX(StageGates!$I:$I,MATCH(I251,StageGates!$O:$O,0)),"")</f>
        <v/>
      </c>
      <c r="D251" s="8">
        <f>IFERROR(INDEX(StageGates!$J:$J,MATCH(I251,StageGates!$O:$O,0)),"")</f>
        <v/>
      </c>
      <c r="E251" s="8">
        <f>IFERROR(INDEX(StageGates!$J:$J,MATCH(I251,StageGates!$O:$O,0)),"")</f>
        <v/>
      </c>
      <c r="F251" s="7">
        <f>IFERROR(INDEX(StageGates!$G:$G,MATCH(I251,StageGates!$O:$O,0)),"")</f>
        <v/>
      </c>
      <c r="G251" s="7">
        <f>IFERROR(INDEX(StageGates!$H:$H,MATCH(I251,StageGates!$O:$O,0)),"")</f>
        <v/>
      </c>
      <c r="H251" s="7" t="inlineStr">
        <is>
          <t>StageGate</t>
        </is>
      </c>
      <c r="I251" s="7">
        <f>A251&amp;"|"&amp;B251</f>
        <v/>
      </c>
    </row>
    <row r="252" ht="15" customHeight="1" s="5">
      <c r="A252" s="7" t="inlineStr">
        <is>
          <t>PRJ032</t>
        </is>
      </c>
      <c r="B252" s="7" t="inlineStr">
        <is>
          <t>Design</t>
        </is>
      </c>
      <c r="C252" s="8">
        <f>IFERROR(INDEX(StageGates!$I:$I,MATCH(I252,StageGates!$O:$O,0)),"")</f>
        <v/>
      </c>
      <c r="D252" s="8">
        <f>IFERROR(INDEX(StageGates!$J:$J,MATCH(I252,StageGates!$O:$O,0)),"")</f>
        <v/>
      </c>
      <c r="E252" s="8">
        <f>IFERROR(INDEX(StageGates!$J:$J,MATCH(I252,StageGates!$O:$O,0)),"")</f>
        <v/>
      </c>
      <c r="F252" s="7">
        <f>IFERROR(INDEX(StageGates!$G:$G,MATCH(I252,StageGates!$O:$O,0)),"")</f>
        <v/>
      </c>
      <c r="G252" s="7">
        <f>IFERROR(INDEX(StageGates!$H:$H,MATCH(I252,StageGates!$O:$O,0)),"")</f>
        <v/>
      </c>
      <c r="H252" s="7" t="inlineStr">
        <is>
          <t>StageGate</t>
        </is>
      </c>
      <c r="I252" s="7">
        <f>A252&amp;"|"&amp;B252</f>
        <v/>
      </c>
    </row>
    <row r="253" ht="15" customHeight="1" s="5">
      <c r="A253" s="7" t="inlineStr">
        <is>
          <t>PRJ032</t>
        </is>
      </c>
      <c r="B253" s="7" t="inlineStr">
        <is>
          <t>Business Case / Full Funding</t>
        </is>
      </c>
      <c r="C253" s="8">
        <f>IFERROR(INDEX(StageGates!$I:$I,MATCH(I253,StageGates!$O:$O,0)),"")</f>
        <v/>
      </c>
      <c r="D253" s="8">
        <f>IFERROR(INDEX(StageGates!$J:$J,MATCH(I253,StageGates!$O:$O,0)),"")</f>
        <v/>
      </c>
      <c r="E253" s="8">
        <f>IFERROR(INDEX(StageGates!$J:$J,MATCH(I253,StageGates!$O:$O,0)),"")</f>
        <v/>
      </c>
      <c r="F253" s="7">
        <f>IFERROR(INDEX(StageGates!$G:$G,MATCH(I253,StageGates!$O:$O,0)),"")</f>
        <v/>
      </c>
      <c r="G253" s="7">
        <f>IFERROR(INDEX(StageGates!$H:$H,MATCH(I253,StageGates!$O:$O,0)),"")</f>
        <v/>
      </c>
      <c r="H253" s="7" t="inlineStr">
        <is>
          <t>StageGate</t>
        </is>
      </c>
      <c r="I253" s="7">
        <f>A253&amp;"|"&amp;B253</f>
        <v/>
      </c>
    </row>
    <row r="254" ht="15" customHeight="1" s="5">
      <c r="A254" s="7" t="inlineStr">
        <is>
          <t>PRJ032</t>
        </is>
      </c>
      <c r="B254" s="7" t="inlineStr">
        <is>
          <t>Build</t>
        </is>
      </c>
      <c r="C254" s="8">
        <f>IFERROR(INDEX(StageGates!$I:$I,MATCH(I254,StageGates!$O:$O,0)),"")</f>
        <v/>
      </c>
      <c r="D254" s="8">
        <f>IFERROR(INDEX(StageGates!$J:$J,MATCH(I254,StageGates!$O:$O,0)),"")</f>
        <v/>
      </c>
      <c r="E254" s="7">
        <f>IFERROR(INDEX(StageGates!$J:$J,MATCH(I254,StageGates!$O:$O,0)),"")</f>
        <v/>
      </c>
      <c r="F254" s="7">
        <f>IFERROR(INDEX(StageGates!$G:$G,MATCH(I254,StageGates!$O:$O,0)),"")</f>
        <v/>
      </c>
      <c r="G254" s="7">
        <f>IFERROR(INDEX(StageGates!$H:$H,MATCH(I254,StageGates!$O:$O,0)),"")</f>
        <v/>
      </c>
      <c r="H254" s="7" t="inlineStr">
        <is>
          <t>StageGate</t>
        </is>
      </c>
      <c r="I254" s="7">
        <f>A254&amp;"|"&amp;B254</f>
        <v/>
      </c>
    </row>
    <row r="255" ht="15" customHeight="1" s="5">
      <c r="A255" s="7" t="inlineStr">
        <is>
          <t>PRJ032</t>
        </is>
      </c>
      <c r="B255" s="7" t="inlineStr">
        <is>
          <t>Testing</t>
        </is>
      </c>
      <c r="C255" s="8">
        <f>IFERROR(INDEX(StageGates!$I:$I,MATCH(I255,StageGates!$O:$O,0)),"")</f>
        <v/>
      </c>
      <c r="D255" s="8">
        <f>IFERROR(INDEX(StageGates!$J:$J,MATCH(I255,StageGates!$O:$O,0)),"")</f>
        <v/>
      </c>
      <c r="E255" s="7">
        <f>IFERROR(INDEX(StageGates!$J:$J,MATCH(I255,StageGates!$O:$O,0)),"")</f>
        <v/>
      </c>
      <c r="F255" s="7">
        <f>IFERROR(INDEX(StageGates!$G:$G,MATCH(I255,StageGates!$O:$O,0)),"")</f>
        <v/>
      </c>
      <c r="G255" s="7">
        <f>IFERROR(INDEX(StageGates!$H:$H,MATCH(I255,StageGates!$O:$O,0)),"")</f>
        <v/>
      </c>
      <c r="H255" s="7" t="inlineStr">
        <is>
          <t>StageGate</t>
        </is>
      </c>
      <c r="I255" s="7">
        <f>A255&amp;"|"&amp;B255</f>
        <v/>
      </c>
    </row>
    <row r="256" ht="15" customHeight="1" s="5">
      <c r="A256" s="7" t="inlineStr">
        <is>
          <t>PRJ032</t>
        </is>
      </c>
      <c r="B256" s="7" t="inlineStr">
        <is>
          <t>Deployment</t>
        </is>
      </c>
      <c r="C256" s="8">
        <f>IFERROR(INDEX(StageGates!$I:$I,MATCH(I256,StageGates!$O:$O,0)),"")</f>
        <v/>
      </c>
      <c r="D256" s="8">
        <f>IFERROR(INDEX(StageGates!$J:$J,MATCH(I256,StageGates!$O:$O,0)),"")</f>
        <v/>
      </c>
      <c r="E256" s="7">
        <f>IFERROR(INDEX(StageGates!$J:$J,MATCH(I256,StageGates!$O:$O,0)),"")</f>
        <v/>
      </c>
      <c r="F256" s="7">
        <f>IFERROR(INDEX(StageGates!$G:$G,MATCH(I256,StageGates!$O:$O,0)),"")</f>
        <v/>
      </c>
      <c r="G256" s="7">
        <f>IFERROR(INDEX(StageGates!$H:$H,MATCH(I256,StageGates!$O:$O,0)),"")</f>
        <v/>
      </c>
      <c r="H256" s="7" t="inlineStr">
        <is>
          <t>StageGate</t>
        </is>
      </c>
      <c r="I256" s="7">
        <f>A256&amp;"|"&amp;B256</f>
        <v/>
      </c>
    </row>
    <row r="257" ht="15" customHeight="1" s="5">
      <c r="A257" s="7" t="inlineStr">
        <is>
          <t>PRJ032</t>
        </is>
      </c>
      <c r="B257" s="7" t="inlineStr">
        <is>
          <t>Handover</t>
        </is>
      </c>
      <c r="C257" s="8">
        <f>IFERROR(INDEX(StageGates!$I:$I,MATCH(I257,StageGates!$O:$O,0)),"")</f>
        <v/>
      </c>
      <c r="D257" s="8">
        <f>IFERROR(INDEX(StageGates!$J:$J,MATCH(I257,StageGates!$O:$O,0)),"")</f>
        <v/>
      </c>
      <c r="E257" s="7">
        <f>IFERROR(INDEX(StageGates!$J:$J,MATCH(I257,StageGates!$O:$O,0)),"")</f>
        <v/>
      </c>
      <c r="F257" s="7">
        <f>IFERROR(INDEX(StageGates!$G:$G,MATCH(I257,StageGates!$O:$O,0)),"")</f>
        <v/>
      </c>
      <c r="G257" s="7">
        <f>IFERROR(INDEX(StageGates!$H:$H,MATCH(I257,StageGates!$O:$O,0)),"")</f>
        <v/>
      </c>
      <c r="H257" s="7" t="inlineStr">
        <is>
          <t>StageGate</t>
        </is>
      </c>
      <c r="I257" s="7">
        <f>A257&amp;"|"&amp;B257</f>
        <v/>
      </c>
    </row>
    <row r="258" ht="15" customHeight="1" s="5">
      <c r="A258" s="7" t="inlineStr">
        <is>
          <t>PRJ033</t>
        </is>
      </c>
      <c r="B258" s="7" t="inlineStr">
        <is>
          <t>Discovery</t>
        </is>
      </c>
      <c r="C258" s="8">
        <f>IFERROR(INDEX(StageGates!$I:$I,MATCH(I258,StageGates!$O:$O,0)),"")</f>
        <v/>
      </c>
      <c r="D258" s="8">
        <f>IFERROR(INDEX(StageGates!$J:$J,MATCH(I258,StageGates!$O:$O,0)),"")</f>
        <v/>
      </c>
      <c r="E258" s="8">
        <f>IFERROR(INDEX(StageGates!$J:$J,MATCH(I258,StageGates!$O:$O,0)),"")</f>
        <v/>
      </c>
      <c r="F258" s="7">
        <f>IFERROR(INDEX(StageGates!$G:$G,MATCH(I258,StageGates!$O:$O,0)),"")</f>
        <v/>
      </c>
      <c r="G258" s="7">
        <f>IFERROR(INDEX(StageGates!$H:$H,MATCH(I258,StageGates!$O:$O,0)),"")</f>
        <v/>
      </c>
      <c r="H258" s="7" t="inlineStr">
        <is>
          <t>StageGate</t>
        </is>
      </c>
      <c r="I258" s="7">
        <f>A258&amp;"|"&amp;B258</f>
        <v/>
      </c>
    </row>
    <row r="259" ht="15" customHeight="1" s="5">
      <c r="A259" s="7" t="inlineStr">
        <is>
          <t>PRJ033</t>
        </is>
      </c>
      <c r="B259" s="7" t="inlineStr">
        <is>
          <t>Business Case / Seed Funding</t>
        </is>
      </c>
      <c r="C259" s="8">
        <f>IFERROR(INDEX(StageGates!$I:$I,MATCH(I259,StageGates!$O:$O,0)),"")</f>
        <v/>
      </c>
      <c r="D259" s="8">
        <f>IFERROR(INDEX(StageGates!$J:$J,MATCH(I259,StageGates!$O:$O,0)),"")</f>
        <v/>
      </c>
      <c r="E259" s="8">
        <f>IFERROR(INDEX(StageGates!$J:$J,MATCH(I259,StageGates!$O:$O,0)),"")</f>
        <v/>
      </c>
      <c r="F259" s="7">
        <f>IFERROR(INDEX(StageGates!$G:$G,MATCH(I259,StageGates!$O:$O,0)),"")</f>
        <v/>
      </c>
      <c r="G259" s="7">
        <f>IFERROR(INDEX(StageGates!$H:$H,MATCH(I259,StageGates!$O:$O,0)),"")</f>
        <v/>
      </c>
      <c r="H259" s="7" t="inlineStr">
        <is>
          <t>StageGate</t>
        </is>
      </c>
      <c r="I259" s="7">
        <f>A259&amp;"|"&amp;B259</f>
        <v/>
      </c>
    </row>
    <row r="260" ht="15" customHeight="1" s="5">
      <c r="A260" s="7" t="inlineStr">
        <is>
          <t>PRJ033</t>
        </is>
      </c>
      <c r="B260" s="7" t="inlineStr">
        <is>
          <t>Design</t>
        </is>
      </c>
      <c r="C260" s="8">
        <f>IFERROR(INDEX(StageGates!$I:$I,MATCH(I260,StageGates!$O:$O,0)),"")</f>
        <v/>
      </c>
      <c r="D260" s="8">
        <f>IFERROR(INDEX(StageGates!$J:$J,MATCH(I260,StageGates!$O:$O,0)),"")</f>
        <v/>
      </c>
      <c r="E260" s="8">
        <f>IFERROR(INDEX(StageGates!$J:$J,MATCH(I260,StageGates!$O:$O,0)),"")</f>
        <v/>
      </c>
      <c r="F260" s="7">
        <f>IFERROR(INDEX(StageGates!$G:$G,MATCH(I260,StageGates!$O:$O,0)),"")</f>
        <v/>
      </c>
      <c r="G260" s="7">
        <f>IFERROR(INDEX(StageGates!$H:$H,MATCH(I260,StageGates!$O:$O,0)),"")</f>
        <v/>
      </c>
      <c r="H260" s="7" t="inlineStr">
        <is>
          <t>StageGate</t>
        </is>
      </c>
      <c r="I260" s="7">
        <f>A260&amp;"|"&amp;B260</f>
        <v/>
      </c>
    </row>
    <row r="261" ht="15" customHeight="1" s="5">
      <c r="A261" s="7" t="inlineStr">
        <is>
          <t>PRJ033</t>
        </is>
      </c>
      <c r="B261" s="7" t="inlineStr">
        <is>
          <t>Business Case / Full Funding</t>
        </is>
      </c>
      <c r="C261" s="8">
        <f>IFERROR(INDEX(StageGates!$I:$I,MATCH(I261,StageGates!$O:$O,0)),"")</f>
        <v/>
      </c>
      <c r="D261" s="8">
        <f>IFERROR(INDEX(StageGates!$J:$J,MATCH(I261,StageGates!$O:$O,0)),"")</f>
        <v/>
      </c>
      <c r="E261" s="8">
        <f>IFERROR(INDEX(StageGates!$J:$J,MATCH(I261,StageGates!$O:$O,0)),"")</f>
        <v/>
      </c>
      <c r="F261" s="7">
        <f>IFERROR(INDEX(StageGates!$G:$G,MATCH(I261,StageGates!$O:$O,0)),"")</f>
        <v/>
      </c>
      <c r="G261" s="7">
        <f>IFERROR(INDEX(StageGates!$H:$H,MATCH(I261,StageGates!$O:$O,0)),"")</f>
        <v/>
      </c>
      <c r="H261" s="7" t="inlineStr">
        <is>
          <t>StageGate</t>
        </is>
      </c>
      <c r="I261" s="7">
        <f>A261&amp;"|"&amp;B261</f>
        <v/>
      </c>
    </row>
    <row r="262" ht="15" customHeight="1" s="5">
      <c r="A262" s="7" t="inlineStr">
        <is>
          <t>PRJ033</t>
        </is>
      </c>
      <c r="B262" s="7" t="inlineStr">
        <is>
          <t>Build</t>
        </is>
      </c>
      <c r="C262" s="8">
        <f>IFERROR(INDEX(StageGates!$I:$I,MATCH(I262,StageGates!$O:$O,0)),"")</f>
        <v/>
      </c>
      <c r="D262" s="8">
        <f>IFERROR(INDEX(StageGates!$J:$J,MATCH(I262,StageGates!$O:$O,0)),"")</f>
        <v/>
      </c>
      <c r="E262" s="8">
        <f>IFERROR(INDEX(StageGates!$J:$J,MATCH(I262,StageGates!$O:$O,0)),"")</f>
        <v/>
      </c>
      <c r="F262" s="7">
        <f>IFERROR(INDEX(StageGates!$G:$G,MATCH(I262,StageGates!$O:$O,0)),"")</f>
        <v/>
      </c>
      <c r="G262" s="7">
        <f>IFERROR(INDEX(StageGates!$H:$H,MATCH(I262,StageGates!$O:$O,0)),"")</f>
        <v/>
      </c>
      <c r="H262" s="7" t="inlineStr">
        <is>
          <t>StageGate</t>
        </is>
      </c>
      <c r="I262" s="7">
        <f>A262&amp;"|"&amp;B262</f>
        <v/>
      </c>
    </row>
    <row r="263" ht="15" customHeight="1" s="5">
      <c r="A263" s="7" t="inlineStr">
        <is>
          <t>PRJ033</t>
        </is>
      </c>
      <c r="B263" s="7" t="inlineStr">
        <is>
          <t>Testing</t>
        </is>
      </c>
      <c r="C263" s="8">
        <f>IFERROR(INDEX(StageGates!$I:$I,MATCH(I263,StageGates!$O:$O,0)),"")</f>
        <v/>
      </c>
      <c r="D263" s="8">
        <f>IFERROR(INDEX(StageGates!$J:$J,MATCH(I263,StageGates!$O:$O,0)),"")</f>
        <v/>
      </c>
      <c r="E263" s="8">
        <f>IFERROR(INDEX(StageGates!$J:$J,MATCH(I263,StageGates!$O:$O,0)),"")</f>
        <v/>
      </c>
      <c r="F263" s="7">
        <f>IFERROR(INDEX(StageGates!$G:$G,MATCH(I263,StageGates!$O:$O,0)),"")</f>
        <v/>
      </c>
      <c r="G263" s="7">
        <f>IFERROR(INDEX(StageGates!$H:$H,MATCH(I263,StageGates!$O:$O,0)),"")</f>
        <v/>
      </c>
      <c r="H263" s="7" t="inlineStr">
        <is>
          <t>StageGate</t>
        </is>
      </c>
      <c r="I263" s="7">
        <f>A263&amp;"|"&amp;B263</f>
        <v/>
      </c>
    </row>
    <row r="264" ht="15" customHeight="1" s="5">
      <c r="A264" s="7" t="inlineStr">
        <is>
          <t>PRJ033</t>
        </is>
      </c>
      <c r="B264" s="7" t="inlineStr">
        <is>
          <t>Deployment</t>
        </is>
      </c>
      <c r="C264" s="8">
        <f>IFERROR(INDEX(StageGates!$I:$I,MATCH(I264,StageGates!$O:$O,0)),"")</f>
        <v/>
      </c>
      <c r="D264" s="8">
        <f>IFERROR(INDEX(StageGates!$J:$J,MATCH(I264,StageGates!$O:$O,0)),"")</f>
        <v/>
      </c>
      <c r="E264" s="8">
        <f>IFERROR(INDEX(StageGates!$J:$J,MATCH(I264,StageGates!$O:$O,0)),"")</f>
        <v/>
      </c>
      <c r="F264" s="7">
        <f>IFERROR(INDEX(StageGates!$G:$G,MATCH(I264,StageGates!$O:$O,0)),"")</f>
        <v/>
      </c>
      <c r="G264" s="7">
        <f>IFERROR(INDEX(StageGates!$H:$H,MATCH(I264,StageGates!$O:$O,0)),"")</f>
        <v/>
      </c>
      <c r="H264" s="7" t="inlineStr">
        <is>
          <t>StageGate</t>
        </is>
      </c>
      <c r="I264" s="7">
        <f>A264&amp;"|"&amp;B264</f>
        <v/>
      </c>
    </row>
    <row r="265" ht="15" customHeight="1" s="5">
      <c r="A265" s="7" t="inlineStr">
        <is>
          <t>PRJ033</t>
        </is>
      </c>
      <c r="B265" s="7" t="inlineStr">
        <is>
          <t>Handover</t>
        </is>
      </c>
      <c r="C265" s="8">
        <f>IFERROR(INDEX(StageGates!$I:$I,MATCH(I265,StageGates!$O:$O,0)),"")</f>
        <v/>
      </c>
      <c r="D265" s="8">
        <f>IFERROR(INDEX(StageGates!$J:$J,MATCH(I265,StageGates!$O:$O,0)),"")</f>
        <v/>
      </c>
      <c r="E265" s="7">
        <f>IFERROR(INDEX(StageGates!$J:$J,MATCH(I265,StageGates!$O:$O,0)),"")</f>
        <v/>
      </c>
      <c r="F265" s="7">
        <f>IFERROR(INDEX(StageGates!$G:$G,MATCH(I265,StageGates!$O:$O,0)),"")</f>
        <v/>
      </c>
      <c r="G265" s="7">
        <f>IFERROR(INDEX(StageGates!$H:$H,MATCH(I265,StageGates!$O:$O,0)),"")</f>
        <v/>
      </c>
      <c r="H265" s="7" t="inlineStr">
        <is>
          <t>StageGate</t>
        </is>
      </c>
      <c r="I265" s="7">
        <f>A265&amp;"|"&amp;B265</f>
        <v/>
      </c>
    </row>
    <row r="266" ht="15" customHeight="1" s="5">
      <c r="A266" s="7" t="inlineStr">
        <is>
          <t>PRJ034</t>
        </is>
      </c>
      <c r="B266" s="7" t="inlineStr">
        <is>
          <t>Discovery</t>
        </is>
      </c>
      <c r="C266" s="8">
        <f>IFERROR(INDEX(StageGates!$I:$I,MATCH(I266,StageGates!$O:$O,0)),"")</f>
        <v/>
      </c>
      <c r="D266" s="8">
        <f>IFERROR(INDEX(StageGates!$J:$J,MATCH(I266,StageGates!$O:$O,0)),"")</f>
        <v/>
      </c>
      <c r="E266" s="8">
        <f>IFERROR(INDEX(StageGates!$J:$J,MATCH(I266,StageGates!$O:$O,0)),"")</f>
        <v/>
      </c>
      <c r="F266" s="7">
        <f>IFERROR(INDEX(StageGates!$G:$G,MATCH(I266,StageGates!$O:$O,0)),"")</f>
        <v/>
      </c>
      <c r="G266" s="7">
        <f>IFERROR(INDEX(StageGates!$H:$H,MATCH(I266,StageGates!$O:$O,0)),"")</f>
        <v/>
      </c>
      <c r="H266" s="7" t="inlineStr">
        <is>
          <t>StageGate</t>
        </is>
      </c>
      <c r="I266" s="7">
        <f>A266&amp;"|"&amp;B266</f>
        <v/>
      </c>
    </row>
    <row r="267" ht="15" customHeight="1" s="5">
      <c r="A267" s="7" t="inlineStr">
        <is>
          <t>PRJ034</t>
        </is>
      </c>
      <c r="B267" s="7" t="inlineStr">
        <is>
          <t>Business Case / Seed Funding</t>
        </is>
      </c>
      <c r="C267" s="8">
        <f>IFERROR(INDEX(StageGates!$I:$I,MATCH(I267,StageGates!$O:$O,0)),"")</f>
        <v/>
      </c>
      <c r="D267" s="8">
        <f>IFERROR(INDEX(StageGates!$J:$J,MATCH(I267,StageGates!$O:$O,0)),"")</f>
        <v/>
      </c>
      <c r="E267" s="8">
        <f>IFERROR(INDEX(StageGates!$J:$J,MATCH(I267,StageGates!$O:$O,0)),"")</f>
        <v/>
      </c>
      <c r="F267" s="7">
        <f>IFERROR(INDEX(StageGates!$G:$G,MATCH(I267,StageGates!$O:$O,0)),"")</f>
        <v/>
      </c>
      <c r="G267" s="7">
        <f>IFERROR(INDEX(StageGates!$H:$H,MATCH(I267,StageGates!$O:$O,0)),"")</f>
        <v/>
      </c>
      <c r="H267" s="7" t="inlineStr">
        <is>
          <t>StageGate</t>
        </is>
      </c>
      <c r="I267" s="7">
        <f>A267&amp;"|"&amp;B267</f>
        <v/>
      </c>
    </row>
    <row r="268" ht="15" customHeight="1" s="5">
      <c r="A268" s="7" t="inlineStr">
        <is>
          <t>PRJ034</t>
        </is>
      </c>
      <c r="B268" s="7" t="inlineStr">
        <is>
          <t>Design</t>
        </is>
      </c>
      <c r="C268" s="8">
        <f>IFERROR(INDEX(StageGates!$I:$I,MATCH(I268,StageGates!$O:$O,0)),"")</f>
        <v/>
      </c>
      <c r="D268" s="8">
        <f>IFERROR(INDEX(StageGates!$J:$J,MATCH(I268,StageGates!$O:$O,0)),"")</f>
        <v/>
      </c>
      <c r="E268" s="8">
        <f>IFERROR(INDEX(StageGates!$J:$J,MATCH(I268,StageGates!$O:$O,0)),"")</f>
        <v/>
      </c>
      <c r="F268" s="7">
        <f>IFERROR(INDEX(StageGates!$G:$G,MATCH(I268,StageGates!$O:$O,0)),"")</f>
        <v/>
      </c>
      <c r="G268" s="7">
        <f>IFERROR(INDEX(StageGates!$H:$H,MATCH(I268,StageGates!$O:$O,0)),"")</f>
        <v/>
      </c>
      <c r="H268" s="7" t="inlineStr">
        <is>
          <t>StageGate</t>
        </is>
      </c>
      <c r="I268" s="7">
        <f>A268&amp;"|"&amp;B268</f>
        <v/>
      </c>
    </row>
    <row r="269" ht="15" customHeight="1" s="5">
      <c r="A269" s="7" t="inlineStr">
        <is>
          <t>PRJ034</t>
        </is>
      </c>
      <c r="B269" s="7" t="inlineStr">
        <is>
          <t>Business Case / Full Funding</t>
        </is>
      </c>
      <c r="C269" s="8">
        <f>IFERROR(INDEX(StageGates!$I:$I,MATCH(I269,StageGates!$O:$O,0)),"")</f>
        <v/>
      </c>
      <c r="D269" s="8">
        <f>IFERROR(INDEX(StageGates!$J:$J,MATCH(I269,StageGates!$O:$O,0)),"")</f>
        <v/>
      </c>
      <c r="E269" s="8">
        <f>IFERROR(INDEX(StageGates!$J:$J,MATCH(I269,StageGates!$O:$O,0)),"")</f>
        <v/>
      </c>
      <c r="F269" s="7">
        <f>IFERROR(INDEX(StageGates!$G:$G,MATCH(I269,StageGates!$O:$O,0)),"")</f>
        <v/>
      </c>
      <c r="G269" s="7">
        <f>IFERROR(INDEX(StageGates!$H:$H,MATCH(I269,StageGates!$O:$O,0)),"")</f>
        <v/>
      </c>
      <c r="H269" s="7" t="inlineStr">
        <is>
          <t>StageGate</t>
        </is>
      </c>
      <c r="I269" s="7">
        <f>A269&amp;"|"&amp;B269</f>
        <v/>
      </c>
    </row>
    <row r="270" ht="15" customHeight="1" s="5">
      <c r="A270" s="7" t="inlineStr">
        <is>
          <t>PRJ034</t>
        </is>
      </c>
      <c r="B270" s="7" t="inlineStr">
        <is>
          <t>Build</t>
        </is>
      </c>
      <c r="C270" s="8">
        <f>IFERROR(INDEX(StageGates!$I:$I,MATCH(I270,StageGates!$O:$O,0)),"")</f>
        <v/>
      </c>
      <c r="D270" s="8">
        <f>IFERROR(INDEX(StageGates!$J:$J,MATCH(I270,StageGates!$O:$O,0)),"")</f>
        <v/>
      </c>
      <c r="E270" s="7">
        <f>IFERROR(INDEX(StageGates!$J:$J,MATCH(I270,StageGates!$O:$O,0)),"")</f>
        <v/>
      </c>
      <c r="F270" s="7">
        <f>IFERROR(INDEX(StageGates!$G:$G,MATCH(I270,StageGates!$O:$O,0)),"")</f>
        <v/>
      </c>
      <c r="G270" s="7">
        <f>IFERROR(INDEX(StageGates!$H:$H,MATCH(I270,StageGates!$O:$O,0)),"")</f>
        <v/>
      </c>
      <c r="H270" s="7" t="inlineStr">
        <is>
          <t>StageGate</t>
        </is>
      </c>
      <c r="I270" s="7">
        <f>A270&amp;"|"&amp;B270</f>
        <v/>
      </c>
    </row>
    <row r="271" ht="15" customHeight="1" s="5">
      <c r="A271" s="7" t="inlineStr">
        <is>
          <t>PRJ034</t>
        </is>
      </c>
      <c r="B271" s="7" t="inlineStr">
        <is>
          <t>Testing</t>
        </is>
      </c>
      <c r="C271" s="8">
        <f>IFERROR(INDEX(StageGates!$I:$I,MATCH(I271,StageGates!$O:$O,0)),"")</f>
        <v/>
      </c>
      <c r="D271" s="8">
        <f>IFERROR(INDEX(StageGates!$J:$J,MATCH(I271,StageGates!$O:$O,0)),"")</f>
        <v/>
      </c>
      <c r="E271" s="7">
        <f>IFERROR(INDEX(StageGates!$J:$J,MATCH(I271,StageGates!$O:$O,0)),"")</f>
        <v/>
      </c>
      <c r="F271" s="7">
        <f>IFERROR(INDEX(StageGates!$G:$G,MATCH(I271,StageGates!$O:$O,0)),"")</f>
        <v/>
      </c>
      <c r="G271" s="7">
        <f>IFERROR(INDEX(StageGates!$H:$H,MATCH(I271,StageGates!$O:$O,0)),"")</f>
        <v/>
      </c>
      <c r="H271" s="7" t="inlineStr">
        <is>
          <t>StageGate</t>
        </is>
      </c>
      <c r="I271" s="7">
        <f>A271&amp;"|"&amp;B271</f>
        <v/>
      </c>
    </row>
    <row r="272" ht="15" customHeight="1" s="5">
      <c r="A272" s="7" t="inlineStr">
        <is>
          <t>PRJ034</t>
        </is>
      </c>
      <c r="B272" s="7" t="inlineStr">
        <is>
          <t>Deployment</t>
        </is>
      </c>
      <c r="C272" s="8">
        <f>IFERROR(INDEX(StageGates!$I:$I,MATCH(I272,StageGates!$O:$O,0)),"")</f>
        <v/>
      </c>
      <c r="D272" s="8">
        <f>IFERROR(INDEX(StageGates!$J:$J,MATCH(I272,StageGates!$O:$O,0)),"")</f>
        <v/>
      </c>
      <c r="E272" s="7">
        <f>IFERROR(INDEX(StageGates!$J:$J,MATCH(I272,StageGates!$O:$O,0)),"")</f>
        <v/>
      </c>
      <c r="F272" s="7">
        <f>IFERROR(INDEX(StageGates!$G:$G,MATCH(I272,StageGates!$O:$O,0)),"")</f>
        <v/>
      </c>
      <c r="G272" s="7">
        <f>IFERROR(INDEX(StageGates!$H:$H,MATCH(I272,StageGates!$O:$O,0)),"")</f>
        <v/>
      </c>
      <c r="H272" s="7" t="inlineStr">
        <is>
          <t>StageGate</t>
        </is>
      </c>
      <c r="I272" s="7">
        <f>A272&amp;"|"&amp;B272</f>
        <v/>
      </c>
    </row>
    <row r="273" ht="15" customHeight="1" s="5">
      <c r="A273" s="7" t="inlineStr">
        <is>
          <t>PRJ034</t>
        </is>
      </c>
      <c r="B273" s="7" t="inlineStr">
        <is>
          <t>Handover</t>
        </is>
      </c>
      <c r="C273" s="8">
        <f>IFERROR(INDEX(StageGates!$I:$I,MATCH(I273,StageGates!$O:$O,0)),"")</f>
        <v/>
      </c>
      <c r="D273" s="8">
        <f>IFERROR(INDEX(StageGates!$J:$J,MATCH(I273,StageGates!$O:$O,0)),"")</f>
        <v/>
      </c>
      <c r="E273" s="7">
        <f>IFERROR(INDEX(StageGates!$J:$J,MATCH(I273,StageGates!$O:$O,0)),"")</f>
        <v/>
      </c>
      <c r="F273" s="7">
        <f>IFERROR(INDEX(StageGates!$G:$G,MATCH(I273,StageGates!$O:$O,0)),"")</f>
        <v/>
      </c>
      <c r="G273" s="7">
        <f>IFERROR(INDEX(StageGates!$H:$H,MATCH(I273,StageGates!$O:$O,0)),"")</f>
        <v/>
      </c>
      <c r="H273" s="7" t="inlineStr">
        <is>
          <t>StageGate</t>
        </is>
      </c>
      <c r="I273" s="7">
        <f>A273&amp;"|"&amp;B273</f>
        <v/>
      </c>
    </row>
    <row r="274" ht="15" customHeight="1" s="5">
      <c r="A274" s="7" t="inlineStr">
        <is>
          <t>PRJ035</t>
        </is>
      </c>
      <c r="B274" s="7" t="inlineStr">
        <is>
          <t>Discovery</t>
        </is>
      </c>
      <c r="C274" s="8">
        <f>IFERROR(INDEX(StageGates!$I:$I,MATCH(I274,StageGates!$O:$O,0)),"")</f>
        <v/>
      </c>
      <c r="D274" s="8">
        <f>IFERROR(INDEX(StageGates!$J:$J,MATCH(I274,StageGates!$O:$O,0)),"")</f>
        <v/>
      </c>
      <c r="E274" s="8">
        <f>IFERROR(INDEX(StageGates!$J:$J,MATCH(I274,StageGates!$O:$O,0)),"")</f>
        <v/>
      </c>
      <c r="F274" s="7">
        <f>IFERROR(INDEX(StageGates!$G:$G,MATCH(I274,StageGates!$O:$O,0)),"")</f>
        <v/>
      </c>
      <c r="G274" s="7">
        <f>IFERROR(INDEX(StageGates!$H:$H,MATCH(I274,StageGates!$O:$O,0)),"")</f>
        <v/>
      </c>
      <c r="H274" s="7" t="inlineStr">
        <is>
          <t>StageGate</t>
        </is>
      </c>
      <c r="I274" s="7">
        <f>A274&amp;"|"&amp;B274</f>
        <v/>
      </c>
    </row>
    <row r="275" ht="15" customHeight="1" s="5">
      <c r="A275" s="7" t="inlineStr">
        <is>
          <t>PRJ035</t>
        </is>
      </c>
      <c r="B275" s="7" t="inlineStr">
        <is>
          <t>Business Case / Seed Funding</t>
        </is>
      </c>
      <c r="C275" s="8">
        <f>IFERROR(INDEX(StageGates!$I:$I,MATCH(I275,StageGates!$O:$O,0)),"")</f>
        <v/>
      </c>
      <c r="D275" s="8">
        <f>IFERROR(INDEX(StageGates!$J:$J,MATCH(I275,StageGates!$O:$O,0)),"")</f>
        <v/>
      </c>
      <c r="E275" s="8">
        <f>IFERROR(INDEX(StageGates!$J:$J,MATCH(I275,StageGates!$O:$O,0)),"")</f>
        <v/>
      </c>
      <c r="F275" s="7">
        <f>IFERROR(INDEX(StageGates!$G:$G,MATCH(I275,StageGates!$O:$O,0)),"")</f>
        <v/>
      </c>
      <c r="G275" s="7">
        <f>IFERROR(INDEX(StageGates!$H:$H,MATCH(I275,StageGates!$O:$O,0)),"")</f>
        <v/>
      </c>
      <c r="H275" s="7" t="inlineStr">
        <is>
          <t>StageGate</t>
        </is>
      </c>
      <c r="I275" s="7">
        <f>A275&amp;"|"&amp;B275</f>
        <v/>
      </c>
    </row>
    <row r="276" ht="15" customHeight="1" s="5">
      <c r="A276" s="7" t="inlineStr">
        <is>
          <t>PRJ035</t>
        </is>
      </c>
      <c r="B276" s="7" t="inlineStr">
        <is>
          <t>Design</t>
        </is>
      </c>
      <c r="C276" s="8">
        <f>IFERROR(INDEX(StageGates!$I:$I,MATCH(I276,StageGates!$O:$O,0)),"")</f>
        <v/>
      </c>
      <c r="D276" s="8">
        <f>IFERROR(INDEX(StageGates!$J:$J,MATCH(I276,StageGates!$O:$O,0)),"")</f>
        <v/>
      </c>
      <c r="E276" s="8">
        <f>IFERROR(INDEX(StageGates!$J:$J,MATCH(I276,StageGates!$O:$O,0)),"")</f>
        <v/>
      </c>
      <c r="F276" s="7">
        <f>IFERROR(INDEX(StageGates!$G:$G,MATCH(I276,StageGates!$O:$O,0)),"")</f>
        <v/>
      </c>
      <c r="G276" s="7">
        <f>IFERROR(INDEX(StageGates!$H:$H,MATCH(I276,StageGates!$O:$O,0)),"")</f>
        <v/>
      </c>
      <c r="H276" s="7" t="inlineStr">
        <is>
          <t>StageGate</t>
        </is>
      </c>
      <c r="I276" s="7">
        <f>A276&amp;"|"&amp;B276</f>
        <v/>
      </c>
    </row>
    <row r="277" ht="15" customHeight="1" s="5">
      <c r="A277" s="7" t="inlineStr">
        <is>
          <t>PRJ035</t>
        </is>
      </c>
      <c r="B277" s="7" t="inlineStr">
        <is>
          <t>Business Case / Full Funding</t>
        </is>
      </c>
      <c r="C277" s="8">
        <f>IFERROR(INDEX(StageGates!$I:$I,MATCH(I277,StageGates!$O:$O,0)),"")</f>
        <v/>
      </c>
      <c r="D277" s="8">
        <f>IFERROR(INDEX(StageGates!$J:$J,MATCH(I277,StageGates!$O:$O,0)),"")</f>
        <v/>
      </c>
      <c r="E277" s="8">
        <f>IFERROR(INDEX(StageGates!$J:$J,MATCH(I277,StageGates!$O:$O,0)),"")</f>
        <v/>
      </c>
      <c r="F277" s="7">
        <f>IFERROR(INDEX(StageGates!$G:$G,MATCH(I277,StageGates!$O:$O,0)),"")</f>
        <v/>
      </c>
      <c r="G277" s="7">
        <f>IFERROR(INDEX(StageGates!$H:$H,MATCH(I277,StageGates!$O:$O,0)),"")</f>
        <v/>
      </c>
      <c r="H277" s="7" t="inlineStr">
        <is>
          <t>StageGate</t>
        </is>
      </c>
      <c r="I277" s="7">
        <f>A277&amp;"|"&amp;B277</f>
        <v/>
      </c>
    </row>
    <row r="278" ht="15" customHeight="1" s="5">
      <c r="A278" s="7" t="inlineStr">
        <is>
          <t>PRJ035</t>
        </is>
      </c>
      <c r="B278" s="7" t="inlineStr">
        <is>
          <t>Build</t>
        </is>
      </c>
      <c r="C278" s="8">
        <f>IFERROR(INDEX(StageGates!$I:$I,MATCH(I278,StageGates!$O:$O,0)),"")</f>
        <v/>
      </c>
      <c r="D278" s="8">
        <f>IFERROR(INDEX(StageGates!$J:$J,MATCH(I278,StageGates!$O:$O,0)),"")</f>
        <v/>
      </c>
      <c r="E278" s="8">
        <f>IFERROR(INDEX(StageGates!$J:$J,MATCH(I278,StageGates!$O:$O,0)),"")</f>
        <v/>
      </c>
      <c r="F278" s="7">
        <f>IFERROR(INDEX(StageGates!$G:$G,MATCH(I278,StageGates!$O:$O,0)),"")</f>
        <v/>
      </c>
      <c r="G278" s="7">
        <f>IFERROR(INDEX(StageGates!$H:$H,MATCH(I278,StageGates!$O:$O,0)),"")</f>
        <v/>
      </c>
      <c r="H278" s="7" t="inlineStr">
        <is>
          <t>StageGate</t>
        </is>
      </c>
      <c r="I278" s="7">
        <f>A278&amp;"|"&amp;B278</f>
        <v/>
      </c>
    </row>
    <row r="279" ht="15" customHeight="1" s="5">
      <c r="A279" s="7" t="inlineStr">
        <is>
          <t>PRJ035</t>
        </is>
      </c>
      <c r="B279" s="7" t="inlineStr">
        <is>
          <t>Testing</t>
        </is>
      </c>
      <c r="C279" s="8">
        <f>IFERROR(INDEX(StageGates!$I:$I,MATCH(I279,StageGates!$O:$O,0)),"")</f>
        <v/>
      </c>
      <c r="D279" s="8">
        <f>IFERROR(INDEX(StageGates!$J:$J,MATCH(I279,StageGates!$O:$O,0)),"")</f>
        <v/>
      </c>
      <c r="E279" s="7">
        <f>IFERROR(INDEX(StageGates!$J:$J,MATCH(I279,StageGates!$O:$O,0)),"")</f>
        <v/>
      </c>
      <c r="F279" s="7">
        <f>IFERROR(INDEX(StageGates!$G:$G,MATCH(I279,StageGates!$O:$O,0)),"")</f>
        <v/>
      </c>
      <c r="G279" s="7">
        <f>IFERROR(INDEX(StageGates!$H:$H,MATCH(I279,StageGates!$O:$O,0)),"")</f>
        <v/>
      </c>
      <c r="H279" s="7" t="inlineStr">
        <is>
          <t>StageGate</t>
        </is>
      </c>
      <c r="I279" s="7">
        <f>A279&amp;"|"&amp;B279</f>
        <v/>
      </c>
    </row>
    <row r="280" ht="15" customHeight="1" s="5">
      <c r="A280" s="7" t="inlineStr">
        <is>
          <t>PRJ035</t>
        </is>
      </c>
      <c r="B280" s="7" t="inlineStr">
        <is>
          <t>Deployment</t>
        </is>
      </c>
      <c r="C280" s="8">
        <f>IFERROR(INDEX(StageGates!$I:$I,MATCH(I280,StageGates!$O:$O,0)),"")</f>
        <v/>
      </c>
      <c r="D280" s="8">
        <f>IFERROR(INDEX(StageGates!$J:$J,MATCH(I280,StageGates!$O:$O,0)),"")</f>
        <v/>
      </c>
      <c r="E280" s="7">
        <f>IFERROR(INDEX(StageGates!$J:$J,MATCH(I280,StageGates!$O:$O,0)),"")</f>
        <v/>
      </c>
      <c r="F280" s="7">
        <f>IFERROR(INDEX(StageGates!$G:$G,MATCH(I280,StageGates!$O:$O,0)),"")</f>
        <v/>
      </c>
      <c r="G280" s="7">
        <f>IFERROR(INDEX(StageGates!$H:$H,MATCH(I280,StageGates!$O:$O,0)),"")</f>
        <v/>
      </c>
      <c r="H280" s="7" t="inlineStr">
        <is>
          <t>StageGate</t>
        </is>
      </c>
      <c r="I280" s="7">
        <f>A280&amp;"|"&amp;B280</f>
        <v/>
      </c>
    </row>
    <row r="281" ht="15" customHeight="1" s="5">
      <c r="A281" s="7" t="inlineStr">
        <is>
          <t>PRJ035</t>
        </is>
      </c>
      <c r="B281" s="7" t="inlineStr">
        <is>
          <t>Handover</t>
        </is>
      </c>
      <c r="C281" s="8">
        <f>IFERROR(INDEX(StageGates!$I:$I,MATCH(I281,StageGates!$O:$O,0)),"")</f>
        <v/>
      </c>
      <c r="D281" s="8">
        <f>IFERROR(INDEX(StageGates!$J:$J,MATCH(I281,StageGates!$O:$O,0)),"")</f>
        <v/>
      </c>
      <c r="E281" s="7">
        <f>IFERROR(INDEX(StageGates!$J:$J,MATCH(I281,StageGates!$O:$O,0)),"")</f>
        <v/>
      </c>
      <c r="F281" s="7">
        <f>IFERROR(INDEX(StageGates!$G:$G,MATCH(I281,StageGates!$O:$O,0)),"")</f>
        <v/>
      </c>
      <c r="G281" s="7">
        <f>IFERROR(INDEX(StageGates!$H:$H,MATCH(I281,StageGates!$O:$O,0)),"")</f>
        <v/>
      </c>
      <c r="H281" s="7" t="inlineStr">
        <is>
          <t>StageGate</t>
        </is>
      </c>
      <c r="I281" s="7">
        <f>A281&amp;"|"&amp;B281</f>
        <v/>
      </c>
    </row>
    <row r="282" ht="15" customHeight="1" s="5">
      <c r="A282" s="7" t="inlineStr">
        <is>
          <t>PRJ036</t>
        </is>
      </c>
      <c r="B282" s="7" t="inlineStr">
        <is>
          <t>Discovery</t>
        </is>
      </c>
      <c r="C282" s="8">
        <f>IFERROR(INDEX(StageGates!$I:$I,MATCH(I282,StageGates!$O:$O,0)),"")</f>
        <v/>
      </c>
      <c r="D282" s="8">
        <f>IFERROR(INDEX(StageGates!$J:$J,MATCH(I282,StageGates!$O:$O,0)),"")</f>
        <v/>
      </c>
      <c r="E282" s="8">
        <f>IFERROR(INDEX(StageGates!$J:$J,MATCH(I282,StageGates!$O:$O,0)),"")</f>
        <v/>
      </c>
      <c r="F282" s="7">
        <f>IFERROR(INDEX(StageGates!$G:$G,MATCH(I282,StageGates!$O:$O,0)),"")</f>
        <v/>
      </c>
      <c r="G282" s="7">
        <f>IFERROR(INDEX(StageGates!$H:$H,MATCH(I282,StageGates!$O:$O,0)),"")</f>
        <v/>
      </c>
      <c r="H282" s="7" t="inlineStr">
        <is>
          <t>StageGate</t>
        </is>
      </c>
      <c r="I282" s="7">
        <f>A282&amp;"|"&amp;B282</f>
        <v/>
      </c>
    </row>
    <row r="283" ht="15" customHeight="1" s="5">
      <c r="A283" s="7" t="inlineStr">
        <is>
          <t>PRJ036</t>
        </is>
      </c>
      <c r="B283" s="7" t="inlineStr">
        <is>
          <t>Business Case / Seed Funding</t>
        </is>
      </c>
      <c r="C283" s="8">
        <f>IFERROR(INDEX(StageGates!$I:$I,MATCH(I283,StageGates!$O:$O,0)),"")</f>
        <v/>
      </c>
      <c r="D283" s="8">
        <f>IFERROR(INDEX(StageGates!$J:$J,MATCH(I283,StageGates!$O:$O,0)),"")</f>
        <v/>
      </c>
      <c r="E283" s="8">
        <f>IFERROR(INDEX(StageGates!$J:$J,MATCH(I283,StageGates!$O:$O,0)),"")</f>
        <v/>
      </c>
      <c r="F283" s="7">
        <f>IFERROR(INDEX(StageGates!$G:$G,MATCH(I283,StageGates!$O:$O,0)),"")</f>
        <v/>
      </c>
      <c r="G283" s="7">
        <f>IFERROR(INDEX(StageGates!$H:$H,MATCH(I283,StageGates!$O:$O,0)),"")</f>
        <v/>
      </c>
      <c r="H283" s="7" t="inlineStr">
        <is>
          <t>StageGate</t>
        </is>
      </c>
      <c r="I283" s="7">
        <f>A283&amp;"|"&amp;B283</f>
        <v/>
      </c>
    </row>
    <row r="284" ht="15" customHeight="1" s="5">
      <c r="A284" s="7" t="inlineStr">
        <is>
          <t>PRJ036</t>
        </is>
      </c>
      <c r="B284" s="7" t="inlineStr">
        <is>
          <t>Design</t>
        </is>
      </c>
      <c r="C284" s="8">
        <f>IFERROR(INDEX(StageGates!$I:$I,MATCH(I284,StageGates!$O:$O,0)),"")</f>
        <v/>
      </c>
      <c r="D284" s="8">
        <f>IFERROR(INDEX(StageGates!$J:$J,MATCH(I284,StageGates!$O:$O,0)),"")</f>
        <v/>
      </c>
      <c r="E284" s="8">
        <f>IFERROR(INDEX(StageGates!$J:$J,MATCH(I284,StageGates!$O:$O,0)),"")</f>
        <v/>
      </c>
      <c r="F284" s="7">
        <f>IFERROR(INDEX(StageGates!$G:$G,MATCH(I284,StageGates!$O:$O,0)),"")</f>
        <v/>
      </c>
      <c r="G284" s="7">
        <f>IFERROR(INDEX(StageGates!$H:$H,MATCH(I284,StageGates!$O:$O,0)),"")</f>
        <v/>
      </c>
      <c r="H284" s="7" t="inlineStr">
        <is>
          <t>StageGate</t>
        </is>
      </c>
      <c r="I284" s="7">
        <f>A284&amp;"|"&amp;B284</f>
        <v/>
      </c>
    </row>
    <row r="285" ht="15" customHeight="1" s="5">
      <c r="A285" s="7" t="inlineStr">
        <is>
          <t>PRJ036</t>
        </is>
      </c>
      <c r="B285" s="7" t="inlineStr">
        <is>
          <t>Business Case / Full Funding</t>
        </is>
      </c>
      <c r="C285" s="8">
        <f>IFERROR(INDEX(StageGates!$I:$I,MATCH(I285,StageGates!$O:$O,0)),"")</f>
        <v/>
      </c>
      <c r="D285" s="8">
        <f>IFERROR(INDEX(StageGates!$J:$J,MATCH(I285,StageGates!$O:$O,0)),"")</f>
        <v/>
      </c>
      <c r="E285" s="8">
        <f>IFERROR(INDEX(StageGates!$J:$J,MATCH(I285,StageGates!$O:$O,0)),"")</f>
        <v/>
      </c>
      <c r="F285" s="7">
        <f>IFERROR(INDEX(StageGates!$G:$G,MATCH(I285,StageGates!$O:$O,0)),"")</f>
        <v/>
      </c>
      <c r="G285" s="7">
        <f>IFERROR(INDEX(StageGates!$H:$H,MATCH(I285,StageGates!$O:$O,0)),"")</f>
        <v/>
      </c>
      <c r="H285" s="7" t="inlineStr">
        <is>
          <t>StageGate</t>
        </is>
      </c>
      <c r="I285" s="7">
        <f>A285&amp;"|"&amp;B285</f>
        <v/>
      </c>
    </row>
    <row r="286" ht="15" customHeight="1" s="5">
      <c r="A286" s="7" t="inlineStr">
        <is>
          <t>PRJ036</t>
        </is>
      </c>
      <c r="B286" s="7" t="inlineStr">
        <is>
          <t>Build</t>
        </is>
      </c>
      <c r="C286" s="8">
        <f>IFERROR(INDEX(StageGates!$I:$I,MATCH(I286,StageGates!$O:$O,0)),"")</f>
        <v/>
      </c>
      <c r="D286" s="8">
        <f>IFERROR(INDEX(StageGates!$J:$J,MATCH(I286,StageGates!$O:$O,0)),"")</f>
        <v/>
      </c>
      <c r="E286" s="8">
        <f>IFERROR(INDEX(StageGates!$J:$J,MATCH(I286,StageGates!$O:$O,0)),"")</f>
        <v/>
      </c>
      <c r="F286" s="7">
        <f>IFERROR(INDEX(StageGates!$G:$G,MATCH(I286,StageGates!$O:$O,0)),"")</f>
        <v/>
      </c>
      <c r="G286" s="7">
        <f>IFERROR(INDEX(StageGates!$H:$H,MATCH(I286,StageGates!$O:$O,0)),"")</f>
        <v/>
      </c>
      <c r="H286" s="7" t="inlineStr">
        <is>
          <t>StageGate</t>
        </is>
      </c>
      <c r="I286" s="7">
        <f>A286&amp;"|"&amp;B286</f>
        <v/>
      </c>
    </row>
    <row r="287" ht="15" customHeight="1" s="5">
      <c r="A287" s="7" t="inlineStr">
        <is>
          <t>PRJ036</t>
        </is>
      </c>
      <c r="B287" s="7" t="inlineStr">
        <is>
          <t>Testing</t>
        </is>
      </c>
      <c r="C287" s="8">
        <f>IFERROR(INDEX(StageGates!$I:$I,MATCH(I287,StageGates!$O:$O,0)),"")</f>
        <v/>
      </c>
      <c r="D287" s="8">
        <f>IFERROR(INDEX(StageGates!$J:$J,MATCH(I287,StageGates!$O:$O,0)),"")</f>
        <v/>
      </c>
      <c r="E287" s="8">
        <f>IFERROR(INDEX(StageGates!$J:$J,MATCH(I287,StageGates!$O:$O,0)),"")</f>
        <v/>
      </c>
      <c r="F287" s="7">
        <f>IFERROR(INDEX(StageGates!$G:$G,MATCH(I287,StageGates!$O:$O,0)),"")</f>
        <v/>
      </c>
      <c r="G287" s="7">
        <f>IFERROR(INDEX(StageGates!$H:$H,MATCH(I287,StageGates!$O:$O,0)),"")</f>
        <v/>
      </c>
      <c r="H287" s="7" t="inlineStr">
        <is>
          <t>StageGate</t>
        </is>
      </c>
      <c r="I287" s="7">
        <f>A287&amp;"|"&amp;B287</f>
        <v/>
      </c>
    </row>
    <row r="288" ht="15" customHeight="1" s="5">
      <c r="A288" s="7" t="inlineStr">
        <is>
          <t>PRJ036</t>
        </is>
      </c>
      <c r="B288" s="7" t="inlineStr">
        <is>
          <t>Deployment</t>
        </is>
      </c>
      <c r="C288" s="8">
        <f>IFERROR(INDEX(StageGates!$I:$I,MATCH(I288,StageGates!$O:$O,0)),"")</f>
        <v/>
      </c>
      <c r="D288" s="8">
        <f>IFERROR(INDEX(StageGates!$J:$J,MATCH(I288,StageGates!$O:$O,0)),"")</f>
        <v/>
      </c>
      <c r="E288" s="7">
        <f>IFERROR(INDEX(StageGates!$J:$J,MATCH(I288,StageGates!$O:$O,0)),"")</f>
        <v/>
      </c>
      <c r="F288" s="7">
        <f>IFERROR(INDEX(StageGates!$G:$G,MATCH(I288,StageGates!$O:$O,0)),"")</f>
        <v/>
      </c>
      <c r="G288" s="7">
        <f>IFERROR(INDEX(StageGates!$H:$H,MATCH(I288,StageGates!$O:$O,0)),"")</f>
        <v/>
      </c>
      <c r="H288" s="7" t="inlineStr">
        <is>
          <t>StageGate</t>
        </is>
      </c>
      <c r="I288" s="7">
        <f>A288&amp;"|"&amp;B288</f>
        <v/>
      </c>
    </row>
    <row r="289" ht="15" customHeight="1" s="5">
      <c r="A289" s="7" t="inlineStr">
        <is>
          <t>PRJ036</t>
        </is>
      </c>
      <c r="B289" s="7" t="inlineStr">
        <is>
          <t>Handover</t>
        </is>
      </c>
      <c r="C289" s="8">
        <f>IFERROR(INDEX(StageGates!$I:$I,MATCH(I289,StageGates!$O:$O,0)),"")</f>
        <v/>
      </c>
      <c r="D289" s="8">
        <f>IFERROR(INDEX(StageGates!$J:$J,MATCH(I289,StageGates!$O:$O,0)),"")</f>
        <v/>
      </c>
      <c r="E289" s="7">
        <f>IFERROR(INDEX(StageGates!$J:$J,MATCH(I289,StageGates!$O:$O,0)),"")</f>
        <v/>
      </c>
      <c r="F289" s="7">
        <f>IFERROR(INDEX(StageGates!$G:$G,MATCH(I289,StageGates!$O:$O,0)),"")</f>
        <v/>
      </c>
      <c r="G289" s="7">
        <f>IFERROR(INDEX(StageGates!$H:$H,MATCH(I289,StageGates!$O:$O,0)),"")</f>
        <v/>
      </c>
      <c r="H289" s="7" t="inlineStr">
        <is>
          <t>StageGate</t>
        </is>
      </c>
      <c r="I289" s="7">
        <f>A289&amp;"|"&amp;B289</f>
        <v/>
      </c>
    </row>
    <row r="290" ht="15" customHeight="1" s="5">
      <c r="A290" s="7" t="inlineStr">
        <is>
          <t>PRJ037</t>
        </is>
      </c>
      <c r="B290" s="7" t="inlineStr">
        <is>
          <t>Discovery</t>
        </is>
      </c>
      <c r="C290" s="8">
        <f>IFERROR(INDEX(StageGates!$I:$I,MATCH(I290,StageGates!$O:$O,0)),"")</f>
        <v/>
      </c>
      <c r="D290" s="8">
        <f>IFERROR(INDEX(StageGates!$J:$J,MATCH(I290,StageGates!$O:$O,0)),"")</f>
        <v/>
      </c>
      <c r="E290" s="8">
        <f>IFERROR(INDEX(StageGates!$J:$J,MATCH(I290,StageGates!$O:$O,0)),"")</f>
        <v/>
      </c>
      <c r="F290" s="7">
        <f>IFERROR(INDEX(StageGates!$G:$G,MATCH(I290,StageGates!$O:$O,0)),"")</f>
        <v/>
      </c>
      <c r="G290" s="7">
        <f>IFERROR(INDEX(StageGates!$H:$H,MATCH(I290,StageGates!$O:$O,0)),"")</f>
        <v/>
      </c>
      <c r="H290" s="7" t="inlineStr">
        <is>
          <t>StageGate</t>
        </is>
      </c>
      <c r="I290" s="7">
        <f>A290&amp;"|"&amp;B290</f>
        <v/>
      </c>
    </row>
    <row r="291" ht="15" customHeight="1" s="5">
      <c r="A291" s="7" t="inlineStr">
        <is>
          <t>PRJ037</t>
        </is>
      </c>
      <c r="B291" s="7" t="inlineStr">
        <is>
          <t>Business Case / Seed Funding</t>
        </is>
      </c>
      <c r="C291" s="8">
        <f>IFERROR(INDEX(StageGates!$I:$I,MATCH(I291,StageGates!$O:$O,0)),"")</f>
        <v/>
      </c>
      <c r="D291" s="8">
        <f>IFERROR(INDEX(StageGates!$J:$J,MATCH(I291,StageGates!$O:$O,0)),"")</f>
        <v/>
      </c>
      <c r="E291" s="8">
        <f>IFERROR(INDEX(StageGates!$J:$J,MATCH(I291,StageGates!$O:$O,0)),"")</f>
        <v/>
      </c>
      <c r="F291" s="7">
        <f>IFERROR(INDEX(StageGates!$G:$G,MATCH(I291,StageGates!$O:$O,0)),"")</f>
        <v/>
      </c>
      <c r="G291" s="7">
        <f>IFERROR(INDEX(StageGates!$H:$H,MATCH(I291,StageGates!$O:$O,0)),"")</f>
        <v/>
      </c>
      <c r="H291" s="7" t="inlineStr">
        <is>
          <t>StageGate</t>
        </is>
      </c>
      <c r="I291" s="7">
        <f>A291&amp;"|"&amp;B291</f>
        <v/>
      </c>
    </row>
    <row r="292" ht="15" customHeight="1" s="5">
      <c r="A292" s="7" t="inlineStr">
        <is>
          <t>PRJ037</t>
        </is>
      </c>
      <c r="B292" s="7" t="inlineStr">
        <is>
          <t>Design</t>
        </is>
      </c>
      <c r="C292" s="8">
        <f>IFERROR(INDEX(StageGates!$I:$I,MATCH(I292,StageGates!$O:$O,0)),"")</f>
        <v/>
      </c>
      <c r="D292" s="8">
        <f>IFERROR(INDEX(StageGates!$J:$J,MATCH(I292,StageGates!$O:$O,0)),"")</f>
        <v/>
      </c>
      <c r="E292" s="8">
        <f>IFERROR(INDEX(StageGates!$J:$J,MATCH(I292,StageGates!$O:$O,0)),"")</f>
        <v/>
      </c>
      <c r="F292" s="7">
        <f>IFERROR(INDEX(StageGates!$G:$G,MATCH(I292,StageGates!$O:$O,0)),"")</f>
        <v/>
      </c>
      <c r="G292" s="7">
        <f>IFERROR(INDEX(StageGates!$H:$H,MATCH(I292,StageGates!$O:$O,0)),"")</f>
        <v/>
      </c>
      <c r="H292" s="7" t="inlineStr">
        <is>
          <t>StageGate</t>
        </is>
      </c>
      <c r="I292" s="7">
        <f>A292&amp;"|"&amp;B292</f>
        <v/>
      </c>
    </row>
    <row r="293" ht="15" customHeight="1" s="5">
      <c r="A293" s="7" t="inlineStr">
        <is>
          <t>PRJ037</t>
        </is>
      </c>
      <c r="B293" s="7" t="inlineStr">
        <is>
          <t>Business Case / Full Funding</t>
        </is>
      </c>
      <c r="C293" s="8">
        <f>IFERROR(INDEX(StageGates!$I:$I,MATCH(I293,StageGates!$O:$O,0)),"")</f>
        <v/>
      </c>
      <c r="D293" s="8">
        <f>IFERROR(INDEX(StageGates!$J:$J,MATCH(I293,StageGates!$O:$O,0)),"")</f>
        <v/>
      </c>
      <c r="E293" s="8">
        <f>IFERROR(INDEX(StageGates!$J:$J,MATCH(I293,StageGates!$O:$O,0)),"")</f>
        <v/>
      </c>
      <c r="F293" s="7">
        <f>IFERROR(INDEX(StageGates!$G:$G,MATCH(I293,StageGates!$O:$O,0)),"")</f>
        <v/>
      </c>
      <c r="G293" s="7">
        <f>IFERROR(INDEX(StageGates!$H:$H,MATCH(I293,StageGates!$O:$O,0)),"")</f>
        <v/>
      </c>
      <c r="H293" s="7" t="inlineStr">
        <is>
          <t>StageGate</t>
        </is>
      </c>
      <c r="I293" s="7">
        <f>A293&amp;"|"&amp;B293</f>
        <v/>
      </c>
    </row>
    <row r="294" ht="15" customHeight="1" s="5">
      <c r="A294" s="7" t="inlineStr">
        <is>
          <t>PRJ037</t>
        </is>
      </c>
      <c r="B294" s="7" t="inlineStr">
        <is>
          <t>Build</t>
        </is>
      </c>
      <c r="C294" s="8">
        <f>IFERROR(INDEX(StageGates!$I:$I,MATCH(I294,StageGates!$O:$O,0)),"")</f>
        <v/>
      </c>
      <c r="D294" s="8">
        <f>IFERROR(INDEX(StageGates!$J:$J,MATCH(I294,StageGates!$O:$O,0)),"")</f>
        <v/>
      </c>
      <c r="E294" s="8">
        <f>IFERROR(INDEX(StageGates!$J:$J,MATCH(I294,StageGates!$O:$O,0)),"")</f>
        <v/>
      </c>
      <c r="F294" s="7">
        <f>IFERROR(INDEX(StageGates!$G:$G,MATCH(I294,StageGates!$O:$O,0)),"")</f>
        <v/>
      </c>
      <c r="G294" s="7">
        <f>IFERROR(INDEX(StageGates!$H:$H,MATCH(I294,StageGates!$O:$O,0)),"")</f>
        <v/>
      </c>
      <c r="H294" s="7" t="inlineStr">
        <is>
          <t>StageGate</t>
        </is>
      </c>
      <c r="I294" s="7">
        <f>A294&amp;"|"&amp;B294</f>
        <v/>
      </c>
    </row>
    <row r="295" ht="15" customHeight="1" s="5">
      <c r="A295" s="7" t="inlineStr">
        <is>
          <t>PRJ037</t>
        </is>
      </c>
      <c r="B295" s="7" t="inlineStr">
        <is>
          <t>Testing</t>
        </is>
      </c>
      <c r="C295" s="8">
        <f>IFERROR(INDEX(StageGates!$I:$I,MATCH(I295,StageGates!$O:$O,0)),"")</f>
        <v/>
      </c>
      <c r="D295" s="8">
        <f>IFERROR(INDEX(StageGates!$J:$J,MATCH(I295,StageGates!$O:$O,0)),"")</f>
        <v/>
      </c>
      <c r="E295" s="8">
        <f>IFERROR(INDEX(StageGates!$J:$J,MATCH(I295,StageGates!$O:$O,0)),"")</f>
        <v/>
      </c>
      <c r="F295" s="7">
        <f>IFERROR(INDEX(StageGates!$G:$G,MATCH(I295,StageGates!$O:$O,0)),"")</f>
        <v/>
      </c>
      <c r="G295" s="7">
        <f>IFERROR(INDEX(StageGates!$H:$H,MATCH(I295,StageGates!$O:$O,0)),"")</f>
        <v/>
      </c>
      <c r="H295" s="7" t="inlineStr">
        <is>
          <t>StageGate</t>
        </is>
      </c>
      <c r="I295" s="7">
        <f>A295&amp;"|"&amp;B295</f>
        <v/>
      </c>
    </row>
    <row r="296" ht="15" customHeight="1" s="5">
      <c r="A296" s="7" t="inlineStr">
        <is>
          <t>PRJ037</t>
        </is>
      </c>
      <c r="B296" s="7" t="inlineStr">
        <is>
          <t>Deployment</t>
        </is>
      </c>
      <c r="C296" s="8">
        <f>IFERROR(INDEX(StageGates!$I:$I,MATCH(I296,StageGates!$O:$O,0)),"")</f>
        <v/>
      </c>
      <c r="D296" s="8">
        <f>IFERROR(INDEX(StageGates!$J:$J,MATCH(I296,StageGates!$O:$O,0)),"")</f>
        <v/>
      </c>
      <c r="E296" s="8">
        <f>IFERROR(INDEX(StageGates!$J:$J,MATCH(I296,StageGates!$O:$O,0)),"")</f>
        <v/>
      </c>
      <c r="F296" s="7">
        <f>IFERROR(INDEX(StageGates!$G:$G,MATCH(I296,StageGates!$O:$O,0)),"")</f>
        <v/>
      </c>
      <c r="G296" s="7">
        <f>IFERROR(INDEX(StageGates!$H:$H,MATCH(I296,StageGates!$O:$O,0)),"")</f>
        <v/>
      </c>
      <c r="H296" s="7" t="inlineStr">
        <is>
          <t>StageGate</t>
        </is>
      </c>
      <c r="I296" s="7">
        <f>A296&amp;"|"&amp;B296</f>
        <v/>
      </c>
    </row>
    <row r="297" ht="15" customHeight="1" s="5">
      <c r="A297" s="7" t="inlineStr">
        <is>
          <t>PRJ037</t>
        </is>
      </c>
      <c r="B297" s="7" t="inlineStr">
        <is>
          <t>Handover</t>
        </is>
      </c>
      <c r="C297" s="8">
        <f>IFERROR(INDEX(StageGates!$I:$I,MATCH(I297,StageGates!$O:$O,0)),"")</f>
        <v/>
      </c>
      <c r="D297" s="8">
        <f>IFERROR(INDEX(StageGates!$J:$J,MATCH(I297,StageGates!$O:$O,0)),"")</f>
        <v/>
      </c>
      <c r="E297" s="7">
        <f>IFERROR(INDEX(StageGates!$J:$J,MATCH(I297,StageGates!$O:$O,0)),"")</f>
        <v/>
      </c>
      <c r="F297" s="7">
        <f>IFERROR(INDEX(StageGates!$G:$G,MATCH(I297,StageGates!$O:$O,0)),"")</f>
        <v/>
      </c>
      <c r="G297" s="7">
        <f>IFERROR(INDEX(StageGates!$H:$H,MATCH(I297,StageGates!$O:$O,0)),"")</f>
        <v/>
      </c>
      <c r="H297" s="7" t="inlineStr">
        <is>
          <t>StageGate</t>
        </is>
      </c>
      <c r="I297" s="7">
        <f>A297&amp;"|"&amp;B297</f>
        <v/>
      </c>
    </row>
    <row r="298" ht="15" customHeight="1" s="5">
      <c r="A298" s="7" t="inlineStr">
        <is>
          <t>PRJ038</t>
        </is>
      </c>
      <c r="B298" s="7" t="inlineStr">
        <is>
          <t>Discovery</t>
        </is>
      </c>
      <c r="C298" s="8">
        <f>IFERROR(INDEX(StageGates!$I:$I,MATCH(I298,StageGates!$O:$O,0)),"")</f>
        <v/>
      </c>
      <c r="D298" s="8">
        <f>IFERROR(INDEX(StageGates!$J:$J,MATCH(I298,StageGates!$O:$O,0)),"")</f>
        <v/>
      </c>
      <c r="E298" s="8">
        <f>IFERROR(INDEX(StageGates!$J:$J,MATCH(I298,StageGates!$O:$O,0)),"")</f>
        <v/>
      </c>
      <c r="F298" s="7">
        <f>IFERROR(INDEX(StageGates!$G:$G,MATCH(I298,StageGates!$O:$O,0)),"")</f>
        <v/>
      </c>
      <c r="G298" s="7">
        <f>IFERROR(INDEX(StageGates!$H:$H,MATCH(I298,StageGates!$O:$O,0)),"")</f>
        <v/>
      </c>
      <c r="H298" s="7" t="inlineStr">
        <is>
          <t>StageGate</t>
        </is>
      </c>
      <c r="I298" s="7">
        <f>A298&amp;"|"&amp;B298</f>
        <v/>
      </c>
    </row>
    <row r="299" ht="15" customHeight="1" s="5">
      <c r="A299" s="7" t="inlineStr">
        <is>
          <t>PRJ038</t>
        </is>
      </c>
      <c r="B299" s="7" t="inlineStr">
        <is>
          <t>Business Case / Seed Funding</t>
        </is>
      </c>
      <c r="C299" s="8">
        <f>IFERROR(INDEX(StageGates!$I:$I,MATCH(I299,StageGates!$O:$O,0)),"")</f>
        <v/>
      </c>
      <c r="D299" s="8">
        <f>IFERROR(INDEX(StageGates!$J:$J,MATCH(I299,StageGates!$O:$O,0)),"")</f>
        <v/>
      </c>
      <c r="E299" s="8">
        <f>IFERROR(INDEX(StageGates!$J:$J,MATCH(I299,StageGates!$O:$O,0)),"")</f>
        <v/>
      </c>
      <c r="F299" s="7">
        <f>IFERROR(INDEX(StageGates!$G:$G,MATCH(I299,StageGates!$O:$O,0)),"")</f>
        <v/>
      </c>
      <c r="G299" s="7">
        <f>IFERROR(INDEX(StageGates!$H:$H,MATCH(I299,StageGates!$O:$O,0)),"")</f>
        <v/>
      </c>
      <c r="H299" s="7" t="inlineStr">
        <is>
          <t>StageGate</t>
        </is>
      </c>
      <c r="I299" s="7">
        <f>A299&amp;"|"&amp;B299</f>
        <v/>
      </c>
    </row>
    <row r="300" ht="15" customHeight="1" s="5">
      <c r="A300" s="7" t="inlineStr">
        <is>
          <t>PRJ038</t>
        </is>
      </c>
      <c r="B300" s="7" t="inlineStr">
        <is>
          <t>Design</t>
        </is>
      </c>
      <c r="C300" s="8">
        <f>IFERROR(INDEX(StageGates!$I:$I,MATCH(I300,StageGates!$O:$O,0)),"")</f>
        <v/>
      </c>
      <c r="D300" s="8">
        <f>IFERROR(INDEX(StageGates!$J:$J,MATCH(I300,StageGates!$O:$O,0)),"")</f>
        <v/>
      </c>
      <c r="E300" s="7">
        <f>IFERROR(INDEX(StageGates!$J:$J,MATCH(I300,StageGates!$O:$O,0)),"")</f>
        <v/>
      </c>
      <c r="F300" s="7">
        <f>IFERROR(INDEX(StageGates!$G:$G,MATCH(I300,StageGates!$O:$O,0)),"")</f>
        <v/>
      </c>
      <c r="G300" s="7">
        <f>IFERROR(INDEX(StageGates!$H:$H,MATCH(I300,StageGates!$O:$O,0)),"")</f>
        <v/>
      </c>
      <c r="H300" s="7" t="inlineStr">
        <is>
          <t>StageGate</t>
        </is>
      </c>
      <c r="I300" s="7">
        <f>A300&amp;"|"&amp;B300</f>
        <v/>
      </c>
    </row>
    <row r="301" ht="15" customHeight="1" s="5">
      <c r="A301" s="7" t="inlineStr">
        <is>
          <t>PRJ038</t>
        </is>
      </c>
      <c r="B301" s="7" t="inlineStr">
        <is>
          <t>Business Case / Full Funding</t>
        </is>
      </c>
      <c r="C301" s="8">
        <f>IFERROR(INDEX(StageGates!$I:$I,MATCH(I301,StageGates!$O:$O,0)),"")</f>
        <v/>
      </c>
      <c r="D301" s="8">
        <f>IFERROR(INDEX(StageGates!$J:$J,MATCH(I301,StageGates!$O:$O,0)),"")</f>
        <v/>
      </c>
      <c r="E301" s="7">
        <f>IFERROR(INDEX(StageGates!$J:$J,MATCH(I301,StageGates!$O:$O,0)),"")</f>
        <v/>
      </c>
      <c r="F301" s="7">
        <f>IFERROR(INDEX(StageGates!$G:$G,MATCH(I301,StageGates!$O:$O,0)),"")</f>
        <v/>
      </c>
      <c r="G301" s="7">
        <f>IFERROR(INDEX(StageGates!$H:$H,MATCH(I301,StageGates!$O:$O,0)),"")</f>
        <v/>
      </c>
      <c r="H301" s="7" t="inlineStr">
        <is>
          <t>StageGate</t>
        </is>
      </c>
      <c r="I301" s="7">
        <f>A301&amp;"|"&amp;B301</f>
        <v/>
      </c>
    </row>
    <row r="302" ht="15" customHeight="1" s="5">
      <c r="A302" s="7" t="inlineStr">
        <is>
          <t>PRJ038</t>
        </is>
      </c>
      <c r="B302" s="7" t="inlineStr">
        <is>
          <t>Build</t>
        </is>
      </c>
      <c r="C302" s="8">
        <f>IFERROR(INDEX(StageGates!$I:$I,MATCH(I302,StageGates!$O:$O,0)),"")</f>
        <v/>
      </c>
      <c r="D302" s="8">
        <f>IFERROR(INDEX(StageGates!$J:$J,MATCH(I302,StageGates!$O:$O,0)),"")</f>
        <v/>
      </c>
      <c r="E302" s="7">
        <f>IFERROR(INDEX(StageGates!$J:$J,MATCH(I302,StageGates!$O:$O,0)),"")</f>
        <v/>
      </c>
      <c r="F302" s="7">
        <f>IFERROR(INDEX(StageGates!$G:$G,MATCH(I302,StageGates!$O:$O,0)),"")</f>
        <v/>
      </c>
      <c r="G302" s="7">
        <f>IFERROR(INDEX(StageGates!$H:$H,MATCH(I302,StageGates!$O:$O,0)),"")</f>
        <v/>
      </c>
      <c r="H302" s="7" t="inlineStr">
        <is>
          <t>StageGate</t>
        </is>
      </c>
      <c r="I302" s="7">
        <f>A302&amp;"|"&amp;B302</f>
        <v/>
      </c>
    </row>
    <row r="303" ht="15" customHeight="1" s="5">
      <c r="A303" s="7" t="inlineStr">
        <is>
          <t>PRJ038</t>
        </is>
      </c>
      <c r="B303" s="7" t="inlineStr">
        <is>
          <t>Testing</t>
        </is>
      </c>
      <c r="C303" s="8">
        <f>IFERROR(INDEX(StageGates!$I:$I,MATCH(I303,StageGates!$O:$O,0)),"")</f>
        <v/>
      </c>
      <c r="D303" s="8">
        <f>IFERROR(INDEX(StageGates!$J:$J,MATCH(I303,StageGates!$O:$O,0)),"")</f>
        <v/>
      </c>
      <c r="E303" s="7">
        <f>IFERROR(INDEX(StageGates!$J:$J,MATCH(I303,StageGates!$O:$O,0)),"")</f>
        <v/>
      </c>
      <c r="F303" s="7">
        <f>IFERROR(INDEX(StageGates!$G:$G,MATCH(I303,StageGates!$O:$O,0)),"")</f>
        <v/>
      </c>
      <c r="G303" s="7">
        <f>IFERROR(INDEX(StageGates!$H:$H,MATCH(I303,StageGates!$O:$O,0)),"")</f>
        <v/>
      </c>
      <c r="H303" s="7" t="inlineStr">
        <is>
          <t>StageGate</t>
        </is>
      </c>
      <c r="I303" s="7">
        <f>A303&amp;"|"&amp;B303</f>
        <v/>
      </c>
    </row>
    <row r="304" ht="15" customHeight="1" s="5">
      <c r="A304" s="7" t="inlineStr">
        <is>
          <t>PRJ038</t>
        </is>
      </c>
      <c r="B304" s="7" t="inlineStr">
        <is>
          <t>Deployment</t>
        </is>
      </c>
      <c r="C304" s="8">
        <f>IFERROR(INDEX(StageGates!$I:$I,MATCH(I304,StageGates!$O:$O,0)),"")</f>
        <v/>
      </c>
      <c r="D304" s="8">
        <f>IFERROR(INDEX(StageGates!$J:$J,MATCH(I304,StageGates!$O:$O,0)),"")</f>
        <v/>
      </c>
      <c r="E304" s="7">
        <f>IFERROR(INDEX(StageGates!$J:$J,MATCH(I304,StageGates!$O:$O,0)),"")</f>
        <v/>
      </c>
      <c r="F304" s="7">
        <f>IFERROR(INDEX(StageGates!$G:$G,MATCH(I304,StageGates!$O:$O,0)),"")</f>
        <v/>
      </c>
      <c r="G304" s="7">
        <f>IFERROR(INDEX(StageGates!$H:$H,MATCH(I304,StageGates!$O:$O,0)),"")</f>
        <v/>
      </c>
      <c r="H304" s="7" t="inlineStr">
        <is>
          <t>StageGate</t>
        </is>
      </c>
      <c r="I304" s="7">
        <f>A304&amp;"|"&amp;B304</f>
        <v/>
      </c>
    </row>
    <row r="305" ht="15" customHeight="1" s="5">
      <c r="A305" s="7" t="inlineStr">
        <is>
          <t>PRJ038</t>
        </is>
      </c>
      <c r="B305" s="7" t="inlineStr">
        <is>
          <t>Handover</t>
        </is>
      </c>
      <c r="C305" s="8">
        <f>IFERROR(INDEX(StageGates!$I:$I,MATCH(I305,StageGates!$O:$O,0)),"")</f>
        <v/>
      </c>
      <c r="D305" s="8">
        <f>IFERROR(INDEX(StageGates!$J:$J,MATCH(I305,StageGates!$O:$O,0)),"")</f>
        <v/>
      </c>
      <c r="E305" s="7">
        <f>IFERROR(INDEX(StageGates!$J:$J,MATCH(I305,StageGates!$O:$O,0)),"")</f>
        <v/>
      </c>
      <c r="F305" s="7">
        <f>IFERROR(INDEX(StageGates!$G:$G,MATCH(I305,StageGates!$O:$O,0)),"")</f>
        <v/>
      </c>
      <c r="G305" s="7">
        <f>IFERROR(INDEX(StageGates!$H:$H,MATCH(I305,StageGates!$O:$O,0)),"")</f>
        <v/>
      </c>
      <c r="H305" s="7" t="inlineStr">
        <is>
          <t>StageGate</t>
        </is>
      </c>
      <c r="I305" s="7">
        <f>A305&amp;"|"&amp;B305</f>
        <v/>
      </c>
    </row>
    <row r="306" ht="15" customHeight="1" s="5">
      <c r="A306" s="7" t="inlineStr">
        <is>
          <t>PRJ039</t>
        </is>
      </c>
      <c r="B306" s="7" t="inlineStr">
        <is>
          <t>Discovery</t>
        </is>
      </c>
      <c r="C306" s="8">
        <f>IFERROR(INDEX(StageGates!$I:$I,MATCH(I306,StageGates!$O:$O,0)),"")</f>
        <v/>
      </c>
      <c r="D306" s="8">
        <f>IFERROR(INDEX(StageGates!$J:$J,MATCH(I306,StageGates!$O:$O,0)),"")</f>
        <v/>
      </c>
      <c r="E306" s="8">
        <f>IFERROR(INDEX(StageGates!$J:$J,MATCH(I306,StageGates!$O:$O,0)),"")</f>
        <v/>
      </c>
      <c r="F306" s="7">
        <f>IFERROR(INDEX(StageGates!$G:$G,MATCH(I306,StageGates!$O:$O,0)),"")</f>
        <v/>
      </c>
      <c r="G306" s="7">
        <f>IFERROR(INDEX(StageGates!$H:$H,MATCH(I306,StageGates!$O:$O,0)),"")</f>
        <v/>
      </c>
      <c r="H306" s="7" t="inlineStr">
        <is>
          <t>StageGate</t>
        </is>
      </c>
      <c r="I306" s="7">
        <f>A306&amp;"|"&amp;B306</f>
        <v/>
      </c>
    </row>
    <row r="307" ht="15" customHeight="1" s="5">
      <c r="A307" s="7" t="inlineStr">
        <is>
          <t>PRJ039</t>
        </is>
      </c>
      <c r="B307" s="7" t="inlineStr">
        <is>
          <t>Business Case / Seed Funding</t>
        </is>
      </c>
      <c r="C307" s="8">
        <f>IFERROR(INDEX(StageGates!$I:$I,MATCH(I307,StageGates!$O:$O,0)),"")</f>
        <v/>
      </c>
      <c r="D307" s="8">
        <f>IFERROR(INDEX(StageGates!$J:$J,MATCH(I307,StageGates!$O:$O,0)),"")</f>
        <v/>
      </c>
      <c r="E307" s="7">
        <f>IFERROR(INDEX(StageGates!$J:$J,MATCH(I307,StageGates!$O:$O,0)),"")</f>
        <v/>
      </c>
      <c r="F307" s="7">
        <f>IFERROR(INDEX(StageGates!$G:$G,MATCH(I307,StageGates!$O:$O,0)),"")</f>
        <v/>
      </c>
      <c r="G307" s="7">
        <f>IFERROR(INDEX(StageGates!$H:$H,MATCH(I307,StageGates!$O:$O,0)),"")</f>
        <v/>
      </c>
      <c r="H307" s="7" t="inlineStr">
        <is>
          <t>StageGate</t>
        </is>
      </c>
      <c r="I307" s="7">
        <f>A307&amp;"|"&amp;B307</f>
        <v/>
      </c>
    </row>
    <row r="308" ht="15" customHeight="1" s="5">
      <c r="A308" s="7" t="inlineStr">
        <is>
          <t>PRJ039</t>
        </is>
      </c>
      <c r="B308" s="7" t="inlineStr">
        <is>
          <t>Design</t>
        </is>
      </c>
      <c r="C308" s="8">
        <f>IFERROR(INDEX(StageGates!$I:$I,MATCH(I308,StageGates!$O:$O,0)),"")</f>
        <v/>
      </c>
      <c r="D308" s="8">
        <f>IFERROR(INDEX(StageGates!$J:$J,MATCH(I308,StageGates!$O:$O,0)),"")</f>
        <v/>
      </c>
      <c r="E308" s="7">
        <f>IFERROR(INDEX(StageGates!$J:$J,MATCH(I308,StageGates!$O:$O,0)),"")</f>
        <v/>
      </c>
      <c r="F308" s="7">
        <f>IFERROR(INDEX(StageGates!$G:$G,MATCH(I308,StageGates!$O:$O,0)),"")</f>
        <v/>
      </c>
      <c r="G308" s="7">
        <f>IFERROR(INDEX(StageGates!$H:$H,MATCH(I308,StageGates!$O:$O,0)),"")</f>
        <v/>
      </c>
      <c r="H308" s="7" t="inlineStr">
        <is>
          <t>StageGate</t>
        </is>
      </c>
      <c r="I308" s="7">
        <f>A308&amp;"|"&amp;B308</f>
        <v/>
      </c>
    </row>
    <row r="309" ht="15" customHeight="1" s="5">
      <c r="A309" s="7" t="inlineStr">
        <is>
          <t>PRJ039</t>
        </is>
      </c>
      <c r="B309" s="7" t="inlineStr">
        <is>
          <t>Business Case / Full Funding</t>
        </is>
      </c>
      <c r="C309" s="8">
        <f>IFERROR(INDEX(StageGates!$I:$I,MATCH(I309,StageGates!$O:$O,0)),"")</f>
        <v/>
      </c>
      <c r="D309" s="8">
        <f>IFERROR(INDEX(StageGates!$J:$J,MATCH(I309,StageGates!$O:$O,0)),"")</f>
        <v/>
      </c>
      <c r="E309" s="7">
        <f>IFERROR(INDEX(StageGates!$J:$J,MATCH(I309,StageGates!$O:$O,0)),"")</f>
        <v/>
      </c>
      <c r="F309" s="7">
        <f>IFERROR(INDEX(StageGates!$G:$G,MATCH(I309,StageGates!$O:$O,0)),"")</f>
        <v/>
      </c>
      <c r="G309" s="7">
        <f>IFERROR(INDEX(StageGates!$H:$H,MATCH(I309,StageGates!$O:$O,0)),"")</f>
        <v/>
      </c>
      <c r="H309" s="7" t="inlineStr">
        <is>
          <t>StageGate</t>
        </is>
      </c>
      <c r="I309" s="7">
        <f>A309&amp;"|"&amp;B309</f>
        <v/>
      </c>
    </row>
    <row r="310" ht="15" customHeight="1" s="5">
      <c r="A310" s="7" t="inlineStr">
        <is>
          <t>PRJ039</t>
        </is>
      </c>
      <c r="B310" s="7" t="inlineStr">
        <is>
          <t>Build</t>
        </is>
      </c>
      <c r="C310" s="8">
        <f>IFERROR(INDEX(StageGates!$I:$I,MATCH(I310,StageGates!$O:$O,0)),"")</f>
        <v/>
      </c>
      <c r="D310" s="8">
        <f>IFERROR(INDEX(StageGates!$J:$J,MATCH(I310,StageGates!$O:$O,0)),"")</f>
        <v/>
      </c>
      <c r="E310" s="7">
        <f>IFERROR(INDEX(StageGates!$J:$J,MATCH(I310,StageGates!$O:$O,0)),"")</f>
        <v/>
      </c>
      <c r="F310" s="7">
        <f>IFERROR(INDEX(StageGates!$G:$G,MATCH(I310,StageGates!$O:$O,0)),"")</f>
        <v/>
      </c>
      <c r="G310" s="7">
        <f>IFERROR(INDEX(StageGates!$H:$H,MATCH(I310,StageGates!$O:$O,0)),"")</f>
        <v/>
      </c>
      <c r="H310" s="7" t="inlineStr">
        <is>
          <t>StageGate</t>
        </is>
      </c>
      <c r="I310" s="7">
        <f>A310&amp;"|"&amp;B310</f>
        <v/>
      </c>
    </row>
    <row r="311" ht="15" customHeight="1" s="5">
      <c r="A311" s="7" t="inlineStr">
        <is>
          <t>PRJ039</t>
        </is>
      </c>
      <c r="B311" s="7" t="inlineStr">
        <is>
          <t>Testing</t>
        </is>
      </c>
      <c r="C311" s="8">
        <f>IFERROR(INDEX(StageGates!$I:$I,MATCH(I311,StageGates!$O:$O,0)),"")</f>
        <v/>
      </c>
      <c r="D311" s="8">
        <f>IFERROR(INDEX(StageGates!$J:$J,MATCH(I311,StageGates!$O:$O,0)),"")</f>
        <v/>
      </c>
      <c r="E311" s="7">
        <f>IFERROR(INDEX(StageGates!$J:$J,MATCH(I311,StageGates!$O:$O,0)),"")</f>
        <v/>
      </c>
      <c r="F311" s="7">
        <f>IFERROR(INDEX(StageGates!$G:$G,MATCH(I311,StageGates!$O:$O,0)),"")</f>
        <v/>
      </c>
      <c r="G311" s="7">
        <f>IFERROR(INDEX(StageGates!$H:$H,MATCH(I311,StageGates!$O:$O,0)),"")</f>
        <v/>
      </c>
      <c r="H311" s="7" t="inlineStr">
        <is>
          <t>StageGate</t>
        </is>
      </c>
      <c r="I311" s="7">
        <f>A311&amp;"|"&amp;B311</f>
        <v/>
      </c>
    </row>
    <row r="312" ht="15" customHeight="1" s="5">
      <c r="A312" s="7" t="inlineStr">
        <is>
          <t>PRJ039</t>
        </is>
      </c>
      <c r="B312" s="7" t="inlineStr">
        <is>
          <t>Deployment</t>
        </is>
      </c>
      <c r="C312" s="8">
        <f>IFERROR(INDEX(StageGates!$I:$I,MATCH(I312,StageGates!$O:$O,0)),"")</f>
        <v/>
      </c>
      <c r="D312" s="8">
        <f>IFERROR(INDEX(StageGates!$J:$J,MATCH(I312,StageGates!$O:$O,0)),"")</f>
        <v/>
      </c>
      <c r="E312" s="7">
        <f>IFERROR(INDEX(StageGates!$J:$J,MATCH(I312,StageGates!$O:$O,0)),"")</f>
        <v/>
      </c>
      <c r="F312" s="7">
        <f>IFERROR(INDEX(StageGates!$G:$G,MATCH(I312,StageGates!$O:$O,0)),"")</f>
        <v/>
      </c>
      <c r="G312" s="7">
        <f>IFERROR(INDEX(StageGates!$H:$H,MATCH(I312,StageGates!$O:$O,0)),"")</f>
        <v/>
      </c>
      <c r="H312" s="7" t="inlineStr">
        <is>
          <t>StageGate</t>
        </is>
      </c>
      <c r="I312" s="7">
        <f>A312&amp;"|"&amp;B312</f>
        <v/>
      </c>
    </row>
    <row r="313" ht="15" customHeight="1" s="5">
      <c r="A313" s="7" t="inlineStr">
        <is>
          <t>PRJ039</t>
        </is>
      </c>
      <c r="B313" s="7" t="inlineStr">
        <is>
          <t>Handover</t>
        </is>
      </c>
      <c r="C313" s="8">
        <f>IFERROR(INDEX(StageGates!$I:$I,MATCH(I313,StageGates!$O:$O,0)),"")</f>
        <v/>
      </c>
      <c r="D313" s="8">
        <f>IFERROR(INDEX(StageGates!$J:$J,MATCH(I313,StageGates!$O:$O,0)),"")</f>
        <v/>
      </c>
      <c r="E313" s="7">
        <f>IFERROR(INDEX(StageGates!$J:$J,MATCH(I313,StageGates!$O:$O,0)),"")</f>
        <v/>
      </c>
      <c r="F313" s="7">
        <f>IFERROR(INDEX(StageGates!$G:$G,MATCH(I313,StageGates!$O:$O,0)),"")</f>
        <v/>
      </c>
      <c r="G313" s="7">
        <f>IFERROR(INDEX(StageGates!$H:$H,MATCH(I313,StageGates!$O:$O,0)),"")</f>
        <v/>
      </c>
      <c r="H313" s="7" t="inlineStr">
        <is>
          <t>StageGate</t>
        </is>
      </c>
      <c r="I313" s="7">
        <f>A313&amp;"|"&amp;B313</f>
        <v/>
      </c>
    </row>
    <row r="314" ht="15" customHeight="1" s="5">
      <c r="A314" s="7" t="inlineStr">
        <is>
          <t>PRJ040</t>
        </is>
      </c>
      <c r="B314" s="7" t="inlineStr">
        <is>
          <t>Discovery</t>
        </is>
      </c>
      <c r="C314" s="8">
        <f>IFERROR(INDEX(StageGates!$I:$I,MATCH(I314,StageGates!$O:$O,0)),"")</f>
        <v/>
      </c>
      <c r="D314" s="8">
        <f>IFERROR(INDEX(StageGates!$J:$J,MATCH(I314,StageGates!$O:$O,0)),"")</f>
        <v/>
      </c>
      <c r="E314" s="8">
        <f>IFERROR(INDEX(StageGates!$J:$J,MATCH(I314,StageGates!$O:$O,0)),"")</f>
        <v/>
      </c>
      <c r="F314" s="7">
        <f>IFERROR(INDEX(StageGates!$G:$G,MATCH(I314,StageGates!$O:$O,0)),"")</f>
        <v/>
      </c>
      <c r="G314" s="7">
        <f>IFERROR(INDEX(StageGates!$H:$H,MATCH(I314,StageGates!$O:$O,0)),"")</f>
        <v/>
      </c>
      <c r="H314" s="7" t="inlineStr">
        <is>
          <t>StageGate</t>
        </is>
      </c>
      <c r="I314" s="7">
        <f>A314&amp;"|"&amp;B314</f>
        <v/>
      </c>
    </row>
    <row r="315" ht="15" customHeight="1" s="5">
      <c r="A315" s="7" t="inlineStr">
        <is>
          <t>PRJ040</t>
        </is>
      </c>
      <c r="B315" s="7" t="inlineStr">
        <is>
          <t>Business Case / Seed Funding</t>
        </is>
      </c>
      <c r="C315" s="8">
        <f>IFERROR(INDEX(StageGates!$I:$I,MATCH(I315,StageGates!$O:$O,0)),"")</f>
        <v/>
      </c>
      <c r="D315" s="8">
        <f>IFERROR(INDEX(StageGates!$J:$J,MATCH(I315,StageGates!$O:$O,0)),"")</f>
        <v/>
      </c>
      <c r="E315" s="8">
        <f>IFERROR(INDEX(StageGates!$J:$J,MATCH(I315,StageGates!$O:$O,0)),"")</f>
        <v/>
      </c>
      <c r="F315" s="7">
        <f>IFERROR(INDEX(StageGates!$G:$G,MATCH(I315,StageGates!$O:$O,0)),"")</f>
        <v/>
      </c>
      <c r="G315" s="7">
        <f>IFERROR(INDEX(StageGates!$H:$H,MATCH(I315,StageGates!$O:$O,0)),"")</f>
        <v/>
      </c>
      <c r="H315" s="7" t="inlineStr">
        <is>
          <t>StageGate</t>
        </is>
      </c>
      <c r="I315" s="7">
        <f>A315&amp;"|"&amp;B315</f>
        <v/>
      </c>
    </row>
    <row r="316" ht="15" customHeight="1" s="5">
      <c r="A316" s="7" t="inlineStr">
        <is>
          <t>PRJ040</t>
        </is>
      </c>
      <c r="B316" s="7" t="inlineStr">
        <is>
          <t>Design</t>
        </is>
      </c>
      <c r="C316" s="8">
        <f>IFERROR(INDEX(StageGates!$I:$I,MATCH(I316,StageGates!$O:$O,0)),"")</f>
        <v/>
      </c>
      <c r="D316" s="8">
        <f>IFERROR(INDEX(StageGates!$J:$J,MATCH(I316,StageGates!$O:$O,0)),"")</f>
        <v/>
      </c>
      <c r="E316" s="8">
        <f>IFERROR(INDEX(StageGates!$J:$J,MATCH(I316,StageGates!$O:$O,0)),"")</f>
        <v/>
      </c>
      <c r="F316" s="7">
        <f>IFERROR(INDEX(StageGates!$G:$G,MATCH(I316,StageGates!$O:$O,0)),"")</f>
        <v/>
      </c>
      <c r="G316" s="7">
        <f>IFERROR(INDEX(StageGates!$H:$H,MATCH(I316,StageGates!$O:$O,0)),"")</f>
        <v/>
      </c>
      <c r="H316" s="7" t="inlineStr">
        <is>
          <t>StageGate</t>
        </is>
      </c>
      <c r="I316" s="7">
        <f>A316&amp;"|"&amp;B316</f>
        <v/>
      </c>
    </row>
    <row r="317" ht="15" customHeight="1" s="5">
      <c r="A317" s="7" t="inlineStr">
        <is>
          <t>PRJ040</t>
        </is>
      </c>
      <c r="B317" s="7" t="inlineStr">
        <is>
          <t>Business Case / Full Funding</t>
        </is>
      </c>
      <c r="C317" s="8">
        <f>IFERROR(INDEX(StageGates!$I:$I,MATCH(I317,StageGates!$O:$O,0)),"")</f>
        <v/>
      </c>
      <c r="D317" s="8">
        <f>IFERROR(INDEX(StageGates!$J:$J,MATCH(I317,StageGates!$O:$O,0)),"")</f>
        <v/>
      </c>
      <c r="E317" s="8">
        <f>IFERROR(INDEX(StageGates!$J:$J,MATCH(I317,StageGates!$O:$O,0)),"")</f>
        <v/>
      </c>
      <c r="F317" s="7">
        <f>IFERROR(INDEX(StageGates!$G:$G,MATCH(I317,StageGates!$O:$O,0)),"")</f>
        <v/>
      </c>
      <c r="G317" s="7">
        <f>IFERROR(INDEX(StageGates!$H:$H,MATCH(I317,StageGates!$O:$O,0)),"")</f>
        <v/>
      </c>
      <c r="H317" s="7" t="inlineStr">
        <is>
          <t>StageGate</t>
        </is>
      </c>
      <c r="I317" s="7">
        <f>A317&amp;"|"&amp;B317</f>
        <v/>
      </c>
    </row>
    <row r="318" ht="15" customHeight="1" s="5">
      <c r="A318" s="7" t="inlineStr">
        <is>
          <t>PRJ040</t>
        </is>
      </c>
      <c r="B318" s="7" t="inlineStr">
        <is>
          <t>Build</t>
        </is>
      </c>
      <c r="C318" s="8">
        <f>IFERROR(INDEX(StageGates!$I:$I,MATCH(I318,StageGates!$O:$O,0)),"")</f>
        <v/>
      </c>
      <c r="D318" s="8">
        <f>IFERROR(INDEX(StageGates!$J:$J,MATCH(I318,StageGates!$O:$O,0)),"")</f>
        <v/>
      </c>
      <c r="E318" s="8">
        <f>IFERROR(INDEX(StageGates!$J:$J,MATCH(I318,StageGates!$O:$O,0)),"")</f>
        <v/>
      </c>
      <c r="F318" s="7">
        <f>IFERROR(INDEX(StageGates!$G:$G,MATCH(I318,StageGates!$O:$O,0)),"")</f>
        <v/>
      </c>
      <c r="G318" s="7">
        <f>IFERROR(INDEX(StageGates!$H:$H,MATCH(I318,StageGates!$O:$O,0)),"")</f>
        <v/>
      </c>
      <c r="H318" s="7" t="inlineStr">
        <is>
          <t>StageGate</t>
        </is>
      </c>
      <c r="I318" s="7">
        <f>A318&amp;"|"&amp;B318</f>
        <v/>
      </c>
    </row>
    <row r="319" ht="15" customHeight="1" s="5">
      <c r="A319" s="7" t="inlineStr">
        <is>
          <t>PRJ040</t>
        </is>
      </c>
      <c r="B319" s="7" t="inlineStr">
        <is>
          <t>Testing</t>
        </is>
      </c>
      <c r="C319" s="8">
        <f>IFERROR(INDEX(StageGates!$I:$I,MATCH(I319,StageGates!$O:$O,0)),"")</f>
        <v/>
      </c>
      <c r="D319" s="8">
        <f>IFERROR(INDEX(StageGates!$J:$J,MATCH(I319,StageGates!$O:$O,0)),"")</f>
        <v/>
      </c>
      <c r="E319" s="8">
        <f>IFERROR(INDEX(StageGates!$J:$J,MATCH(I319,StageGates!$O:$O,0)),"")</f>
        <v/>
      </c>
      <c r="F319" s="7">
        <f>IFERROR(INDEX(StageGates!$G:$G,MATCH(I319,StageGates!$O:$O,0)),"")</f>
        <v/>
      </c>
      <c r="G319" s="7">
        <f>IFERROR(INDEX(StageGates!$H:$H,MATCH(I319,StageGates!$O:$O,0)),"")</f>
        <v/>
      </c>
      <c r="H319" s="7" t="inlineStr">
        <is>
          <t>StageGate</t>
        </is>
      </c>
      <c r="I319" s="7">
        <f>A319&amp;"|"&amp;B319</f>
        <v/>
      </c>
    </row>
    <row r="320" ht="15" customHeight="1" s="5">
      <c r="A320" s="7" t="inlineStr">
        <is>
          <t>PRJ040</t>
        </is>
      </c>
      <c r="B320" s="7" t="inlineStr">
        <is>
          <t>Deployment</t>
        </is>
      </c>
      <c r="C320" s="8">
        <f>IFERROR(INDEX(StageGates!$I:$I,MATCH(I320,StageGates!$O:$O,0)),"")</f>
        <v/>
      </c>
      <c r="D320" s="8">
        <f>IFERROR(INDEX(StageGates!$J:$J,MATCH(I320,StageGates!$O:$O,0)),"")</f>
        <v/>
      </c>
      <c r="E320" s="7">
        <f>IFERROR(INDEX(StageGates!$J:$J,MATCH(I320,StageGates!$O:$O,0)),"")</f>
        <v/>
      </c>
      <c r="F320" s="7">
        <f>IFERROR(INDEX(StageGates!$G:$G,MATCH(I320,StageGates!$O:$O,0)),"")</f>
        <v/>
      </c>
      <c r="G320" s="7">
        <f>IFERROR(INDEX(StageGates!$H:$H,MATCH(I320,StageGates!$O:$O,0)),"")</f>
        <v/>
      </c>
      <c r="H320" s="7" t="inlineStr">
        <is>
          <t>StageGate</t>
        </is>
      </c>
      <c r="I320" s="7">
        <f>A320&amp;"|"&amp;B320</f>
        <v/>
      </c>
    </row>
    <row r="321" ht="15" customHeight="1" s="5">
      <c r="A321" s="7" t="inlineStr">
        <is>
          <t>PRJ040</t>
        </is>
      </c>
      <c r="B321" s="7" t="inlineStr">
        <is>
          <t>Handover</t>
        </is>
      </c>
      <c r="C321" s="8">
        <f>IFERROR(INDEX(StageGates!$I:$I,MATCH(I321,StageGates!$O:$O,0)),"")</f>
        <v/>
      </c>
      <c r="D321" s="8">
        <f>IFERROR(INDEX(StageGates!$J:$J,MATCH(I321,StageGates!$O:$O,0)),"")</f>
        <v/>
      </c>
      <c r="E321" s="7">
        <f>IFERROR(INDEX(StageGates!$J:$J,MATCH(I321,StageGates!$O:$O,0)),"")</f>
        <v/>
      </c>
      <c r="F321" s="7">
        <f>IFERROR(INDEX(StageGates!$G:$G,MATCH(I321,StageGates!$O:$O,0)),"")</f>
        <v/>
      </c>
      <c r="G321" s="7">
        <f>IFERROR(INDEX(StageGates!$H:$H,MATCH(I321,StageGates!$O:$O,0)),"")</f>
        <v/>
      </c>
      <c r="H321" s="7" t="inlineStr">
        <is>
          <t>StageGate</t>
        </is>
      </c>
      <c r="I321" s="7">
        <f>A321&amp;"|"&amp;B321</f>
        <v/>
      </c>
    </row>
    <row r="322" ht="15" customHeight="1" s="5">
      <c r="B322" s="7" t="n"/>
    </row>
    <row r="323" ht="15" customHeight="1" s="5">
      <c r="B323" s="7" t="n"/>
    </row>
    <row r="324" ht="15" customHeight="1" s="5">
      <c r="B324" s="7" t="n"/>
    </row>
    <row r="325" ht="15" customHeight="1" s="5">
      <c r="B325" s="7" t="n"/>
    </row>
    <row r="326" ht="15" customHeight="1" s="5">
      <c r="B326" s="7" t="n"/>
    </row>
    <row r="327" ht="15" customHeight="1" s="5">
      <c r="B327" s="7" t="n"/>
    </row>
    <row r="328" ht="15" customHeight="1" s="5">
      <c r="B328" s="7" t="n"/>
    </row>
    <row r="329" ht="15" customHeight="1" s="5">
      <c r="B329" s="7" t="n"/>
    </row>
    <row r="330" ht="15" customHeight="1" s="5">
      <c r="B330" s="7" t="n"/>
    </row>
    <row r="331" ht="15" customHeight="1" s="5">
      <c r="B331" s="7" t="n"/>
    </row>
    <row r="332" ht="15" customHeight="1" s="5">
      <c r="B332" s="7" t="n"/>
    </row>
    <row r="333" ht="15" customHeight="1" s="5">
      <c r="B333" s="7" t="n"/>
    </row>
    <row r="334" ht="15" customHeight="1" s="5">
      <c r="B334" s="7" t="n"/>
    </row>
    <row r="335" ht="15" customHeight="1" s="5">
      <c r="B335" s="7" t="n"/>
    </row>
    <row r="336" ht="15" customHeight="1" s="5">
      <c r="B336" s="7" t="n"/>
    </row>
    <row r="337" ht="15" customHeight="1" s="5">
      <c r="B337" s="7" t="n"/>
    </row>
    <row r="338" ht="15" customHeight="1" s="5">
      <c r="B338" s="7" t="n"/>
    </row>
    <row r="339" ht="15" customHeight="1" s="5">
      <c r="B339" s="7" t="n"/>
    </row>
    <row r="340" ht="15" customHeight="1" s="5">
      <c r="B340" s="7" t="n"/>
    </row>
    <row r="341" ht="15" customHeight="1" s="5">
      <c r="B341" s="7" t="n"/>
    </row>
    <row r="342" ht="15" customHeight="1" s="5">
      <c r="B342" s="7" t="n"/>
    </row>
    <row r="343" ht="15" customHeight="1" s="5">
      <c r="B343" s="7" t="n"/>
    </row>
    <row r="344" ht="15" customHeight="1" s="5">
      <c r="B344" s="7" t="n"/>
    </row>
    <row r="345" ht="15" customHeight="1" s="5">
      <c r="B345" s="7" t="n"/>
    </row>
    <row r="346" ht="15" customHeight="1" s="5">
      <c r="B346" s="7" t="n"/>
    </row>
    <row r="347" ht="15" customHeight="1" s="5">
      <c r="B347" s="7" t="n"/>
    </row>
    <row r="348" ht="15" customHeight="1" s="5">
      <c r="B348" s="7" t="n"/>
    </row>
    <row r="349" ht="15" customHeight="1" s="5">
      <c r="B349" s="7" t="n"/>
    </row>
    <row r="350" ht="15" customHeight="1" s="5">
      <c r="B350" s="7" t="n"/>
    </row>
    <row r="351" ht="15" customHeight="1" s="5">
      <c r="B351" s="7" t="n"/>
    </row>
    <row r="352" ht="15" customHeight="1" s="5">
      <c r="B352" s="7" t="n"/>
    </row>
    <row r="353" ht="15" customHeight="1" s="5">
      <c r="B353" s="7" t="n"/>
    </row>
    <row r="354" ht="15" customHeight="1" s="5">
      <c r="B354" s="7" t="n"/>
    </row>
    <row r="355" ht="15" customHeight="1" s="5">
      <c r="B355" s="7" t="n"/>
    </row>
    <row r="356" ht="15" customHeight="1" s="5">
      <c r="B356" s="7" t="n"/>
    </row>
    <row r="357" ht="15" customHeight="1" s="5">
      <c r="B357" s="7" t="n"/>
    </row>
    <row r="358" ht="15" customHeight="1" s="5">
      <c r="B358" s="7" t="n"/>
    </row>
    <row r="359" ht="15" customHeight="1" s="5">
      <c r="B359" s="7" t="n"/>
    </row>
    <row r="360" ht="15" customHeight="1" s="5">
      <c r="B360" s="7" t="n"/>
    </row>
    <row r="361" ht="15" customHeight="1" s="5">
      <c r="B361" s="7" t="n"/>
    </row>
    <row r="362" ht="15" customHeight="1" s="5">
      <c r="B362" s="7" t="n"/>
    </row>
    <row r="363" ht="15" customHeight="1" s="5">
      <c r="B363" s="7" t="n"/>
    </row>
    <row r="364" ht="15" customHeight="1" s="5">
      <c r="B364" s="7" t="n"/>
    </row>
    <row r="365" ht="15" customHeight="1" s="5">
      <c r="B365" s="7" t="n"/>
    </row>
    <row r="366" ht="15" customHeight="1" s="5">
      <c r="B366" s="7" t="n"/>
    </row>
    <row r="367" ht="15" customHeight="1" s="5">
      <c r="B367" s="7" t="n"/>
    </row>
    <row r="368" ht="15" customHeight="1" s="5">
      <c r="B368" s="7" t="n"/>
    </row>
    <row r="369" ht="15" customHeight="1" s="5">
      <c r="B369" s="7" t="n"/>
    </row>
    <row r="370" ht="15" customHeight="1" s="5">
      <c r="B370" s="7" t="n"/>
    </row>
    <row r="371" ht="15" customHeight="1" s="5">
      <c r="B371" s="7" t="n"/>
    </row>
    <row r="372" ht="15" customHeight="1" s="5">
      <c r="B372" s="7" t="n"/>
    </row>
    <row r="373" ht="15" customHeight="1" s="5">
      <c r="B373" s="7" t="n"/>
    </row>
    <row r="374" ht="15" customHeight="1" s="5">
      <c r="B374" s="7" t="n"/>
    </row>
    <row r="375" ht="15" customHeight="1" s="5">
      <c r="B375" s="7" t="n"/>
    </row>
    <row r="376" ht="15" customHeight="1" s="5">
      <c r="B376" s="7" t="n"/>
    </row>
    <row r="377" ht="15" customHeight="1" s="5">
      <c r="B377" s="7" t="n"/>
    </row>
    <row r="378" ht="15" customHeight="1" s="5">
      <c r="B378" s="7" t="n"/>
    </row>
    <row r="379" ht="15" customHeight="1" s="5">
      <c r="B379" s="7" t="n"/>
    </row>
    <row r="380" ht="15" customHeight="1" s="5">
      <c r="B380" s="7" t="n"/>
    </row>
    <row r="381" ht="15" customHeight="1" s="5">
      <c r="B381" s="7" t="n"/>
    </row>
    <row r="382" ht="15" customHeight="1" s="5">
      <c r="B382" s="7" t="n"/>
    </row>
    <row r="383" ht="15" customHeight="1" s="5">
      <c r="B383" s="7" t="n"/>
    </row>
    <row r="384" ht="15" customHeight="1" s="5">
      <c r="B384" s="7" t="n"/>
    </row>
    <row r="385" ht="15" customHeight="1" s="5">
      <c r="B385" s="7" t="n"/>
    </row>
    <row r="386" ht="15" customHeight="1" s="5">
      <c r="B386" s="7" t="n"/>
    </row>
    <row r="387" ht="15" customHeight="1" s="5">
      <c r="B387" s="7" t="n"/>
    </row>
    <row r="388" ht="15" customHeight="1" s="5">
      <c r="B388" s="7" t="n"/>
    </row>
    <row r="389" ht="15" customHeight="1" s="5">
      <c r="B389" s="7" t="n"/>
    </row>
    <row r="390" ht="15" customHeight="1" s="5">
      <c r="B390" s="7" t="n"/>
    </row>
    <row r="391" ht="15" customHeight="1" s="5">
      <c r="B391" s="7" t="n"/>
    </row>
    <row r="392" ht="15" customHeight="1" s="5">
      <c r="B392" s="7" t="n"/>
    </row>
    <row r="393" ht="15" customHeight="1" s="5">
      <c r="B393" s="7" t="n"/>
    </row>
    <row r="394" ht="15" customHeight="1" s="5">
      <c r="B394" s="7" t="n"/>
    </row>
    <row r="395" ht="15" customHeight="1" s="5">
      <c r="B395" s="7" t="n"/>
    </row>
    <row r="396" ht="15" customHeight="1" s="5">
      <c r="B396" s="7" t="n"/>
    </row>
    <row r="397" ht="15" customHeight="1" s="5">
      <c r="B397" s="7" t="n"/>
    </row>
    <row r="398" ht="15" customHeight="1" s="5">
      <c r="B398" s="7" t="n"/>
    </row>
    <row r="399" ht="15" customHeight="1" s="5">
      <c r="B399" s="7" t="n"/>
    </row>
    <row r="400" ht="15" customHeight="1" s="5">
      <c r="B400" s="7" t="n"/>
    </row>
    <row r="401" ht="15" customHeight="1" s="5">
      <c r="B401" s="7" t="n"/>
    </row>
    <row r="402" ht="15" customHeight="1" s="5">
      <c r="B402" s="7" t="n"/>
    </row>
    <row r="403" ht="15" customHeight="1" s="5">
      <c r="B403" s="7" t="n"/>
    </row>
    <row r="404" ht="15" customHeight="1" s="5">
      <c r="B404" s="7" t="n"/>
    </row>
    <row r="405" ht="15" customHeight="1" s="5">
      <c r="B405" s="7" t="n"/>
    </row>
    <row r="406" ht="15" customHeight="1" s="5">
      <c r="B406" s="7" t="n"/>
    </row>
    <row r="407" ht="15" customHeight="1" s="5">
      <c r="B407" s="7" t="n"/>
    </row>
    <row r="408" ht="15" customHeight="1" s="5">
      <c r="B408" s="7" t="n"/>
    </row>
    <row r="409" ht="15" customHeight="1" s="5">
      <c r="B409" s="7" t="n"/>
    </row>
    <row r="410" ht="15" customHeight="1" s="5">
      <c r="B410" s="7" t="n"/>
    </row>
    <row r="411" ht="15" customHeight="1" s="5">
      <c r="B411" s="7" t="n"/>
    </row>
    <row r="412" ht="15" customHeight="1" s="5">
      <c r="B412" s="7" t="n"/>
    </row>
    <row r="413" ht="15" customHeight="1" s="5">
      <c r="B413" s="7" t="n"/>
    </row>
    <row r="414" ht="15" customHeight="1" s="5">
      <c r="B414" s="7" t="n"/>
    </row>
    <row r="415" ht="15" customHeight="1" s="5">
      <c r="B415" s="7" t="n"/>
    </row>
    <row r="416" ht="15" customHeight="1" s="5">
      <c r="B416" s="7" t="n"/>
    </row>
    <row r="417" ht="15" customHeight="1" s="5">
      <c r="B417" s="7" t="n"/>
    </row>
    <row r="418" ht="15" customHeight="1" s="5">
      <c r="B418" s="7" t="n"/>
    </row>
    <row r="419" ht="15" customHeight="1" s="5">
      <c r="B419" s="7" t="n"/>
    </row>
    <row r="420" ht="15" customHeight="1" s="5">
      <c r="B420" s="7" t="n"/>
    </row>
    <row r="421" ht="15" customHeight="1" s="5">
      <c r="B421" s="7" t="n"/>
    </row>
    <row r="422" ht="15" customHeight="1" s="5">
      <c r="B422" s="7" t="n"/>
    </row>
    <row r="423" ht="15" customHeight="1" s="5">
      <c r="B423" s="7" t="n"/>
    </row>
    <row r="424" ht="15" customHeight="1" s="5">
      <c r="B424" s="7" t="n"/>
    </row>
    <row r="425" ht="15" customHeight="1" s="5">
      <c r="B425" s="7" t="n"/>
    </row>
    <row r="426" ht="15" customHeight="1" s="5">
      <c r="B426" s="7" t="n"/>
    </row>
    <row r="427" ht="15" customHeight="1" s="5">
      <c r="B427" s="7" t="n"/>
    </row>
    <row r="428" ht="15" customHeight="1" s="5">
      <c r="B428" s="7" t="n"/>
    </row>
    <row r="429" ht="15" customHeight="1" s="5">
      <c r="B429" s="7" t="n"/>
    </row>
    <row r="430" ht="15" customHeight="1" s="5">
      <c r="B430" s="7" t="n"/>
    </row>
    <row r="431" ht="15" customHeight="1" s="5">
      <c r="B431" s="7" t="n"/>
    </row>
    <row r="432" ht="15" customHeight="1" s="5">
      <c r="B432" s="7" t="n"/>
    </row>
    <row r="433" ht="15" customHeight="1" s="5">
      <c r="B433" s="7" t="n"/>
    </row>
    <row r="434" ht="15" customHeight="1" s="5">
      <c r="B434" s="7" t="n"/>
    </row>
    <row r="435" ht="15" customHeight="1" s="5">
      <c r="B435" s="7" t="n"/>
    </row>
    <row r="436" ht="15" customHeight="1" s="5">
      <c r="B436" s="7" t="n"/>
    </row>
    <row r="437" ht="15" customHeight="1" s="5">
      <c r="B437" s="7" t="n"/>
    </row>
    <row r="438" ht="15" customHeight="1" s="5">
      <c r="B438" s="7" t="n"/>
    </row>
    <row r="439" ht="15" customHeight="1" s="5">
      <c r="B439" s="7" t="n"/>
    </row>
    <row r="440" ht="15" customHeight="1" s="5">
      <c r="B440" s="7" t="n"/>
    </row>
    <row r="441" ht="15" customHeight="1" s="5">
      <c r="B441" s="7" t="n"/>
    </row>
    <row r="442" ht="15" customHeight="1" s="5">
      <c r="B442" s="7" t="n"/>
    </row>
    <row r="443" ht="15" customHeight="1" s="5">
      <c r="B443" s="7" t="n"/>
    </row>
    <row r="444" ht="15" customHeight="1" s="5">
      <c r="B444" s="7" t="n"/>
    </row>
    <row r="445" ht="15" customHeight="1" s="5">
      <c r="B445" s="7" t="n"/>
    </row>
    <row r="446" ht="15" customHeight="1" s="5">
      <c r="B446" s="7" t="n"/>
    </row>
    <row r="447" ht="15" customHeight="1" s="5">
      <c r="B447" s="7" t="n"/>
    </row>
    <row r="448" ht="15" customHeight="1" s="5">
      <c r="B448" s="7" t="n"/>
    </row>
    <row r="449" ht="15" customHeight="1" s="5">
      <c r="B449" s="7" t="n"/>
    </row>
    <row r="450" ht="15" customHeight="1" s="5">
      <c r="B450" s="7" t="n"/>
    </row>
    <row r="451" ht="15" customHeight="1" s="5">
      <c r="B451" s="7" t="n"/>
    </row>
    <row r="452" ht="15" customHeight="1" s="5">
      <c r="B452" s="7" t="n"/>
    </row>
    <row r="453" ht="15" customHeight="1" s="5">
      <c r="B453" s="7" t="n"/>
    </row>
    <row r="454" ht="15" customHeight="1" s="5">
      <c r="B454" s="7" t="n"/>
    </row>
    <row r="455" ht="15" customHeight="1" s="5">
      <c r="B455" s="7" t="n"/>
    </row>
    <row r="456" ht="15" customHeight="1" s="5">
      <c r="B456" s="7" t="n"/>
    </row>
    <row r="457" ht="15" customHeight="1" s="5">
      <c r="B457" s="7" t="n"/>
    </row>
    <row r="458" ht="15" customHeight="1" s="5">
      <c r="B458" s="7" t="n"/>
    </row>
    <row r="459" ht="15" customHeight="1" s="5">
      <c r="B459" s="7" t="n"/>
    </row>
    <row r="460" ht="15" customHeight="1" s="5">
      <c r="B460" s="7" t="n"/>
    </row>
    <row r="461" ht="15" customHeight="1" s="5">
      <c r="B461" s="7" t="n"/>
    </row>
    <row r="462" ht="15" customHeight="1" s="5">
      <c r="B462" s="7" t="n"/>
    </row>
    <row r="463" ht="15" customHeight="1" s="5">
      <c r="B463" s="7" t="n"/>
    </row>
    <row r="464" ht="15" customHeight="1" s="5">
      <c r="B464" s="7" t="n"/>
    </row>
    <row r="465" ht="15" customHeight="1" s="5">
      <c r="B465" s="7" t="n"/>
    </row>
    <row r="466" ht="15" customHeight="1" s="5">
      <c r="B466" s="7" t="n"/>
    </row>
    <row r="467" ht="15" customHeight="1" s="5">
      <c r="B467" s="7" t="n"/>
    </row>
    <row r="468" ht="15" customHeight="1" s="5">
      <c r="B468" s="7" t="n"/>
    </row>
    <row r="469" ht="15" customHeight="1" s="5">
      <c r="B469" s="7" t="n"/>
    </row>
    <row r="470" ht="15" customHeight="1" s="5">
      <c r="B470" s="7" t="n"/>
    </row>
    <row r="471" ht="15" customHeight="1" s="5">
      <c r="B471" s="7" t="n"/>
    </row>
    <row r="472" ht="15" customHeight="1" s="5">
      <c r="B472" s="7" t="n"/>
    </row>
    <row r="473" ht="15" customHeight="1" s="5">
      <c r="B473" s="7" t="n"/>
    </row>
    <row r="474" ht="15" customHeight="1" s="5">
      <c r="B474" s="7" t="n"/>
    </row>
    <row r="475" ht="15" customHeight="1" s="5">
      <c r="B475" s="7" t="n"/>
    </row>
    <row r="476" ht="15" customHeight="1" s="5">
      <c r="B476" s="7" t="n"/>
    </row>
    <row r="477" ht="15" customHeight="1" s="5">
      <c r="B477" s="7" t="n"/>
    </row>
    <row r="478" ht="15" customHeight="1" s="5">
      <c r="B478" s="7" t="n"/>
    </row>
    <row r="479" ht="15" customHeight="1" s="5">
      <c r="B479" s="7" t="n"/>
    </row>
    <row r="480" ht="15" customHeight="1" s="5">
      <c r="B480" s="7" t="n"/>
    </row>
    <row r="481" ht="15" customHeight="1" s="5">
      <c r="B481" s="7" t="n"/>
    </row>
    <row r="482" ht="15" customHeight="1" s="5">
      <c r="B482" s="7" t="n"/>
    </row>
    <row r="483" ht="15" customHeight="1" s="5">
      <c r="B483" s="7" t="n"/>
    </row>
    <row r="484" ht="15" customHeight="1" s="5">
      <c r="B484" s="7" t="n"/>
    </row>
    <row r="485" ht="15" customHeight="1" s="5">
      <c r="B485" s="7" t="n"/>
    </row>
    <row r="486" ht="15" customHeight="1" s="5">
      <c r="B486" s="7" t="n"/>
    </row>
    <row r="487" ht="15" customHeight="1" s="5">
      <c r="B487" s="7" t="n"/>
    </row>
    <row r="488" ht="15" customHeight="1" s="5">
      <c r="B488" s="7" t="n"/>
    </row>
    <row r="489" ht="15" customHeight="1" s="5">
      <c r="B489" s="7" t="n"/>
    </row>
    <row r="490" ht="15" customHeight="1" s="5">
      <c r="B490" s="7" t="n"/>
    </row>
    <row r="491" ht="15" customHeight="1" s="5">
      <c r="B491" s="7" t="n"/>
    </row>
    <row r="492" ht="15" customHeight="1" s="5">
      <c r="B492" s="7" t="n"/>
    </row>
    <row r="493" ht="15" customHeight="1" s="5">
      <c r="B493" s="7" t="n"/>
    </row>
    <row r="494" ht="15" customHeight="1" s="5">
      <c r="B494" s="7" t="n"/>
    </row>
    <row r="495" ht="15" customHeight="1" s="5">
      <c r="B495" s="7" t="n"/>
    </row>
    <row r="496" ht="15" customHeight="1" s="5">
      <c r="B496" s="7" t="n"/>
    </row>
    <row r="497" ht="15" customHeight="1" s="5">
      <c r="B497" s="7" t="n"/>
    </row>
    <row r="498" ht="15" customHeight="1" s="5">
      <c r="B498" s="7" t="n"/>
    </row>
    <row r="499" ht="15" customHeight="1" s="5">
      <c r="B499" s="7" t="n"/>
    </row>
    <row r="500" ht="15" customHeight="1" s="5">
      <c r="B500" s="7" t="n"/>
    </row>
    <row r="501" ht="15" customHeight="1" s="5">
      <c r="B501" s="7" t="n"/>
    </row>
    <row r="502" ht="15" customHeight="1" s="5">
      <c r="B502" s="7" t="n"/>
    </row>
    <row r="503" ht="15" customHeight="1" s="5">
      <c r="B503" s="7" t="n"/>
    </row>
    <row r="504" ht="15" customHeight="1" s="5">
      <c r="B504" s="7" t="n"/>
    </row>
    <row r="505" ht="15" customHeight="1" s="5">
      <c r="B505" s="7" t="n"/>
    </row>
    <row r="506" ht="15" customHeight="1" s="5">
      <c r="B506" s="7" t="n"/>
    </row>
    <row r="507" ht="15" customHeight="1" s="5">
      <c r="B507" s="7" t="n"/>
    </row>
    <row r="508" ht="15" customHeight="1" s="5">
      <c r="B508" s="7" t="n"/>
    </row>
    <row r="509" ht="15" customHeight="1" s="5">
      <c r="B509" s="7" t="n"/>
    </row>
    <row r="510" ht="15" customHeight="1" s="5">
      <c r="B510" s="7" t="n"/>
    </row>
    <row r="511" ht="15" customHeight="1" s="5">
      <c r="B511" s="7" t="n"/>
    </row>
    <row r="512" ht="15" customHeight="1" s="5">
      <c r="B512" s="7" t="n"/>
    </row>
    <row r="513" ht="15" customHeight="1" s="5">
      <c r="B513" s="7" t="n"/>
    </row>
    <row r="514" ht="15" customHeight="1" s="5">
      <c r="B514" s="7" t="n"/>
    </row>
    <row r="515" ht="15" customHeight="1" s="5">
      <c r="B515" s="7" t="n"/>
    </row>
    <row r="516" ht="15" customHeight="1" s="5">
      <c r="B516" s="7" t="n"/>
    </row>
    <row r="517" ht="15" customHeight="1" s="5">
      <c r="B517" s="7" t="n"/>
    </row>
    <row r="518" ht="15" customHeight="1" s="5">
      <c r="B518" s="7" t="n"/>
    </row>
    <row r="519" ht="15" customHeight="1" s="5">
      <c r="B519" s="7" t="n"/>
    </row>
    <row r="520" ht="15" customHeight="1" s="5">
      <c r="B520" s="7" t="n"/>
    </row>
    <row r="521" ht="15" customHeight="1" s="5">
      <c r="B521" s="7" t="n"/>
    </row>
    <row r="522" ht="15" customHeight="1" s="5">
      <c r="B522" s="7" t="n"/>
    </row>
    <row r="523" ht="15" customHeight="1" s="5">
      <c r="B523" s="7" t="n"/>
    </row>
    <row r="524" ht="15" customHeight="1" s="5">
      <c r="B524" s="7" t="n"/>
    </row>
    <row r="525" ht="15" customHeight="1" s="5">
      <c r="B525" s="7" t="n"/>
    </row>
    <row r="526" ht="15" customHeight="1" s="5">
      <c r="B526" s="7" t="n"/>
    </row>
    <row r="527" ht="15" customHeight="1" s="5">
      <c r="B527" s="7" t="n"/>
    </row>
    <row r="528" ht="15" customHeight="1" s="5">
      <c r="B528" s="7" t="n"/>
    </row>
    <row r="529" ht="15" customHeight="1" s="5">
      <c r="B529" s="7" t="n"/>
    </row>
    <row r="530" ht="15" customHeight="1" s="5">
      <c r="B530" s="7" t="n"/>
    </row>
    <row r="531" ht="15" customHeight="1" s="5">
      <c r="B531" s="7" t="n"/>
    </row>
    <row r="532" ht="15" customHeight="1" s="5">
      <c r="B532" s="7" t="n"/>
    </row>
    <row r="533" ht="15" customHeight="1" s="5">
      <c r="B533" s="7" t="n"/>
    </row>
    <row r="534" ht="15" customHeight="1" s="5">
      <c r="B534" s="7" t="n"/>
    </row>
    <row r="535" ht="15" customHeight="1" s="5">
      <c r="B535" s="7" t="n"/>
    </row>
    <row r="536" ht="15" customHeight="1" s="5">
      <c r="B536" s="7" t="n"/>
    </row>
    <row r="537" ht="15" customHeight="1" s="5">
      <c r="B537" s="7" t="n"/>
    </row>
    <row r="538" ht="15" customHeight="1" s="5">
      <c r="B538" s="7" t="n"/>
    </row>
    <row r="539" ht="15" customHeight="1" s="5">
      <c r="B539" s="7" t="n"/>
    </row>
    <row r="540" ht="15" customHeight="1" s="5">
      <c r="B540" s="7" t="n"/>
    </row>
    <row r="541" ht="15" customHeight="1" s="5">
      <c r="B541" s="7" t="n"/>
    </row>
    <row r="542" ht="15" customHeight="1" s="5">
      <c r="B542" s="7" t="n"/>
    </row>
    <row r="543" ht="15" customHeight="1" s="5">
      <c r="B543" s="7" t="n"/>
    </row>
    <row r="544" ht="15" customHeight="1" s="5">
      <c r="B544" s="7" t="n"/>
    </row>
    <row r="545" ht="15" customHeight="1" s="5">
      <c r="B545" s="7" t="n"/>
    </row>
    <row r="546" ht="15" customHeight="1" s="5">
      <c r="B546" s="7" t="n"/>
    </row>
    <row r="547" ht="15" customHeight="1" s="5">
      <c r="B547" s="7" t="n"/>
    </row>
    <row r="548" ht="15" customHeight="1" s="5">
      <c r="B548" s="7" t="n"/>
    </row>
    <row r="549" ht="15" customHeight="1" s="5">
      <c r="B549" s="7" t="n"/>
    </row>
    <row r="550" ht="15" customHeight="1" s="5">
      <c r="B550" s="7" t="n"/>
    </row>
    <row r="551" ht="15" customHeight="1" s="5">
      <c r="B551" s="7" t="n"/>
    </row>
    <row r="552" ht="15" customHeight="1" s="5">
      <c r="B552" s="7" t="n"/>
    </row>
    <row r="553" ht="15" customHeight="1" s="5">
      <c r="B553" s="7" t="n"/>
    </row>
    <row r="554" ht="15" customHeight="1" s="5">
      <c r="B554" s="7" t="n"/>
    </row>
    <row r="555" ht="15" customHeight="1" s="5">
      <c r="B555" s="7" t="n"/>
    </row>
    <row r="556" ht="15" customHeight="1" s="5">
      <c r="B556" s="7" t="n"/>
    </row>
    <row r="557" ht="15" customHeight="1" s="5">
      <c r="B557" s="7" t="n"/>
    </row>
    <row r="558" ht="15" customHeight="1" s="5">
      <c r="B558" s="7" t="n"/>
    </row>
    <row r="559" ht="15" customHeight="1" s="5">
      <c r="B559" s="7" t="n"/>
    </row>
    <row r="560" ht="15" customHeight="1" s="5">
      <c r="B560" s="7" t="n"/>
    </row>
    <row r="561" ht="15" customHeight="1" s="5">
      <c r="B561" s="7" t="n"/>
    </row>
    <row r="562" ht="15" customHeight="1" s="5">
      <c r="B562" s="7" t="n"/>
    </row>
    <row r="563" ht="15" customHeight="1" s="5">
      <c r="B563" s="7" t="n"/>
    </row>
    <row r="564" ht="15" customHeight="1" s="5">
      <c r="B564" s="7" t="n"/>
    </row>
    <row r="565" ht="15" customHeight="1" s="5">
      <c r="B565" s="7" t="n"/>
    </row>
    <row r="566" ht="15" customHeight="1" s="5">
      <c r="B566" s="7" t="n"/>
    </row>
    <row r="567" ht="15" customHeight="1" s="5">
      <c r="B567" s="7" t="n"/>
    </row>
    <row r="568" ht="15" customHeight="1" s="5">
      <c r="B568" s="7" t="n"/>
    </row>
    <row r="569" ht="15" customHeight="1" s="5">
      <c r="B569" s="7" t="n"/>
    </row>
    <row r="570" ht="15" customHeight="1" s="5">
      <c r="B570" s="7" t="n"/>
    </row>
    <row r="571" ht="15" customHeight="1" s="5">
      <c r="B571" s="7" t="n"/>
    </row>
    <row r="572" ht="15" customHeight="1" s="5">
      <c r="B572" s="7" t="n"/>
    </row>
    <row r="573" ht="15" customHeight="1" s="5">
      <c r="B573" s="7" t="n"/>
    </row>
    <row r="574" ht="15" customHeight="1" s="5">
      <c r="B574" s="7" t="n"/>
    </row>
    <row r="575" ht="15" customHeight="1" s="5">
      <c r="B575" s="7" t="n"/>
    </row>
    <row r="576" ht="15" customHeight="1" s="5">
      <c r="B576" s="7" t="n"/>
    </row>
    <row r="577" ht="15" customHeight="1" s="5">
      <c r="B577" s="7" t="n"/>
    </row>
    <row r="578" ht="15" customHeight="1" s="5">
      <c r="B578" s="7" t="n"/>
    </row>
    <row r="579" ht="15" customHeight="1" s="5">
      <c r="B579" s="7" t="n"/>
    </row>
    <row r="580" ht="15" customHeight="1" s="5">
      <c r="B580" s="7" t="n"/>
    </row>
    <row r="581" ht="15" customHeight="1" s="5">
      <c r="B581" s="7" t="n"/>
    </row>
    <row r="582" ht="15" customHeight="1" s="5">
      <c r="B582" s="7" t="n"/>
    </row>
    <row r="583" ht="15" customHeight="1" s="5">
      <c r="B583" s="7" t="n"/>
    </row>
    <row r="584" ht="15" customHeight="1" s="5">
      <c r="B584" s="7" t="n"/>
    </row>
    <row r="585" ht="15" customHeight="1" s="5">
      <c r="B585" s="7" t="n"/>
    </row>
    <row r="586" ht="15" customHeight="1" s="5">
      <c r="B586" s="7" t="n"/>
    </row>
    <row r="587" ht="15" customHeight="1" s="5">
      <c r="B587" s="7" t="n"/>
    </row>
    <row r="588" ht="15" customHeight="1" s="5">
      <c r="B588" s="7" t="n"/>
    </row>
    <row r="589" ht="15" customHeight="1" s="5">
      <c r="B589" s="7" t="n"/>
    </row>
    <row r="590" ht="15" customHeight="1" s="5">
      <c r="B590" s="7" t="n"/>
    </row>
    <row r="591" ht="15" customHeight="1" s="5">
      <c r="B591" s="7" t="n"/>
    </row>
    <row r="592" ht="15" customHeight="1" s="5">
      <c r="B592" s="7" t="n"/>
    </row>
    <row r="593" ht="15" customHeight="1" s="5">
      <c r="B593" s="7" t="n"/>
    </row>
    <row r="594" ht="15" customHeight="1" s="5">
      <c r="B594" s="7" t="n"/>
    </row>
    <row r="595" ht="15" customHeight="1" s="5">
      <c r="B595" s="7" t="n"/>
    </row>
    <row r="596" ht="15" customHeight="1" s="5">
      <c r="B596" s="7" t="n"/>
    </row>
    <row r="597" ht="15" customHeight="1" s="5">
      <c r="B597" s="7" t="n"/>
    </row>
    <row r="598" ht="15" customHeight="1" s="5">
      <c r="B598" s="7" t="n"/>
    </row>
    <row r="599" ht="15" customHeight="1" s="5">
      <c r="B599" s="7" t="n"/>
    </row>
    <row r="600" ht="15" customHeight="1" s="5">
      <c r="B600" s="7" t="n"/>
    </row>
    <row r="601" ht="15" customHeight="1" s="5">
      <c r="B601" s="7" t="n"/>
    </row>
    <row r="602" ht="15" customHeight="1" s="5">
      <c r="B602" s="7" t="n"/>
    </row>
    <row r="603" ht="15" customHeight="1" s="5">
      <c r="B603" s="7" t="n"/>
    </row>
    <row r="604" ht="15" customHeight="1" s="5">
      <c r="B604" s="7" t="n"/>
    </row>
    <row r="605" ht="15" customHeight="1" s="5">
      <c r="B605" s="7" t="n"/>
    </row>
    <row r="606" ht="15" customHeight="1" s="5">
      <c r="B606" s="7" t="n"/>
    </row>
    <row r="607" ht="15" customHeight="1" s="5">
      <c r="B607" s="7" t="n"/>
    </row>
    <row r="608" ht="15" customHeight="1" s="5">
      <c r="B608" s="7" t="n"/>
    </row>
    <row r="609" ht="15" customHeight="1" s="5">
      <c r="B609" s="7" t="n"/>
    </row>
    <row r="610" ht="15" customHeight="1" s="5">
      <c r="B610" s="7" t="n"/>
    </row>
    <row r="611" ht="15" customHeight="1" s="5">
      <c r="B611" s="7" t="n"/>
    </row>
    <row r="612" ht="15" customHeight="1" s="5">
      <c r="B612" s="7" t="n"/>
    </row>
    <row r="613" ht="15" customHeight="1" s="5">
      <c r="B613" s="7" t="n"/>
    </row>
    <row r="614" ht="15" customHeight="1" s="5">
      <c r="B614" s="7" t="n"/>
    </row>
    <row r="615" ht="15" customHeight="1" s="5">
      <c r="B615" s="7" t="n"/>
    </row>
    <row r="616" ht="15" customHeight="1" s="5">
      <c r="B616" s="7" t="n"/>
    </row>
    <row r="617" ht="15" customHeight="1" s="5">
      <c r="B617" s="7" t="n"/>
    </row>
    <row r="618" ht="15" customHeight="1" s="5">
      <c r="B618" s="7" t="n"/>
    </row>
    <row r="619" ht="15" customHeight="1" s="5">
      <c r="B619" s="7" t="n"/>
    </row>
    <row r="620" ht="15" customHeight="1" s="5">
      <c r="B620" s="7" t="n"/>
    </row>
    <row r="621" ht="15" customHeight="1" s="5">
      <c r="B621" s="7" t="n"/>
    </row>
    <row r="622" ht="15" customHeight="1" s="5">
      <c r="B622" s="7" t="n"/>
    </row>
    <row r="623" ht="15" customHeight="1" s="5">
      <c r="B623" s="7" t="n"/>
    </row>
    <row r="624" ht="15" customHeight="1" s="5">
      <c r="B624" s="7" t="n"/>
    </row>
    <row r="625" ht="15" customHeight="1" s="5">
      <c r="B625" s="7" t="n"/>
    </row>
    <row r="626" ht="15" customHeight="1" s="5">
      <c r="B626" s="7" t="n"/>
    </row>
    <row r="627" ht="15" customHeight="1" s="5">
      <c r="B627" s="7" t="n"/>
    </row>
    <row r="628" ht="15" customHeight="1" s="5">
      <c r="B628" s="7" t="n"/>
    </row>
    <row r="629" ht="15" customHeight="1" s="5">
      <c r="B629" s="7" t="n"/>
    </row>
    <row r="630" ht="15" customHeight="1" s="5">
      <c r="B630" s="7" t="n"/>
    </row>
    <row r="631" ht="15" customHeight="1" s="5">
      <c r="B631" s="7" t="n"/>
    </row>
    <row r="632" ht="15" customHeight="1" s="5">
      <c r="B632" s="7" t="n"/>
    </row>
    <row r="633" ht="15" customHeight="1" s="5">
      <c r="B633" s="7" t="n"/>
    </row>
    <row r="634" ht="15" customHeight="1" s="5">
      <c r="B634" s="7" t="n"/>
    </row>
    <row r="635" ht="15" customHeight="1" s="5">
      <c r="B635" s="7" t="n"/>
    </row>
    <row r="636" ht="15" customHeight="1" s="5">
      <c r="B636" s="7" t="n"/>
    </row>
    <row r="637" ht="15" customHeight="1" s="5">
      <c r="B637" s="7" t="n"/>
    </row>
    <row r="638" ht="15" customHeight="1" s="5">
      <c r="B638" s="7" t="n"/>
    </row>
    <row r="639" ht="15" customHeight="1" s="5">
      <c r="B639" s="7" t="n"/>
    </row>
    <row r="640" ht="15" customHeight="1" s="5">
      <c r="B640" s="7" t="n"/>
    </row>
    <row r="641" ht="15" customHeight="1" s="5">
      <c r="B641" s="7" t="n"/>
    </row>
    <row r="642" ht="15" customHeight="1" s="5">
      <c r="B642" s="7" t="n"/>
    </row>
    <row r="643" ht="15" customHeight="1" s="5">
      <c r="B643" s="7" t="n"/>
    </row>
    <row r="644" ht="15" customHeight="1" s="5">
      <c r="B644" s="7" t="n"/>
    </row>
    <row r="645" ht="15" customHeight="1" s="5">
      <c r="B645" s="7" t="n"/>
    </row>
    <row r="646" ht="15" customHeight="1" s="5">
      <c r="B646" s="7" t="n"/>
    </row>
    <row r="647" ht="15" customHeight="1" s="5">
      <c r="B647" s="7" t="n"/>
    </row>
    <row r="648" ht="15" customHeight="1" s="5">
      <c r="B648" s="7" t="n"/>
    </row>
    <row r="649" ht="15" customHeight="1" s="5">
      <c r="B649" s="7" t="n"/>
    </row>
    <row r="650" ht="15" customHeight="1" s="5">
      <c r="B650" s="7" t="n"/>
    </row>
    <row r="651" ht="15" customHeight="1" s="5">
      <c r="B651" s="7" t="n"/>
    </row>
    <row r="652" ht="15" customHeight="1" s="5">
      <c r="B652" s="7" t="n"/>
    </row>
    <row r="653" ht="15" customHeight="1" s="5">
      <c r="B653" s="7" t="n"/>
    </row>
    <row r="654" ht="15" customHeight="1" s="5">
      <c r="B654" s="7" t="n"/>
    </row>
    <row r="655" ht="15" customHeight="1" s="5">
      <c r="B655" s="7" t="n"/>
    </row>
    <row r="656" ht="15" customHeight="1" s="5">
      <c r="B656" s="7" t="n"/>
    </row>
    <row r="657" ht="15" customHeight="1" s="5">
      <c r="B657" s="7" t="n"/>
    </row>
    <row r="658" ht="15" customHeight="1" s="5">
      <c r="B658" s="7" t="n"/>
    </row>
    <row r="659" ht="15" customHeight="1" s="5">
      <c r="B659" s="7" t="n"/>
    </row>
    <row r="660" ht="15" customHeight="1" s="5">
      <c r="B660" s="7" t="n"/>
    </row>
    <row r="661" ht="15" customHeight="1" s="5">
      <c r="B661" s="7" t="n"/>
    </row>
    <row r="662" ht="15" customHeight="1" s="5">
      <c r="B662" s="7" t="n"/>
    </row>
    <row r="663" ht="15" customHeight="1" s="5">
      <c r="B663" s="7" t="n"/>
    </row>
    <row r="664" ht="15" customHeight="1" s="5">
      <c r="B664" s="7" t="n"/>
    </row>
    <row r="665" ht="15" customHeight="1" s="5">
      <c r="B665" s="7" t="n"/>
    </row>
    <row r="666" ht="15" customHeight="1" s="5">
      <c r="B666" s="7" t="n"/>
    </row>
    <row r="667" ht="15" customHeight="1" s="5">
      <c r="B667" s="7" t="n"/>
    </row>
    <row r="668" ht="15" customHeight="1" s="5">
      <c r="B668" s="7" t="n"/>
    </row>
    <row r="669" ht="15" customHeight="1" s="5">
      <c r="B669" s="7" t="n"/>
    </row>
    <row r="670" ht="15" customHeight="1" s="5">
      <c r="B670" s="7" t="n"/>
    </row>
    <row r="671" ht="15" customHeight="1" s="5">
      <c r="B671" s="7" t="n"/>
    </row>
    <row r="672" ht="15" customHeight="1" s="5">
      <c r="B672" s="7" t="n"/>
    </row>
    <row r="673" ht="15" customHeight="1" s="5">
      <c r="B673" s="7" t="n"/>
    </row>
    <row r="674" ht="15" customHeight="1" s="5">
      <c r="B674" s="7" t="n"/>
    </row>
    <row r="675" ht="15" customHeight="1" s="5">
      <c r="B675" s="7" t="n"/>
    </row>
    <row r="676" ht="15" customHeight="1" s="5">
      <c r="B676" s="7" t="n"/>
    </row>
    <row r="677" ht="15" customHeight="1" s="5">
      <c r="B677" s="7" t="n"/>
    </row>
    <row r="678" ht="15" customHeight="1" s="5">
      <c r="B678" s="7" t="n"/>
    </row>
    <row r="679" ht="15" customHeight="1" s="5">
      <c r="B679" s="7" t="n"/>
    </row>
    <row r="680" ht="15" customHeight="1" s="5">
      <c r="B680" s="7" t="n"/>
    </row>
    <row r="681" ht="15" customHeight="1" s="5">
      <c r="B681" s="7" t="n"/>
    </row>
    <row r="682" ht="15" customHeight="1" s="5">
      <c r="B682" s="7" t="n"/>
    </row>
    <row r="683" ht="15" customHeight="1" s="5">
      <c r="B683" s="7" t="n"/>
    </row>
    <row r="684" ht="15" customHeight="1" s="5">
      <c r="B684" s="7" t="n"/>
    </row>
    <row r="685" ht="15" customHeight="1" s="5">
      <c r="B685" s="7" t="n"/>
    </row>
    <row r="686" ht="15" customHeight="1" s="5">
      <c r="B686" s="7" t="n"/>
    </row>
    <row r="687" ht="15" customHeight="1" s="5">
      <c r="B687" s="7" t="n"/>
    </row>
    <row r="688" ht="15" customHeight="1" s="5">
      <c r="B688" s="7" t="n"/>
    </row>
    <row r="689" ht="15" customHeight="1" s="5">
      <c r="B689" s="7" t="n"/>
    </row>
    <row r="690" ht="15" customHeight="1" s="5">
      <c r="B690" s="7" t="n"/>
    </row>
    <row r="691" ht="15" customHeight="1" s="5">
      <c r="B691" s="7" t="n"/>
    </row>
    <row r="692" ht="15" customHeight="1" s="5">
      <c r="B692" s="7" t="n"/>
    </row>
    <row r="693" ht="15" customHeight="1" s="5">
      <c r="B693" s="7" t="n"/>
    </row>
    <row r="694" ht="15" customHeight="1" s="5">
      <c r="B694" s="7" t="n"/>
    </row>
    <row r="695" ht="15" customHeight="1" s="5">
      <c r="B695" s="7" t="n"/>
    </row>
    <row r="696" ht="15" customHeight="1" s="5">
      <c r="B696" s="7" t="n"/>
    </row>
    <row r="697" ht="15" customHeight="1" s="5">
      <c r="B697" s="7" t="n"/>
    </row>
    <row r="698" ht="15" customHeight="1" s="5">
      <c r="B698" s="7" t="n"/>
    </row>
    <row r="699" ht="15" customHeight="1" s="5">
      <c r="B699" s="7" t="n"/>
    </row>
    <row r="700" ht="15" customHeight="1" s="5">
      <c r="B700" s="7" t="n"/>
    </row>
    <row r="701" ht="15" customHeight="1" s="5">
      <c r="B701" s="7" t="n"/>
    </row>
    <row r="702" ht="15" customHeight="1" s="5">
      <c r="B702" s="7" t="n"/>
    </row>
    <row r="703" ht="15" customHeight="1" s="5">
      <c r="B703" s="7" t="n"/>
    </row>
    <row r="704" ht="15" customHeight="1" s="5">
      <c r="B704" s="7" t="n"/>
    </row>
    <row r="705" ht="15" customHeight="1" s="5">
      <c r="B705" s="7" t="n"/>
    </row>
    <row r="706" ht="15" customHeight="1" s="5">
      <c r="B706" s="7" t="n"/>
    </row>
    <row r="707" ht="15" customHeight="1" s="5">
      <c r="B707" s="7" t="n"/>
    </row>
    <row r="708" ht="15" customHeight="1" s="5">
      <c r="B708" s="7" t="n"/>
    </row>
    <row r="709" ht="15" customHeight="1" s="5">
      <c r="B709" s="7" t="n"/>
    </row>
    <row r="710" ht="15" customHeight="1" s="5">
      <c r="B710" s="7" t="n"/>
    </row>
    <row r="711" ht="15" customHeight="1" s="5">
      <c r="B711" s="7" t="n"/>
    </row>
    <row r="712" ht="15" customHeight="1" s="5">
      <c r="B712" s="7" t="n"/>
    </row>
    <row r="713" ht="15" customHeight="1" s="5">
      <c r="B713" s="7" t="n"/>
    </row>
    <row r="714" ht="15" customHeight="1" s="5">
      <c r="B714" s="7" t="n"/>
    </row>
    <row r="715" ht="15" customHeight="1" s="5">
      <c r="B715" s="7" t="n"/>
    </row>
    <row r="716" ht="15" customHeight="1" s="5">
      <c r="B716" s="7" t="n"/>
    </row>
    <row r="717" ht="15" customHeight="1" s="5">
      <c r="B717" s="7" t="n"/>
    </row>
    <row r="718" ht="15" customHeight="1" s="5">
      <c r="B718" s="7" t="n"/>
    </row>
    <row r="719" ht="15" customHeight="1" s="5">
      <c r="B719" s="7" t="n"/>
    </row>
    <row r="720" ht="15" customHeight="1" s="5">
      <c r="B720" s="7" t="n"/>
    </row>
    <row r="721" ht="15" customHeight="1" s="5">
      <c r="B721" s="7" t="n"/>
    </row>
    <row r="722" ht="15" customHeight="1" s="5">
      <c r="B722" s="7" t="n"/>
    </row>
    <row r="723" ht="15" customHeight="1" s="5">
      <c r="B723" s="7" t="n"/>
    </row>
    <row r="724" ht="15" customHeight="1" s="5">
      <c r="B724" s="7" t="n"/>
    </row>
    <row r="725" ht="15" customHeight="1" s="5">
      <c r="B725" s="7" t="n"/>
    </row>
    <row r="726" ht="15" customHeight="1" s="5">
      <c r="B726" s="7" t="n"/>
    </row>
    <row r="727" ht="15" customHeight="1" s="5">
      <c r="B727" s="7" t="n"/>
    </row>
    <row r="728" ht="15" customHeight="1" s="5">
      <c r="B728" s="7" t="n"/>
    </row>
    <row r="729" ht="15" customHeight="1" s="5">
      <c r="B729" s="7" t="n"/>
    </row>
    <row r="730" ht="15" customHeight="1" s="5">
      <c r="B730" s="7" t="n"/>
    </row>
    <row r="731" ht="15" customHeight="1" s="5">
      <c r="B731" s="7" t="n"/>
    </row>
    <row r="732" ht="15" customHeight="1" s="5">
      <c r="B732" s="7" t="n"/>
    </row>
    <row r="733" ht="15" customHeight="1" s="5">
      <c r="B733" s="7" t="n"/>
    </row>
    <row r="734" ht="15" customHeight="1" s="5">
      <c r="B734" s="7" t="n"/>
    </row>
    <row r="735" ht="15" customHeight="1" s="5">
      <c r="B735" s="7" t="n"/>
    </row>
    <row r="736" ht="15" customHeight="1" s="5">
      <c r="B736" s="7" t="n"/>
    </row>
    <row r="737" ht="15" customHeight="1" s="5">
      <c r="B737" s="7" t="n"/>
    </row>
    <row r="738" ht="15" customHeight="1" s="5">
      <c r="B738" s="7" t="n"/>
    </row>
    <row r="739" ht="15" customHeight="1" s="5">
      <c r="B739" s="7" t="n"/>
    </row>
    <row r="740" ht="15" customHeight="1" s="5">
      <c r="B740" s="7" t="n"/>
    </row>
    <row r="741" ht="15" customHeight="1" s="5">
      <c r="B741" s="7" t="n"/>
    </row>
    <row r="742" ht="15" customHeight="1" s="5">
      <c r="B742" s="7" t="n"/>
    </row>
    <row r="743" ht="15" customHeight="1" s="5">
      <c r="B743" s="7" t="n"/>
    </row>
    <row r="744" ht="15" customHeight="1" s="5">
      <c r="B744" s="7" t="n"/>
    </row>
    <row r="745" ht="15" customHeight="1" s="5">
      <c r="B745" s="7" t="n"/>
    </row>
    <row r="746" ht="15" customHeight="1" s="5">
      <c r="B746" s="7" t="n"/>
    </row>
    <row r="747" ht="15" customHeight="1" s="5">
      <c r="B747" s="7" t="n"/>
    </row>
    <row r="748" ht="15" customHeight="1" s="5">
      <c r="B748" s="7" t="n"/>
    </row>
    <row r="749" ht="15" customHeight="1" s="5">
      <c r="B749" s="7" t="n"/>
    </row>
    <row r="750" ht="15" customHeight="1" s="5">
      <c r="B750" s="7" t="n"/>
    </row>
    <row r="751" ht="15" customHeight="1" s="5">
      <c r="B751" s="7" t="n"/>
    </row>
    <row r="752" ht="15" customHeight="1" s="5">
      <c r="B752" s="7" t="n"/>
    </row>
    <row r="753" ht="15" customHeight="1" s="5">
      <c r="B753" s="7" t="n"/>
    </row>
    <row r="754" ht="15" customHeight="1" s="5">
      <c r="B754" s="7" t="n"/>
    </row>
    <row r="755" ht="15" customHeight="1" s="5">
      <c r="B755" s="7" t="n"/>
    </row>
    <row r="756" ht="15" customHeight="1" s="5">
      <c r="B756" s="7" t="n"/>
    </row>
    <row r="757" ht="15" customHeight="1" s="5">
      <c r="B757" s="7" t="n"/>
    </row>
    <row r="758" ht="15" customHeight="1" s="5">
      <c r="B758" s="7" t="n"/>
    </row>
    <row r="759" ht="15" customHeight="1" s="5">
      <c r="B759" s="7" t="n"/>
    </row>
    <row r="760" ht="15" customHeight="1" s="5">
      <c r="B760" s="7" t="n"/>
    </row>
    <row r="761" ht="15" customHeight="1" s="5">
      <c r="B761" s="7" t="n"/>
    </row>
    <row r="762" ht="15" customHeight="1" s="5">
      <c r="B762" s="7" t="n"/>
    </row>
    <row r="763" ht="15" customHeight="1" s="5">
      <c r="B763" s="7" t="n"/>
    </row>
    <row r="764" ht="15" customHeight="1" s="5">
      <c r="B764" s="7" t="n"/>
    </row>
    <row r="765" ht="15" customHeight="1" s="5">
      <c r="B765" s="7" t="n"/>
    </row>
    <row r="766" ht="15" customHeight="1" s="5">
      <c r="B766" s="7" t="n"/>
    </row>
    <row r="767" ht="15" customHeight="1" s="5">
      <c r="B767" s="7" t="n"/>
    </row>
    <row r="768" ht="15" customHeight="1" s="5">
      <c r="B768" s="7" t="n"/>
    </row>
    <row r="769" ht="15" customHeight="1" s="5">
      <c r="B769" s="7" t="n"/>
    </row>
    <row r="770" ht="15" customHeight="1" s="5">
      <c r="B770" s="7" t="n"/>
    </row>
    <row r="771" ht="15" customHeight="1" s="5">
      <c r="B771" s="7" t="n"/>
    </row>
    <row r="772" ht="15" customHeight="1" s="5">
      <c r="B772" s="7" t="n"/>
    </row>
    <row r="773" ht="15" customHeight="1" s="5">
      <c r="B773" s="7" t="n"/>
    </row>
    <row r="774" ht="15" customHeight="1" s="5">
      <c r="B774" s="7" t="n"/>
    </row>
    <row r="775" ht="15" customHeight="1" s="5">
      <c r="B775" s="7" t="n"/>
    </row>
    <row r="776" ht="15" customHeight="1" s="5">
      <c r="B776" s="7" t="n"/>
    </row>
    <row r="777" ht="15" customHeight="1" s="5">
      <c r="B777" s="7" t="n"/>
    </row>
    <row r="778" ht="15" customHeight="1" s="5">
      <c r="B778" s="7" t="n"/>
    </row>
    <row r="779" ht="15" customHeight="1" s="5">
      <c r="B779" s="7" t="n"/>
    </row>
    <row r="780" ht="15" customHeight="1" s="5">
      <c r="B780" s="7" t="n"/>
    </row>
    <row r="781" ht="15" customHeight="1" s="5">
      <c r="B781" s="7" t="n"/>
    </row>
    <row r="782" ht="15" customHeight="1" s="5">
      <c r="B782" s="7" t="n"/>
    </row>
    <row r="783" ht="15" customHeight="1" s="5">
      <c r="B783" s="7" t="n"/>
    </row>
    <row r="784" ht="15" customHeight="1" s="5">
      <c r="B784" s="7" t="n"/>
    </row>
    <row r="785" ht="15" customHeight="1" s="5">
      <c r="B785" s="7" t="n"/>
    </row>
    <row r="786" ht="15" customHeight="1" s="5">
      <c r="B786" s="7" t="n"/>
    </row>
    <row r="787" ht="15" customHeight="1" s="5">
      <c r="B787" s="7" t="n"/>
    </row>
    <row r="788" ht="15" customHeight="1" s="5">
      <c r="B788" s="7" t="n"/>
    </row>
    <row r="789" ht="15" customHeight="1" s="5">
      <c r="B789" s="7" t="n"/>
    </row>
    <row r="790" ht="15" customHeight="1" s="5">
      <c r="B790" s="7" t="n"/>
    </row>
    <row r="791" ht="15" customHeight="1" s="5">
      <c r="B791" s="7" t="n"/>
    </row>
    <row r="792" ht="15" customHeight="1" s="5">
      <c r="B792" s="7" t="n"/>
    </row>
    <row r="793" ht="15" customHeight="1" s="5">
      <c r="B793" s="7" t="n"/>
    </row>
    <row r="794" ht="15" customHeight="1" s="5">
      <c r="B794" s="7" t="n"/>
    </row>
    <row r="795" ht="15" customHeight="1" s="5">
      <c r="B795" s="7" t="n"/>
    </row>
    <row r="796" ht="15" customHeight="1" s="5">
      <c r="B796" s="7" t="n"/>
    </row>
    <row r="797" ht="15" customHeight="1" s="5">
      <c r="B797" s="7" t="n"/>
    </row>
    <row r="798" ht="15" customHeight="1" s="5">
      <c r="B798" s="7" t="n"/>
    </row>
    <row r="799" ht="15" customHeight="1" s="5">
      <c r="B799" s="7" t="n"/>
    </row>
    <row r="800" ht="15" customHeight="1" s="5">
      <c r="B800" s="7" t="n"/>
    </row>
    <row r="801" ht="15" customHeight="1" s="5">
      <c r="B801" s="7" t="n"/>
    </row>
    <row r="802" ht="15" customHeight="1" s="5">
      <c r="B802" s="7" t="n"/>
    </row>
    <row r="803" ht="15" customHeight="1" s="5">
      <c r="B803" s="7" t="n"/>
    </row>
    <row r="804" ht="15" customHeight="1" s="5">
      <c r="B804" s="7" t="n"/>
    </row>
    <row r="805" ht="15" customHeight="1" s="5">
      <c r="B805" s="7" t="n"/>
    </row>
    <row r="806" ht="15" customHeight="1" s="5">
      <c r="B806" s="7" t="n"/>
    </row>
    <row r="807" ht="15" customHeight="1" s="5">
      <c r="B807" s="7" t="n"/>
    </row>
    <row r="808" ht="15" customHeight="1" s="5">
      <c r="B808" s="7" t="n"/>
    </row>
    <row r="809" ht="15" customHeight="1" s="5">
      <c r="B809" s="7" t="n"/>
    </row>
    <row r="810" ht="15" customHeight="1" s="5">
      <c r="B810" s="7" t="n"/>
    </row>
    <row r="811" ht="15" customHeight="1" s="5">
      <c r="B811" s="7" t="n"/>
    </row>
    <row r="812" ht="15" customHeight="1" s="5">
      <c r="B812" s="7" t="n"/>
    </row>
    <row r="813" ht="15" customHeight="1" s="5">
      <c r="B813" s="7" t="n"/>
    </row>
    <row r="814" ht="15" customHeight="1" s="5">
      <c r="B814" s="7" t="n"/>
    </row>
    <row r="815" ht="15" customHeight="1" s="5">
      <c r="B815" s="7" t="n"/>
    </row>
    <row r="816" ht="15" customHeight="1" s="5">
      <c r="B816" s="7" t="n"/>
    </row>
    <row r="817" ht="15" customHeight="1" s="5">
      <c r="B817" s="7" t="n"/>
    </row>
    <row r="818" ht="15" customHeight="1" s="5">
      <c r="B818" s="7" t="n"/>
    </row>
    <row r="819" ht="15" customHeight="1" s="5">
      <c r="B819" s="7" t="n"/>
    </row>
    <row r="820" ht="15" customHeight="1" s="5">
      <c r="B820" s="7" t="n"/>
    </row>
    <row r="821" ht="15" customHeight="1" s="5">
      <c r="B821" s="7" t="n"/>
    </row>
  </sheetData>
  <dataValidations count="4">
    <dataValidation sqref="B2:B821" showDropDown="0" showInputMessage="0" showErrorMessage="0" allowBlank="1" errorTitle="Not in Config list" error="Value not in Config; will still be saved." promptTitle="Milestone" prompt="Pick from Config → Milestone" type="list" errorStyle="warning" operator="between">
      <formula1>"Discovery,Business Case / Seed Funding,Design,Business Case / Full Funding,Build,Testing,Deployment,Handover"</formula1>
      <formula2>0</formula2>
    </dataValidation>
    <dataValidation sqref="F2:F821" showDropDown="0" showInputMessage="0" showErrorMessage="0" allowBlank="1" errorTitle="Not in Config list" error="Value not in Config; will still be saved." promptTitle="Action Status" prompt="Pick from Config → Action Status" type="list" errorStyle="warning" operator="between">
      <formula1>"Open,In Progress,Complete,Overdue"</formula1>
      <formula2>0</formula2>
    </dataValidation>
    <dataValidation sqref="B2:B1321" showDropDown="0" showInputMessage="0" showErrorMessage="0" allowBlank="1" errorTitle="Not in Config list" error="Value not in Config; will still be saved." promptTitle="Milestone" prompt="Pick from Config → Milestone" type="list" errorStyle="warning">
      <formula1>"Discovery,Business Case / Seed Funding,Design,Business Case / Full Funding,Build,Testing,Deployment,Handover"</formula1>
    </dataValidation>
    <dataValidation sqref="F2:F1321" showDropDown="0" showInputMessage="0" showErrorMessage="0" allowBlank="1" errorTitle="Not in Config list" error="Value not in Config; will still be saved." promptTitle="Action Status" prompt="Pick from Config → Action Status" type="list" errorStyle="warning">
      <formula1>"Open,In Progress,Complete,Overdue"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H5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Movement ID</t>
        </is>
      </c>
      <c r="B1" s="6" t="inlineStr">
        <is>
          <t>Project ID</t>
        </is>
      </c>
      <c r="C1" s="6" t="inlineStr">
        <is>
          <t>Project Name</t>
        </is>
      </c>
      <c r="D1" s="6" t="inlineStr">
        <is>
          <t>From Category</t>
        </is>
      </c>
      <c r="E1" s="6" t="inlineStr">
        <is>
          <t>To Category</t>
        </is>
      </c>
      <c r="F1" s="6" t="inlineStr">
        <is>
          <t>Moved By</t>
        </is>
      </c>
      <c r="G1" s="6" t="inlineStr">
        <is>
          <t>Moved On</t>
        </is>
      </c>
      <c r="H1" s="6" t="inlineStr">
        <is>
          <t>Reason</t>
        </is>
      </c>
    </row>
    <row r="2" ht="15" customHeight="1" s="5">
      <c r="A2" s="7" t="inlineStr">
        <is>
          <t>MV001</t>
        </is>
      </c>
      <c r="B2" s="7" t="inlineStr">
        <is>
          <t>PRJ009</t>
        </is>
      </c>
      <c r="C2" s="7" t="inlineStr">
        <is>
          <t>ERP Modernisation</t>
        </is>
      </c>
      <c r="D2" s="7" t="inlineStr">
        <is>
          <t>CAPEX</t>
        </is>
      </c>
      <c r="E2" s="7" t="inlineStr">
        <is>
          <t>IT Strategic</t>
        </is>
      </c>
      <c r="F2" s="7" t="inlineStr">
        <is>
          <t>sponsor</t>
        </is>
      </c>
      <c r="G2" s="8" t="n">
        <v>46028</v>
      </c>
      <c r="H2" s="7" t="inlineStr">
        <is>
          <t>Promoted from unfunded to IT strategic</t>
        </is>
      </c>
    </row>
    <row r="3" ht="15" customHeight="1" s="5">
      <c r="A3" s="7" t="inlineStr">
        <is>
          <t>MV002</t>
        </is>
      </c>
      <c r="B3" s="7" t="inlineStr">
        <is>
          <t>PRJ009</t>
        </is>
      </c>
      <c r="C3" s="7" t="inlineStr">
        <is>
          <t>ERP Modernisation</t>
        </is>
      </c>
      <c r="D3" s="7" t="inlineStr">
        <is>
          <t>Business Strategic</t>
        </is>
      </c>
      <c r="E3" s="7" t="inlineStr">
        <is>
          <t>IT Strategic</t>
        </is>
      </c>
      <c r="F3" s="7" t="inlineStr">
        <is>
          <t>admin</t>
        </is>
      </c>
      <c r="G3" s="8" t="n">
        <v>45875</v>
      </c>
      <c r="H3" s="7" t="inlineStr">
        <is>
          <t>Reclassified following strategy review</t>
        </is>
      </c>
    </row>
    <row r="4" ht="15" customHeight="1" s="5">
      <c r="A4" s="7" t="inlineStr">
        <is>
          <t>MV003</t>
        </is>
      </c>
      <c r="B4" s="7" t="inlineStr">
        <is>
          <t>PRJ023</t>
        </is>
      </c>
      <c r="C4" s="7" t="inlineStr">
        <is>
          <t>Workforce Portal</t>
        </is>
      </c>
      <c r="D4" s="7" t="inlineStr">
        <is>
          <t>Business Strategic</t>
        </is>
      </c>
      <c r="E4" s="7" t="inlineStr">
        <is>
          <t>Unfunded</t>
        </is>
      </c>
      <c r="F4" s="7" t="inlineStr">
        <is>
          <t>admin</t>
        </is>
      </c>
      <c r="G4" s="8" t="n">
        <v>45856</v>
      </c>
      <c r="H4" s="7" t="inlineStr">
        <is>
          <t>De-funded; moved to unfunded backlog</t>
        </is>
      </c>
    </row>
    <row r="5" ht="15" customHeight="1" s="5">
      <c r="A5" s="7" t="inlineStr">
        <is>
          <t>MV004</t>
        </is>
      </c>
      <c r="B5" s="7" t="inlineStr">
        <is>
          <t>PRJ028</t>
        </is>
      </c>
      <c r="C5" s="7" t="inlineStr">
        <is>
          <t>Mobile App 2</t>
        </is>
      </c>
      <c r="D5" s="7" t="inlineStr">
        <is>
          <t>Business Strategic</t>
        </is>
      </c>
      <c r="E5" s="7" t="inlineStr">
        <is>
          <t>CAPEX</t>
        </is>
      </c>
      <c r="F5" s="7" t="inlineStr">
        <is>
          <t>governance</t>
        </is>
      </c>
      <c r="G5" s="8" t="n">
        <v>45917</v>
      </c>
      <c r="H5" s="7" t="inlineStr">
        <is>
          <t>De-funded; moved to unfunded backlog</t>
        </is>
      </c>
    </row>
    <row r="6" ht="15" customHeight="1" s="5">
      <c r="A6" s="7" t="inlineStr">
        <is>
          <t>MV005</t>
        </is>
      </c>
      <c r="B6" s="7" t="inlineStr">
        <is>
          <t>PRJ032</t>
        </is>
      </c>
      <c r="C6" s="7" t="inlineStr">
        <is>
          <t>Compliance Hub</t>
        </is>
      </c>
      <c r="D6" s="7" t="inlineStr">
        <is>
          <t>Business Strategic</t>
        </is>
      </c>
      <c r="E6" s="7" t="inlineStr">
        <is>
          <t>CAPEX</t>
        </is>
      </c>
      <c r="F6" s="7" t="inlineStr">
        <is>
          <t>admin</t>
        </is>
      </c>
      <c r="G6" s="8" t="n">
        <v>46001</v>
      </c>
      <c r="H6" s="7" t="inlineStr">
        <is>
          <t>Reclassified following strategy review</t>
        </is>
      </c>
    </row>
    <row r="7" ht="15" customHeight="1" s="5">
      <c r="A7" s="7" t="inlineStr">
        <is>
          <t>MV006</t>
        </is>
      </c>
      <c r="B7" s="7" t="inlineStr">
        <is>
          <t>PRJ033</t>
        </is>
      </c>
      <c r="C7" s="7" t="inlineStr">
        <is>
          <t>Risk Platform</t>
        </is>
      </c>
      <c r="D7" s="7" t="inlineStr">
        <is>
          <t>IT Strategic</t>
        </is>
      </c>
      <c r="E7" s="7" t="inlineStr">
        <is>
          <t>Business Strategic</t>
        </is>
      </c>
      <c r="F7" s="7" t="inlineStr">
        <is>
          <t>governance</t>
        </is>
      </c>
      <c r="G7" s="8" t="n">
        <v>46039</v>
      </c>
      <c r="H7" s="7" t="inlineStr">
        <is>
          <t>Funding approved — move to CAPEX</t>
        </is>
      </c>
    </row>
    <row r="8" ht="15" customHeight="1" s="5">
      <c r="A8" s="7" t="inlineStr">
        <is>
          <t>MV007</t>
        </is>
      </c>
      <c r="B8" s="7" t="inlineStr">
        <is>
          <t>PRJ017</t>
        </is>
      </c>
      <c r="C8" s="7" t="inlineStr">
        <is>
          <t>App Modernisation</t>
        </is>
      </c>
      <c r="D8" s="7" t="inlineStr">
        <is>
          <t>IT Strategic</t>
        </is>
      </c>
      <c r="E8" s="7" t="inlineStr">
        <is>
          <t>Unfunded</t>
        </is>
      </c>
      <c r="F8" s="7" t="inlineStr">
        <is>
          <t>governance</t>
        </is>
      </c>
      <c r="G8" s="8" t="n">
        <v>45893</v>
      </c>
      <c r="H8" s="7" t="inlineStr">
        <is>
          <t>Promoted from unfunded to IT strategic</t>
        </is>
      </c>
    </row>
    <row r="9" ht="15" customHeight="1" s="5">
      <c r="A9" s="7" t="inlineStr">
        <is>
          <t>MV008</t>
        </is>
      </c>
      <c r="B9" s="7" t="inlineStr">
        <is>
          <t>PRJ007</t>
        </is>
      </c>
      <c r="C9" s="7" t="inlineStr">
        <is>
          <t>CRM Upgrade</t>
        </is>
      </c>
      <c r="D9" s="7" t="inlineStr">
        <is>
          <t>IT Strategic</t>
        </is>
      </c>
      <c r="E9" s="7" t="inlineStr">
        <is>
          <t>Business Strategic</t>
        </is>
      </c>
      <c r="F9" s="7" t="inlineStr">
        <is>
          <t>sponsor</t>
        </is>
      </c>
      <c r="G9" s="8" t="n">
        <v>46004</v>
      </c>
      <c r="H9" s="7" t="inlineStr">
        <is>
          <t>Reclassified following strategy review</t>
        </is>
      </c>
    </row>
    <row r="10" ht="15" customHeight="1" s="5">
      <c r="A10" s="7" t="inlineStr">
        <is>
          <t>MV009</t>
        </is>
      </c>
      <c r="B10" s="7" t="inlineStr">
        <is>
          <t>PRJ015</t>
        </is>
      </c>
      <c r="C10" s="7" t="inlineStr">
        <is>
          <t>Service Desk</t>
        </is>
      </c>
      <c r="D10" s="7" t="inlineStr">
        <is>
          <t>Business Strategic</t>
        </is>
      </c>
      <c r="E10" s="7" t="inlineStr">
        <is>
          <t>IT Strategic</t>
        </is>
      </c>
      <c r="F10" s="7" t="inlineStr">
        <is>
          <t>governance</t>
        </is>
      </c>
      <c r="G10" s="8" t="n">
        <v>45852</v>
      </c>
      <c r="H10" s="7" t="inlineStr">
        <is>
          <t>De-funded; moved to unfunded backlog</t>
        </is>
      </c>
    </row>
    <row r="11" ht="15" customHeight="1" s="5">
      <c r="A11" s="7" t="inlineStr">
        <is>
          <t>MV010</t>
        </is>
      </c>
      <c r="B11" s="7" t="inlineStr">
        <is>
          <t>PRJ013</t>
        </is>
      </c>
      <c r="C11" s="7" t="inlineStr">
        <is>
          <t>API Gateway</t>
        </is>
      </c>
      <c r="D11" s="7" t="inlineStr">
        <is>
          <t>IT Strategic</t>
        </is>
      </c>
      <c r="E11" s="7" t="inlineStr">
        <is>
          <t>CAPEX</t>
        </is>
      </c>
      <c r="F11" s="7" t="inlineStr">
        <is>
          <t>admin</t>
        </is>
      </c>
      <c r="G11" s="8" t="n">
        <v>46000</v>
      </c>
      <c r="H11" s="7" t="inlineStr">
        <is>
          <t>Reclassified following strategy review</t>
        </is>
      </c>
    </row>
    <row r="12" ht="15" customHeight="1" s="5">
      <c r="D12" s="7" t="n"/>
      <c r="E12" s="7" t="n"/>
    </row>
    <row r="13" ht="15" customHeight="1" s="5">
      <c r="D13" s="7" t="n"/>
      <c r="E13" s="7" t="n"/>
    </row>
    <row r="14" ht="15" customHeight="1" s="5">
      <c r="D14" s="7" t="n"/>
      <c r="E14" s="7" t="n"/>
    </row>
    <row r="15" ht="15" customHeight="1" s="5">
      <c r="D15" s="7" t="n"/>
      <c r="E15" s="7" t="n"/>
    </row>
    <row r="16" ht="15" customHeight="1" s="5">
      <c r="D16" s="7" t="n"/>
      <c r="E16" s="7" t="n"/>
    </row>
    <row r="17" ht="15" customHeight="1" s="5">
      <c r="D17" s="7" t="n"/>
      <c r="E17" s="7" t="n"/>
    </row>
    <row r="18" ht="15" customHeight="1" s="5">
      <c r="D18" s="7" t="n"/>
      <c r="E18" s="7" t="n"/>
    </row>
    <row r="19" ht="15" customHeight="1" s="5">
      <c r="D19" s="7" t="n"/>
      <c r="E19" s="7" t="n"/>
    </row>
    <row r="20" ht="15" customHeight="1" s="5">
      <c r="D20" s="7" t="n"/>
      <c r="E20" s="7" t="n"/>
    </row>
    <row r="21" ht="15" customHeight="1" s="5">
      <c r="D21" s="7" t="n"/>
      <c r="E21" s="7" t="n"/>
    </row>
    <row r="22" ht="15" customHeight="1" s="5">
      <c r="D22" s="7" t="n"/>
      <c r="E22" s="7" t="n"/>
    </row>
    <row r="23" ht="15" customHeight="1" s="5">
      <c r="D23" s="7" t="n"/>
      <c r="E23" s="7" t="n"/>
    </row>
    <row r="24" ht="15" customHeight="1" s="5">
      <c r="D24" s="7" t="n"/>
      <c r="E24" s="7" t="n"/>
    </row>
    <row r="25" ht="15" customHeight="1" s="5">
      <c r="D25" s="7" t="n"/>
      <c r="E25" s="7" t="n"/>
    </row>
    <row r="26" ht="15" customHeight="1" s="5">
      <c r="D26" s="7" t="n"/>
      <c r="E26" s="7" t="n"/>
    </row>
    <row r="27" ht="15" customHeight="1" s="5">
      <c r="D27" s="7" t="n"/>
      <c r="E27" s="7" t="n"/>
    </row>
    <row r="28" ht="15" customHeight="1" s="5">
      <c r="D28" s="7" t="n"/>
      <c r="E28" s="7" t="n"/>
    </row>
    <row r="29" ht="15" customHeight="1" s="5">
      <c r="D29" s="7" t="n"/>
      <c r="E29" s="7" t="n"/>
    </row>
    <row r="30" ht="15" customHeight="1" s="5">
      <c r="D30" s="7" t="n"/>
      <c r="E30" s="7" t="n"/>
    </row>
    <row r="31" ht="15" customHeight="1" s="5">
      <c r="D31" s="7" t="n"/>
      <c r="E31" s="7" t="n"/>
    </row>
    <row r="32" ht="15" customHeight="1" s="5">
      <c r="D32" s="7" t="n"/>
      <c r="E32" s="7" t="n"/>
    </row>
    <row r="33" ht="15" customHeight="1" s="5">
      <c r="D33" s="7" t="n"/>
      <c r="E33" s="7" t="n"/>
    </row>
    <row r="34" ht="15" customHeight="1" s="5">
      <c r="D34" s="7" t="n"/>
      <c r="E34" s="7" t="n"/>
    </row>
    <row r="35" ht="15" customHeight="1" s="5">
      <c r="D35" s="7" t="n"/>
      <c r="E35" s="7" t="n"/>
    </row>
    <row r="36" ht="15" customHeight="1" s="5">
      <c r="D36" s="7" t="n"/>
      <c r="E36" s="7" t="n"/>
    </row>
    <row r="37" ht="15" customHeight="1" s="5">
      <c r="D37" s="7" t="n"/>
      <c r="E37" s="7" t="n"/>
    </row>
    <row r="38" ht="15" customHeight="1" s="5">
      <c r="D38" s="7" t="n"/>
      <c r="E38" s="7" t="n"/>
    </row>
    <row r="39" ht="15" customHeight="1" s="5">
      <c r="D39" s="7" t="n"/>
      <c r="E39" s="7" t="n"/>
    </row>
    <row r="40" ht="15" customHeight="1" s="5">
      <c r="D40" s="7" t="n"/>
      <c r="E40" s="7" t="n"/>
    </row>
    <row r="41" ht="15" customHeight="1" s="5">
      <c r="D41" s="7" t="n"/>
      <c r="E41" s="7" t="n"/>
    </row>
    <row r="42" ht="15" customHeight="1" s="5">
      <c r="D42" s="7" t="n"/>
      <c r="E42" s="7" t="n"/>
    </row>
    <row r="43" ht="15" customHeight="1" s="5">
      <c r="D43" s="7" t="n"/>
      <c r="E43" s="7" t="n"/>
    </row>
    <row r="44" ht="15" customHeight="1" s="5">
      <c r="D44" s="7" t="n"/>
      <c r="E44" s="7" t="n"/>
    </row>
    <row r="45" ht="15" customHeight="1" s="5">
      <c r="D45" s="7" t="n"/>
      <c r="E45" s="7" t="n"/>
    </row>
    <row r="46" ht="15" customHeight="1" s="5">
      <c r="D46" s="7" t="n"/>
      <c r="E46" s="7" t="n"/>
    </row>
    <row r="47" ht="15" customHeight="1" s="5">
      <c r="D47" s="7" t="n"/>
      <c r="E47" s="7" t="n"/>
    </row>
    <row r="48" ht="15" customHeight="1" s="5">
      <c r="D48" s="7" t="n"/>
      <c r="E48" s="7" t="n"/>
    </row>
    <row r="49" ht="15" customHeight="1" s="5">
      <c r="D49" s="7" t="n"/>
      <c r="E49" s="7" t="n"/>
    </row>
    <row r="50" ht="15" customHeight="1" s="5">
      <c r="D50" s="7" t="n"/>
      <c r="E50" s="7" t="n"/>
    </row>
    <row r="51" ht="15" customHeight="1" s="5">
      <c r="D51" s="7" t="n"/>
      <c r="E51" s="7" t="n"/>
    </row>
    <row r="52" ht="15" customHeight="1" s="5">
      <c r="D52" s="7" t="n"/>
      <c r="E52" s="7" t="n"/>
    </row>
    <row r="53" ht="15" customHeight="1" s="5">
      <c r="D53" s="7" t="n"/>
      <c r="E53" s="7" t="n"/>
    </row>
    <row r="54" ht="15" customHeight="1" s="5">
      <c r="D54" s="7" t="n"/>
      <c r="E54" s="7" t="n"/>
    </row>
    <row r="55" ht="15" customHeight="1" s="5">
      <c r="D55" s="7" t="n"/>
      <c r="E55" s="7" t="n"/>
    </row>
    <row r="56" ht="15" customHeight="1" s="5">
      <c r="D56" s="7" t="n"/>
      <c r="E56" s="7" t="n"/>
    </row>
    <row r="57" ht="15" customHeight="1" s="5">
      <c r="D57" s="7" t="n"/>
      <c r="E57" s="7" t="n"/>
    </row>
    <row r="58" ht="15" customHeight="1" s="5">
      <c r="D58" s="7" t="n"/>
      <c r="E58" s="7" t="n"/>
    </row>
    <row r="59" ht="15" customHeight="1" s="5">
      <c r="D59" s="7" t="n"/>
      <c r="E59" s="7" t="n"/>
    </row>
    <row r="60" ht="15" customHeight="1" s="5">
      <c r="D60" s="7" t="n"/>
      <c r="E60" s="7" t="n"/>
    </row>
    <row r="61" ht="15" customHeight="1" s="5">
      <c r="D61" s="7" t="n"/>
      <c r="E61" s="7" t="n"/>
    </row>
    <row r="62" ht="15" customHeight="1" s="5">
      <c r="D62" s="7" t="n"/>
      <c r="E62" s="7" t="n"/>
    </row>
    <row r="63" ht="15" customHeight="1" s="5">
      <c r="D63" s="7" t="n"/>
      <c r="E63" s="7" t="n"/>
    </row>
    <row r="64" ht="15" customHeight="1" s="5">
      <c r="D64" s="7" t="n"/>
      <c r="E64" s="7" t="n"/>
    </row>
    <row r="65" ht="15" customHeight="1" s="5">
      <c r="D65" s="7" t="n"/>
      <c r="E65" s="7" t="n"/>
    </row>
    <row r="66" ht="15" customHeight="1" s="5">
      <c r="D66" s="7" t="n"/>
      <c r="E66" s="7" t="n"/>
    </row>
    <row r="67" ht="15" customHeight="1" s="5">
      <c r="D67" s="7" t="n"/>
      <c r="E67" s="7" t="n"/>
    </row>
    <row r="68" ht="15" customHeight="1" s="5">
      <c r="D68" s="7" t="n"/>
      <c r="E68" s="7" t="n"/>
    </row>
    <row r="69" ht="15" customHeight="1" s="5">
      <c r="D69" s="7" t="n"/>
      <c r="E69" s="7" t="n"/>
    </row>
    <row r="70" ht="15" customHeight="1" s="5">
      <c r="D70" s="7" t="n"/>
      <c r="E70" s="7" t="n"/>
    </row>
    <row r="71" ht="15" customHeight="1" s="5">
      <c r="D71" s="7" t="n"/>
      <c r="E71" s="7" t="n"/>
    </row>
    <row r="72" ht="15" customHeight="1" s="5">
      <c r="D72" s="7" t="n"/>
      <c r="E72" s="7" t="n"/>
    </row>
    <row r="73" ht="15" customHeight="1" s="5">
      <c r="D73" s="7" t="n"/>
      <c r="E73" s="7" t="n"/>
    </row>
    <row r="74" ht="15" customHeight="1" s="5">
      <c r="D74" s="7" t="n"/>
      <c r="E74" s="7" t="n"/>
    </row>
    <row r="75" ht="15" customHeight="1" s="5">
      <c r="D75" s="7" t="n"/>
      <c r="E75" s="7" t="n"/>
    </row>
    <row r="76" ht="15" customHeight="1" s="5">
      <c r="D76" s="7" t="n"/>
      <c r="E76" s="7" t="n"/>
    </row>
    <row r="77" ht="15" customHeight="1" s="5">
      <c r="D77" s="7" t="n"/>
      <c r="E77" s="7" t="n"/>
    </row>
    <row r="78" ht="15" customHeight="1" s="5">
      <c r="D78" s="7" t="n"/>
      <c r="E78" s="7" t="n"/>
    </row>
    <row r="79" ht="15" customHeight="1" s="5">
      <c r="D79" s="7" t="n"/>
      <c r="E79" s="7" t="n"/>
    </row>
    <row r="80" ht="15" customHeight="1" s="5">
      <c r="D80" s="7" t="n"/>
      <c r="E80" s="7" t="n"/>
    </row>
    <row r="81" ht="15" customHeight="1" s="5">
      <c r="D81" s="7" t="n"/>
      <c r="E81" s="7" t="n"/>
    </row>
    <row r="82" ht="15" customHeight="1" s="5">
      <c r="D82" s="7" t="n"/>
      <c r="E82" s="7" t="n"/>
    </row>
    <row r="83" ht="15" customHeight="1" s="5">
      <c r="D83" s="7" t="n"/>
      <c r="E83" s="7" t="n"/>
    </row>
    <row r="84" ht="15" customHeight="1" s="5">
      <c r="D84" s="7" t="n"/>
      <c r="E84" s="7" t="n"/>
    </row>
    <row r="85" ht="15" customHeight="1" s="5">
      <c r="D85" s="7" t="n"/>
      <c r="E85" s="7" t="n"/>
    </row>
    <row r="86" ht="15" customHeight="1" s="5">
      <c r="D86" s="7" t="n"/>
      <c r="E86" s="7" t="n"/>
    </row>
    <row r="87" ht="15" customHeight="1" s="5">
      <c r="D87" s="7" t="n"/>
      <c r="E87" s="7" t="n"/>
    </row>
    <row r="88" ht="15" customHeight="1" s="5">
      <c r="D88" s="7" t="n"/>
      <c r="E88" s="7" t="n"/>
    </row>
    <row r="89" ht="15" customHeight="1" s="5">
      <c r="D89" s="7" t="n"/>
      <c r="E89" s="7" t="n"/>
    </row>
    <row r="90" ht="15" customHeight="1" s="5">
      <c r="D90" s="7" t="n"/>
      <c r="E90" s="7" t="n"/>
    </row>
    <row r="91" ht="15" customHeight="1" s="5">
      <c r="D91" s="7" t="n"/>
      <c r="E91" s="7" t="n"/>
    </row>
    <row r="92" ht="15" customHeight="1" s="5">
      <c r="D92" s="7" t="n"/>
      <c r="E92" s="7" t="n"/>
    </row>
    <row r="93" ht="15" customHeight="1" s="5">
      <c r="D93" s="7" t="n"/>
      <c r="E93" s="7" t="n"/>
    </row>
    <row r="94" ht="15" customHeight="1" s="5">
      <c r="D94" s="7" t="n"/>
      <c r="E94" s="7" t="n"/>
    </row>
    <row r="95" ht="15" customHeight="1" s="5">
      <c r="D95" s="7" t="n"/>
      <c r="E95" s="7" t="n"/>
    </row>
    <row r="96" ht="15" customHeight="1" s="5">
      <c r="D96" s="7" t="n"/>
      <c r="E96" s="7" t="n"/>
    </row>
    <row r="97" ht="15" customHeight="1" s="5">
      <c r="D97" s="7" t="n"/>
      <c r="E97" s="7" t="n"/>
    </row>
    <row r="98" ht="15" customHeight="1" s="5">
      <c r="D98" s="7" t="n"/>
      <c r="E98" s="7" t="n"/>
    </row>
    <row r="99" ht="15" customHeight="1" s="5">
      <c r="D99" s="7" t="n"/>
      <c r="E99" s="7" t="n"/>
    </row>
    <row r="100" ht="15" customHeight="1" s="5">
      <c r="D100" s="7" t="n"/>
      <c r="E100" s="7" t="n"/>
    </row>
    <row r="101" ht="15" customHeight="1" s="5">
      <c r="D101" s="7" t="n"/>
      <c r="E101" s="7" t="n"/>
    </row>
    <row r="102" ht="15" customHeight="1" s="5">
      <c r="D102" s="7" t="n"/>
      <c r="E102" s="7" t="n"/>
    </row>
    <row r="103" ht="15" customHeight="1" s="5">
      <c r="D103" s="7" t="n"/>
      <c r="E103" s="7" t="n"/>
    </row>
    <row r="104" ht="15" customHeight="1" s="5">
      <c r="D104" s="7" t="n"/>
      <c r="E104" s="7" t="n"/>
    </row>
    <row r="105" ht="15" customHeight="1" s="5">
      <c r="D105" s="7" t="n"/>
      <c r="E105" s="7" t="n"/>
    </row>
    <row r="106" ht="15" customHeight="1" s="5">
      <c r="D106" s="7" t="n"/>
      <c r="E106" s="7" t="n"/>
    </row>
    <row r="107" ht="15" customHeight="1" s="5">
      <c r="D107" s="7" t="n"/>
      <c r="E107" s="7" t="n"/>
    </row>
    <row r="108" ht="15" customHeight="1" s="5">
      <c r="D108" s="7" t="n"/>
      <c r="E108" s="7" t="n"/>
    </row>
    <row r="109" ht="15" customHeight="1" s="5">
      <c r="D109" s="7" t="n"/>
      <c r="E109" s="7" t="n"/>
    </row>
    <row r="110" ht="15" customHeight="1" s="5">
      <c r="D110" s="7" t="n"/>
      <c r="E110" s="7" t="n"/>
    </row>
    <row r="111" ht="15" customHeight="1" s="5">
      <c r="D111" s="7" t="n"/>
      <c r="E111" s="7" t="n"/>
    </row>
    <row r="112" ht="15" customHeight="1" s="5">
      <c r="D112" s="7" t="n"/>
      <c r="E112" s="7" t="n"/>
    </row>
    <row r="113" ht="15" customHeight="1" s="5">
      <c r="D113" s="7" t="n"/>
      <c r="E113" s="7" t="n"/>
    </row>
    <row r="114" ht="15" customHeight="1" s="5">
      <c r="D114" s="7" t="n"/>
      <c r="E114" s="7" t="n"/>
    </row>
    <row r="115" ht="15" customHeight="1" s="5">
      <c r="D115" s="7" t="n"/>
      <c r="E115" s="7" t="n"/>
    </row>
    <row r="116" ht="15" customHeight="1" s="5">
      <c r="D116" s="7" t="n"/>
      <c r="E116" s="7" t="n"/>
    </row>
    <row r="117" ht="15" customHeight="1" s="5">
      <c r="D117" s="7" t="n"/>
      <c r="E117" s="7" t="n"/>
    </row>
    <row r="118" ht="15" customHeight="1" s="5">
      <c r="D118" s="7" t="n"/>
      <c r="E118" s="7" t="n"/>
    </row>
    <row r="119" ht="15" customHeight="1" s="5">
      <c r="D119" s="7" t="n"/>
      <c r="E119" s="7" t="n"/>
    </row>
    <row r="120" ht="15" customHeight="1" s="5">
      <c r="D120" s="7" t="n"/>
      <c r="E120" s="7" t="n"/>
    </row>
    <row r="121" ht="15" customHeight="1" s="5">
      <c r="D121" s="7" t="n"/>
      <c r="E121" s="7" t="n"/>
    </row>
    <row r="122" ht="15" customHeight="1" s="5">
      <c r="D122" s="7" t="n"/>
      <c r="E122" s="7" t="n"/>
    </row>
    <row r="123" ht="15" customHeight="1" s="5">
      <c r="D123" s="7" t="n"/>
      <c r="E123" s="7" t="n"/>
    </row>
    <row r="124" ht="15" customHeight="1" s="5">
      <c r="D124" s="7" t="n"/>
      <c r="E124" s="7" t="n"/>
    </row>
    <row r="125" ht="15" customHeight="1" s="5">
      <c r="D125" s="7" t="n"/>
      <c r="E125" s="7" t="n"/>
    </row>
    <row r="126" ht="15" customHeight="1" s="5">
      <c r="D126" s="7" t="n"/>
      <c r="E126" s="7" t="n"/>
    </row>
    <row r="127" ht="15" customHeight="1" s="5">
      <c r="D127" s="7" t="n"/>
      <c r="E127" s="7" t="n"/>
    </row>
    <row r="128" ht="15" customHeight="1" s="5">
      <c r="D128" s="7" t="n"/>
      <c r="E128" s="7" t="n"/>
    </row>
    <row r="129" ht="15" customHeight="1" s="5">
      <c r="D129" s="7" t="n"/>
      <c r="E129" s="7" t="n"/>
    </row>
    <row r="130" ht="15" customHeight="1" s="5">
      <c r="D130" s="7" t="n"/>
      <c r="E130" s="7" t="n"/>
    </row>
    <row r="131" ht="15" customHeight="1" s="5">
      <c r="D131" s="7" t="n"/>
      <c r="E131" s="7" t="n"/>
    </row>
    <row r="132" ht="15" customHeight="1" s="5">
      <c r="D132" s="7" t="n"/>
      <c r="E132" s="7" t="n"/>
    </row>
    <row r="133" ht="15" customHeight="1" s="5">
      <c r="D133" s="7" t="n"/>
      <c r="E133" s="7" t="n"/>
    </row>
    <row r="134" ht="15" customHeight="1" s="5">
      <c r="D134" s="7" t="n"/>
      <c r="E134" s="7" t="n"/>
    </row>
    <row r="135" ht="15" customHeight="1" s="5">
      <c r="D135" s="7" t="n"/>
      <c r="E135" s="7" t="n"/>
    </row>
    <row r="136" ht="15" customHeight="1" s="5">
      <c r="D136" s="7" t="n"/>
      <c r="E136" s="7" t="n"/>
    </row>
    <row r="137" ht="15" customHeight="1" s="5">
      <c r="D137" s="7" t="n"/>
      <c r="E137" s="7" t="n"/>
    </row>
    <row r="138" ht="15" customHeight="1" s="5">
      <c r="D138" s="7" t="n"/>
      <c r="E138" s="7" t="n"/>
    </row>
    <row r="139" ht="15" customHeight="1" s="5">
      <c r="D139" s="7" t="n"/>
      <c r="E139" s="7" t="n"/>
    </row>
    <row r="140" ht="15" customHeight="1" s="5">
      <c r="D140" s="7" t="n"/>
      <c r="E140" s="7" t="n"/>
    </row>
    <row r="141" ht="15" customHeight="1" s="5">
      <c r="D141" s="7" t="n"/>
      <c r="E141" s="7" t="n"/>
    </row>
    <row r="142" ht="15" customHeight="1" s="5">
      <c r="D142" s="7" t="n"/>
      <c r="E142" s="7" t="n"/>
    </row>
    <row r="143" ht="15" customHeight="1" s="5">
      <c r="D143" s="7" t="n"/>
      <c r="E143" s="7" t="n"/>
    </row>
    <row r="144" ht="15" customHeight="1" s="5">
      <c r="D144" s="7" t="n"/>
      <c r="E144" s="7" t="n"/>
    </row>
    <row r="145" ht="15" customHeight="1" s="5">
      <c r="D145" s="7" t="n"/>
      <c r="E145" s="7" t="n"/>
    </row>
    <row r="146" ht="15" customHeight="1" s="5">
      <c r="D146" s="7" t="n"/>
      <c r="E146" s="7" t="n"/>
    </row>
    <row r="147" ht="15" customHeight="1" s="5">
      <c r="D147" s="7" t="n"/>
      <c r="E147" s="7" t="n"/>
    </row>
    <row r="148" ht="15" customHeight="1" s="5">
      <c r="D148" s="7" t="n"/>
      <c r="E148" s="7" t="n"/>
    </row>
    <row r="149" ht="15" customHeight="1" s="5">
      <c r="D149" s="7" t="n"/>
      <c r="E149" s="7" t="n"/>
    </row>
    <row r="150" ht="15" customHeight="1" s="5">
      <c r="D150" s="7" t="n"/>
      <c r="E150" s="7" t="n"/>
    </row>
    <row r="151" ht="15" customHeight="1" s="5">
      <c r="D151" s="7" t="n"/>
      <c r="E151" s="7" t="n"/>
    </row>
    <row r="152" ht="15" customHeight="1" s="5">
      <c r="D152" s="7" t="n"/>
      <c r="E152" s="7" t="n"/>
    </row>
    <row r="153" ht="15" customHeight="1" s="5">
      <c r="D153" s="7" t="n"/>
      <c r="E153" s="7" t="n"/>
    </row>
    <row r="154" ht="15" customHeight="1" s="5">
      <c r="D154" s="7" t="n"/>
      <c r="E154" s="7" t="n"/>
    </row>
    <row r="155" ht="15" customHeight="1" s="5">
      <c r="D155" s="7" t="n"/>
      <c r="E155" s="7" t="n"/>
    </row>
    <row r="156" ht="15" customHeight="1" s="5">
      <c r="D156" s="7" t="n"/>
      <c r="E156" s="7" t="n"/>
    </row>
    <row r="157" ht="15" customHeight="1" s="5">
      <c r="D157" s="7" t="n"/>
      <c r="E157" s="7" t="n"/>
    </row>
    <row r="158" ht="15" customHeight="1" s="5">
      <c r="D158" s="7" t="n"/>
      <c r="E158" s="7" t="n"/>
    </row>
    <row r="159" ht="15" customHeight="1" s="5">
      <c r="D159" s="7" t="n"/>
      <c r="E159" s="7" t="n"/>
    </row>
    <row r="160" ht="15" customHeight="1" s="5">
      <c r="D160" s="7" t="n"/>
      <c r="E160" s="7" t="n"/>
    </row>
    <row r="161" ht="15" customHeight="1" s="5">
      <c r="D161" s="7" t="n"/>
      <c r="E161" s="7" t="n"/>
    </row>
    <row r="162" ht="15" customHeight="1" s="5">
      <c r="D162" s="7" t="n"/>
      <c r="E162" s="7" t="n"/>
    </row>
    <row r="163" ht="15" customHeight="1" s="5">
      <c r="D163" s="7" t="n"/>
      <c r="E163" s="7" t="n"/>
    </row>
    <row r="164" ht="15" customHeight="1" s="5">
      <c r="D164" s="7" t="n"/>
      <c r="E164" s="7" t="n"/>
    </row>
    <row r="165" ht="15" customHeight="1" s="5">
      <c r="D165" s="7" t="n"/>
      <c r="E165" s="7" t="n"/>
    </row>
    <row r="166" ht="15" customHeight="1" s="5">
      <c r="D166" s="7" t="n"/>
      <c r="E166" s="7" t="n"/>
    </row>
    <row r="167" ht="15" customHeight="1" s="5">
      <c r="D167" s="7" t="n"/>
      <c r="E167" s="7" t="n"/>
    </row>
    <row r="168" ht="15" customHeight="1" s="5">
      <c r="D168" s="7" t="n"/>
      <c r="E168" s="7" t="n"/>
    </row>
    <row r="169" ht="15" customHeight="1" s="5">
      <c r="D169" s="7" t="n"/>
      <c r="E169" s="7" t="n"/>
    </row>
    <row r="170" ht="15" customHeight="1" s="5">
      <c r="D170" s="7" t="n"/>
      <c r="E170" s="7" t="n"/>
    </row>
    <row r="171" ht="15" customHeight="1" s="5">
      <c r="D171" s="7" t="n"/>
      <c r="E171" s="7" t="n"/>
    </row>
    <row r="172" ht="15" customHeight="1" s="5">
      <c r="D172" s="7" t="n"/>
      <c r="E172" s="7" t="n"/>
    </row>
    <row r="173" ht="15" customHeight="1" s="5">
      <c r="D173" s="7" t="n"/>
      <c r="E173" s="7" t="n"/>
    </row>
    <row r="174" ht="15" customHeight="1" s="5">
      <c r="D174" s="7" t="n"/>
      <c r="E174" s="7" t="n"/>
    </row>
    <row r="175" ht="15" customHeight="1" s="5">
      <c r="D175" s="7" t="n"/>
      <c r="E175" s="7" t="n"/>
    </row>
    <row r="176" ht="15" customHeight="1" s="5">
      <c r="D176" s="7" t="n"/>
      <c r="E176" s="7" t="n"/>
    </row>
    <row r="177" ht="15" customHeight="1" s="5">
      <c r="D177" s="7" t="n"/>
      <c r="E177" s="7" t="n"/>
    </row>
    <row r="178" ht="15" customHeight="1" s="5">
      <c r="D178" s="7" t="n"/>
      <c r="E178" s="7" t="n"/>
    </row>
    <row r="179" ht="15" customHeight="1" s="5">
      <c r="D179" s="7" t="n"/>
      <c r="E179" s="7" t="n"/>
    </row>
    <row r="180" ht="15" customHeight="1" s="5">
      <c r="D180" s="7" t="n"/>
      <c r="E180" s="7" t="n"/>
    </row>
    <row r="181" ht="15" customHeight="1" s="5">
      <c r="D181" s="7" t="n"/>
      <c r="E181" s="7" t="n"/>
    </row>
    <row r="182" ht="15" customHeight="1" s="5">
      <c r="D182" s="7" t="n"/>
      <c r="E182" s="7" t="n"/>
    </row>
    <row r="183" ht="15" customHeight="1" s="5">
      <c r="D183" s="7" t="n"/>
      <c r="E183" s="7" t="n"/>
    </row>
    <row r="184" ht="15" customHeight="1" s="5">
      <c r="D184" s="7" t="n"/>
      <c r="E184" s="7" t="n"/>
    </row>
    <row r="185" ht="15" customHeight="1" s="5">
      <c r="D185" s="7" t="n"/>
      <c r="E185" s="7" t="n"/>
    </row>
    <row r="186" ht="15" customHeight="1" s="5">
      <c r="D186" s="7" t="n"/>
      <c r="E186" s="7" t="n"/>
    </row>
    <row r="187" ht="15" customHeight="1" s="5">
      <c r="D187" s="7" t="n"/>
      <c r="E187" s="7" t="n"/>
    </row>
    <row r="188" ht="15" customHeight="1" s="5">
      <c r="D188" s="7" t="n"/>
      <c r="E188" s="7" t="n"/>
    </row>
    <row r="189" ht="15" customHeight="1" s="5">
      <c r="D189" s="7" t="n"/>
      <c r="E189" s="7" t="n"/>
    </row>
    <row r="190" ht="15" customHeight="1" s="5">
      <c r="D190" s="7" t="n"/>
      <c r="E190" s="7" t="n"/>
    </row>
    <row r="191" ht="15" customHeight="1" s="5">
      <c r="D191" s="7" t="n"/>
      <c r="E191" s="7" t="n"/>
    </row>
    <row r="192" ht="15" customHeight="1" s="5">
      <c r="D192" s="7" t="n"/>
      <c r="E192" s="7" t="n"/>
    </row>
    <row r="193" ht="15" customHeight="1" s="5">
      <c r="D193" s="7" t="n"/>
      <c r="E193" s="7" t="n"/>
    </row>
    <row r="194" ht="15" customHeight="1" s="5">
      <c r="D194" s="7" t="n"/>
      <c r="E194" s="7" t="n"/>
    </row>
    <row r="195" ht="15" customHeight="1" s="5">
      <c r="D195" s="7" t="n"/>
      <c r="E195" s="7" t="n"/>
    </row>
    <row r="196" ht="15" customHeight="1" s="5">
      <c r="D196" s="7" t="n"/>
      <c r="E196" s="7" t="n"/>
    </row>
    <row r="197" ht="15" customHeight="1" s="5">
      <c r="D197" s="7" t="n"/>
      <c r="E197" s="7" t="n"/>
    </row>
    <row r="198" ht="15" customHeight="1" s="5">
      <c r="D198" s="7" t="n"/>
      <c r="E198" s="7" t="n"/>
    </row>
    <row r="199" ht="15" customHeight="1" s="5">
      <c r="D199" s="7" t="n"/>
      <c r="E199" s="7" t="n"/>
    </row>
    <row r="200" ht="15" customHeight="1" s="5">
      <c r="D200" s="7" t="n"/>
      <c r="E200" s="7" t="n"/>
    </row>
    <row r="201" ht="15" customHeight="1" s="5">
      <c r="D201" s="7" t="n"/>
      <c r="E201" s="7" t="n"/>
    </row>
    <row r="202" ht="15" customHeight="1" s="5">
      <c r="D202" s="7" t="n"/>
      <c r="E202" s="7" t="n"/>
    </row>
    <row r="203" ht="15" customHeight="1" s="5">
      <c r="D203" s="7" t="n"/>
      <c r="E203" s="7" t="n"/>
    </row>
    <row r="204" ht="15" customHeight="1" s="5">
      <c r="D204" s="7" t="n"/>
      <c r="E204" s="7" t="n"/>
    </row>
    <row r="205" ht="15" customHeight="1" s="5">
      <c r="D205" s="7" t="n"/>
      <c r="E205" s="7" t="n"/>
    </row>
    <row r="206" ht="15" customHeight="1" s="5">
      <c r="D206" s="7" t="n"/>
      <c r="E206" s="7" t="n"/>
    </row>
    <row r="207" ht="15" customHeight="1" s="5">
      <c r="D207" s="7" t="n"/>
      <c r="E207" s="7" t="n"/>
    </row>
    <row r="208" ht="15" customHeight="1" s="5">
      <c r="D208" s="7" t="n"/>
      <c r="E208" s="7" t="n"/>
    </row>
    <row r="209" ht="15" customHeight="1" s="5">
      <c r="D209" s="7" t="n"/>
      <c r="E209" s="7" t="n"/>
    </row>
    <row r="210" ht="15" customHeight="1" s="5">
      <c r="D210" s="7" t="n"/>
      <c r="E210" s="7" t="n"/>
    </row>
    <row r="211" ht="15" customHeight="1" s="5">
      <c r="D211" s="7" t="n"/>
      <c r="E211" s="7" t="n"/>
    </row>
    <row r="212" ht="15" customHeight="1" s="5">
      <c r="D212" s="7" t="n"/>
      <c r="E212" s="7" t="n"/>
    </row>
    <row r="213" ht="15" customHeight="1" s="5">
      <c r="D213" s="7" t="n"/>
      <c r="E213" s="7" t="n"/>
    </row>
    <row r="214" ht="15" customHeight="1" s="5">
      <c r="D214" s="7" t="n"/>
      <c r="E214" s="7" t="n"/>
    </row>
    <row r="215" ht="15" customHeight="1" s="5">
      <c r="D215" s="7" t="n"/>
      <c r="E215" s="7" t="n"/>
    </row>
    <row r="216" ht="15" customHeight="1" s="5">
      <c r="D216" s="7" t="n"/>
      <c r="E216" s="7" t="n"/>
    </row>
    <row r="217" ht="15" customHeight="1" s="5">
      <c r="D217" s="7" t="n"/>
      <c r="E217" s="7" t="n"/>
    </row>
    <row r="218" ht="15" customHeight="1" s="5">
      <c r="D218" s="7" t="n"/>
      <c r="E218" s="7" t="n"/>
    </row>
    <row r="219" ht="15" customHeight="1" s="5">
      <c r="D219" s="7" t="n"/>
      <c r="E219" s="7" t="n"/>
    </row>
    <row r="220" ht="15" customHeight="1" s="5">
      <c r="D220" s="7" t="n"/>
      <c r="E220" s="7" t="n"/>
    </row>
    <row r="221" ht="15" customHeight="1" s="5">
      <c r="D221" s="7" t="n"/>
      <c r="E221" s="7" t="n"/>
    </row>
    <row r="222" ht="15" customHeight="1" s="5">
      <c r="D222" s="7" t="n"/>
      <c r="E222" s="7" t="n"/>
    </row>
    <row r="223" ht="15" customHeight="1" s="5">
      <c r="D223" s="7" t="n"/>
      <c r="E223" s="7" t="n"/>
    </row>
    <row r="224" ht="15" customHeight="1" s="5">
      <c r="D224" s="7" t="n"/>
      <c r="E224" s="7" t="n"/>
    </row>
    <row r="225" ht="15" customHeight="1" s="5">
      <c r="D225" s="7" t="n"/>
      <c r="E225" s="7" t="n"/>
    </row>
    <row r="226" ht="15" customHeight="1" s="5">
      <c r="D226" s="7" t="n"/>
      <c r="E226" s="7" t="n"/>
    </row>
    <row r="227" ht="15" customHeight="1" s="5">
      <c r="D227" s="7" t="n"/>
      <c r="E227" s="7" t="n"/>
    </row>
    <row r="228" ht="15" customHeight="1" s="5">
      <c r="D228" s="7" t="n"/>
      <c r="E228" s="7" t="n"/>
    </row>
    <row r="229" ht="15" customHeight="1" s="5">
      <c r="D229" s="7" t="n"/>
      <c r="E229" s="7" t="n"/>
    </row>
    <row r="230" ht="15" customHeight="1" s="5">
      <c r="D230" s="7" t="n"/>
      <c r="E230" s="7" t="n"/>
    </row>
    <row r="231" ht="15" customHeight="1" s="5">
      <c r="D231" s="7" t="n"/>
      <c r="E231" s="7" t="n"/>
    </row>
    <row r="232" ht="15" customHeight="1" s="5">
      <c r="D232" s="7" t="n"/>
      <c r="E232" s="7" t="n"/>
    </row>
    <row r="233" ht="15" customHeight="1" s="5">
      <c r="D233" s="7" t="n"/>
      <c r="E233" s="7" t="n"/>
    </row>
    <row r="234" ht="15" customHeight="1" s="5">
      <c r="D234" s="7" t="n"/>
      <c r="E234" s="7" t="n"/>
    </row>
    <row r="235" ht="15" customHeight="1" s="5">
      <c r="D235" s="7" t="n"/>
      <c r="E235" s="7" t="n"/>
    </row>
    <row r="236" ht="15" customHeight="1" s="5">
      <c r="D236" s="7" t="n"/>
      <c r="E236" s="7" t="n"/>
    </row>
    <row r="237" ht="15" customHeight="1" s="5">
      <c r="D237" s="7" t="n"/>
      <c r="E237" s="7" t="n"/>
    </row>
    <row r="238" ht="15" customHeight="1" s="5">
      <c r="D238" s="7" t="n"/>
      <c r="E238" s="7" t="n"/>
    </row>
    <row r="239" ht="15" customHeight="1" s="5">
      <c r="D239" s="7" t="n"/>
      <c r="E239" s="7" t="n"/>
    </row>
    <row r="240" ht="15" customHeight="1" s="5">
      <c r="D240" s="7" t="n"/>
      <c r="E240" s="7" t="n"/>
    </row>
    <row r="241" ht="15" customHeight="1" s="5">
      <c r="D241" s="7" t="n"/>
      <c r="E241" s="7" t="n"/>
    </row>
    <row r="242" ht="15" customHeight="1" s="5">
      <c r="D242" s="7" t="n"/>
      <c r="E242" s="7" t="n"/>
    </row>
    <row r="243" ht="15" customHeight="1" s="5">
      <c r="D243" s="7" t="n"/>
      <c r="E243" s="7" t="n"/>
    </row>
    <row r="244" ht="15" customHeight="1" s="5">
      <c r="D244" s="7" t="n"/>
      <c r="E244" s="7" t="n"/>
    </row>
    <row r="245" ht="15" customHeight="1" s="5">
      <c r="D245" s="7" t="n"/>
      <c r="E245" s="7" t="n"/>
    </row>
    <row r="246" ht="15" customHeight="1" s="5">
      <c r="D246" s="7" t="n"/>
      <c r="E246" s="7" t="n"/>
    </row>
    <row r="247" ht="15" customHeight="1" s="5">
      <c r="D247" s="7" t="n"/>
      <c r="E247" s="7" t="n"/>
    </row>
    <row r="248" ht="15" customHeight="1" s="5">
      <c r="D248" s="7" t="n"/>
      <c r="E248" s="7" t="n"/>
    </row>
    <row r="249" ht="15" customHeight="1" s="5">
      <c r="D249" s="7" t="n"/>
      <c r="E249" s="7" t="n"/>
    </row>
    <row r="250" ht="15" customHeight="1" s="5">
      <c r="D250" s="7" t="n"/>
      <c r="E250" s="7" t="n"/>
    </row>
    <row r="251" ht="15" customHeight="1" s="5">
      <c r="D251" s="7" t="n"/>
      <c r="E251" s="7" t="n"/>
    </row>
    <row r="252" ht="15" customHeight="1" s="5">
      <c r="D252" s="7" t="n"/>
      <c r="E252" s="7" t="n"/>
    </row>
    <row r="253" ht="15" customHeight="1" s="5">
      <c r="D253" s="7" t="n"/>
      <c r="E253" s="7" t="n"/>
    </row>
    <row r="254" ht="15" customHeight="1" s="5">
      <c r="D254" s="7" t="n"/>
      <c r="E254" s="7" t="n"/>
    </row>
    <row r="255" ht="15" customHeight="1" s="5">
      <c r="D255" s="7" t="n"/>
      <c r="E255" s="7" t="n"/>
    </row>
    <row r="256" ht="15" customHeight="1" s="5">
      <c r="D256" s="7" t="n"/>
      <c r="E256" s="7" t="n"/>
    </row>
    <row r="257" ht="15" customHeight="1" s="5">
      <c r="D257" s="7" t="n"/>
      <c r="E257" s="7" t="n"/>
    </row>
    <row r="258" ht="15" customHeight="1" s="5">
      <c r="D258" s="7" t="n"/>
      <c r="E258" s="7" t="n"/>
    </row>
    <row r="259" ht="15" customHeight="1" s="5">
      <c r="D259" s="7" t="n"/>
      <c r="E259" s="7" t="n"/>
    </row>
    <row r="260" ht="15" customHeight="1" s="5">
      <c r="D260" s="7" t="n"/>
      <c r="E260" s="7" t="n"/>
    </row>
    <row r="261" ht="15" customHeight="1" s="5">
      <c r="D261" s="7" t="n"/>
      <c r="E261" s="7" t="n"/>
    </row>
    <row r="262" ht="15" customHeight="1" s="5">
      <c r="D262" s="7" t="n"/>
      <c r="E262" s="7" t="n"/>
    </row>
    <row r="263" ht="15" customHeight="1" s="5">
      <c r="D263" s="7" t="n"/>
      <c r="E263" s="7" t="n"/>
    </row>
    <row r="264" ht="15" customHeight="1" s="5">
      <c r="D264" s="7" t="n"/>
      <c r="E264" s="7" t="n"/>
    </row>
    <row r="265" ht="15" customHeight="1" s="5">
      <c r="D265" s="7" t="n"/>
      <c r="E265" s="7" t="n"/>
    </row>
    <row r="266" ht="15" customHeight="1" s="5">
      <c r="D266" s="7" t="n"/>
      <c r="E266" s="7" t="n"/>
    </row>
    <row r="267" ht="15" customHeight="1" s="5">
      <c r="D267" s="7" t="n"/>
      <c r="E267" s="7" t="n"/>
    </row>
    <row r="268" ht="15" customHeight="1" s="5">
      <c r="D268" s="7" t="n"/>
      <c r="E268" s="7" t="n"/>
    </row>
    <row r="269" ht="15" customHeight="1" s="5">
      <c r="D269" s="7" t="n"/>
      <c r="E269" s="7" t="n"/>
    </row>
    <row r="270" ht="15" customHeight="1" s="5">
      <c r="D270" s="7" t="n"/>
      <c r="E270" s="7" t="n"/>
    </row>
    <row r="271" ht="15" customHeight="1" s="5">
      <c r="D271" s="7" t="n"/>
      <c r="E271" s="7" t="n"/>
    </row>
    <row r="272" ht="15" customHeight="1" s="5">
      <c r="D272" s="7" t="n"/>
      <c r="E272" s="7" t="n"/>
    </row>
    <row r="273" ht="15" customHeight="1" s="5">
      <c r="D273" s="7" t="n"/>
      <c r="E273" s="7" t="n"/>
    </row>
    <row r="274" ht="15" customHeight="1" s="5">
      <c r="D274" s="7" t="n"/>
      <c r="E274" s="7" t="n"/>
    </row>
    <row r="275" ht="15" customHeight="1" s="5">
      <c r="D275" s="7" t="n"/>
      <c r="E275" s="7" t="n"/>
    </row>
    <row r="276" ht="15" customHeight="1" s="5">
      <c r="D276" s="7" t="n"/>
      <c r="E276" s="7" t="n"/>
    </row>
    <row r="277" ht="15" customHeight="1" s="5">
      <c r="D277" s="7" t="n"/>
      <c r="E277" s="7" t="n"/>
    </row>
    <row r="278" ht="15" customHeight="1" s="5">
      <c r="D278" s="7" t="n"/>
      <c r="E278" s="7" t="n"/>
    </row>
    <row r="279" ht="15" customHeight="1" s="5">
      <c r="D279" s="7" t="n"/>
      <c r="E279" s="7" t="n"/>
    </row>
    <row r="280" ht="15" customHeight="1" s="5">
      <c r="D280" s="7" t="n"/>
      <c r="E280" s="7" t="n"/>
    </row>
    <row r="281" ht="15" customHeight="1" s="5">
      <c r="D281" s="7" t="n"/>
      <c r="E281" s="7" t="n"/>
    </row>
    <row r="282" ht="15" customHeight="1" s="5">
      <c r="D282" s="7" t="n"/>
      <c r="E282" s="7" t="n"/>
    </row>
    <row r="283" ht="15" customHeight="1" s="5">
      <c r="D283" s="7" t="n"/>
      <c r="E283" s="7" t="n"/>
    </row>
    <row r="284" ht="15" customHeight="1" s="5">
      <c r="D284" s="7" t="n"/>
      <c r="E284" s="7" t="n"/>
    </row>
    <row r="285" ht="15" customHeight="1" s="5">
      <c r="D285" s="7" t="n"/>
      <c r="E285" s="7" t="n"/>
    </row>
    <row r="286" ht="15" customHeight="1" s="5">
      <c r="D286" s="7" t="n"/>
      <c r="E286" s="7" t="n"/>
    </row>
    <row r="287" ht="15" customHeight="1" s="5">
      <c r="D287" s="7" t="n"/>
      <c r="E287" s="7" t="n"/>
    </row>
    <row r="288" ht="15" customHeight="1" s="5">
      <c r="D288" s="7" t="n"/>
      <c r="E288" s="7" t="n"/>
    </row>
    <row r="289" ht="15" customHeight="1" s="5">
      <c r="D289" s="7" t="n"/>
      <c r="E289" s="7" t="n"/>
    </row>
    <row r="290" ht="15" customHeight="1" s="5">
      <c r="D290" s="7" t="n"/>
      <c r="E290" s="7" t="n"/>
    </row>
    <row r="291" ht="15" customHeight="1" s="5">
      <c r="D291" s="7" t="n"/>
      <c r="E291" s="7" t="n"/>
    </row>
    <row r="292" ht="15" customHeight="1" s="5">
      <c r="D292" s="7" t="n"/>
      <c r="E292" s="7" t="n"/>
    </row>
    <row r="293" ht="15" customHeight="1" s="5">
      <c r="D293" s="7" t="n"/>
      <c r="E293" s="7" t="n"/>
    </row>
    <row r="294" ht="15" customHeight="1" s="5">
      <c r="D294" s="7" t="n"/>
      <c r="E294" s="7" t="n"/>
    </row>
    <row r="295" ht="15" customHeight="1" s="5">
      <c r="D295" s="7" t="n"/>
      <c r="E295" s="7" t="n"/>
    </row>
    <row r="296" ht="15" customHeight="1" s="5">
      <c r="D296" s="7" t="n"/>
      <c r="E296" s="7" t="n"/>
    </row>
    <row r="297" ht="15" customHeight="1" s="5">
      <c r="D297" s="7" t="n"/>
      <c r="E297" s="7" t="n"/>
    </row>
    <row r="298" ht="15" customHeight="1" s="5">
      <c r="D298" s="7" t="n"/>
      <c r="E298" s="7" t="n"/>
    </row>
    <row r="299" ht="15" customHeight="1" s="5">
      <c r="D299" s="7" t="n"/>
      <c r="E299" s="7" t="n"/>
    </row>
    <row r="300" ht="15" customHeight="1" s="5">
      <c r="D300" s="7" t="n"/>
      <c r="E300" s="7" t="n"/>
    </row>
    <row r="301" ht="15" customHeight="1" s="5">
      <c r="D301" s="7" t="n"/>
      <c r="E301" s="7" t="n"/>
    </row>
    <row r="302" ht="15" customHeight="1" s="5">
      <c r="D302" s="7" t="n"/>
      <c r="E302" s="7" t="n"/>
    </row>
    <row r="303" ht="15" customHeight="1" s="5">
      <c r="D303" s="7" t="n"/>
      <c r="E303" s="7" t="n"/>
    </row>
    <row r="304" ht="15" customHeight="1" s="5">
      <c r="D304" s="7" t="n"/>
      <c r="E304" s="7" t="n"/>
    </row>
    <row r="305" ht="15" customHeight="1" s="5">
      <c r="D305" s="7" t="n"/>
      <c r="E305" s="7" t="n"/>
    </row>
    <row r="306" ht="15" customHeight="1" s="5">
      <c r="D306" s="7" t="n"/>
      <c r="E306" s="7" t="n"/>
    </row>
    <row r="307" ht="15" customHeight="1" s="5">
      <c r="D307" s="7" t="n"/>
      <c r="E307" s="7" t="n"/>
    </row>
    <row r="308" ht="15" customHeight="1" s="5">
      <c r="D308" s="7" t="n"/>
      <c r="E308" s="7" t="n"/>
    </row>
    <row r="309" ht="15" customHeight="1" s="5">
      <c r="D309" s="7" t="n"/>
      <c r="E309" s="7" t="n"/>
    </row>
    <row r="310" ht="15" customHeight="1" s="5">
      <c r="D310" s="7" t="n"/>
      <c r="E310" s="7" t="n"/>
    </row>
    <row r="311" ht="15" customHeight="1" s="5">
      <c r="D311" s="7" t="n"/>
      <c r="E311" s="7" t="n"/>
    </row>
    <row r="312" ht="15" customHeight="1" s="5">
      <c r="D312" s="7" t="n"/>
      <c r="E312" s="7" t="n"/>
    </row>
    <row r="313" ht="15" customHeight="1" s="5">
      <c r="D313" s="7" t="n"/>
      <c r="E313" s="7" t="n"/>
    </row>
    <row r="314" ht="15" customHeight="1" s="5">
      <c r="D314" s="7" t="n"/>
      <c r="E314" s="7" t="n"/>
    </row>
    <row r="315" ht="15" customHeight="1" s="5">
      <c r="D315" s="7" t="n"/>
      <c r="E315" s="7" t="n"/>
    </row>
    <row r="316" ht="15" customHeight="1" s="5">
      <c r="D316" s="7" t="n"/>
      <c r="E316" s="7" t="n"/>
    </row>
    <row r="317" ht="15" customHeight="1" s="5">
      <c r="D317" s="7" t="n"/>
      <c r="E317" s="7" t="n"/>
    </row>
    <row r="318" ht="15" customHeight="1" s="5">
      <c r="D318" s="7" t="n"/>
      <c r="E318" s="7" t="n"/>
    </row>
    <row r="319" ht="15" customHeight="1" s="5">
      <c r="D319" s="7" t="n"/>
      <c r="E319" s="7" t="n"/>
    </row>
    <row r="320" ht="15" customHeight="1" s="5">
      <c r="D320" s="7" t="n"/>
      <c r="E320" s="7" t="n"/>
    </row>
    <row r="321" ht="15" customHeight="1" s="5">
      <c r="D321" s="7" t="n"/>
      <c r="E321" s="7" t="n"/>
    </row>
    <row r="322" ht="15" customHeight="1" s="5">
      <c r="D322" s="7" t="n"/>
      <c r="E322" s="7" t="n"/>
    </row>
    <row r="323" ht="15" customHeight="1" s="5">
      <c r="D323" s="7" t="n"/>
      <c r="E323" s="7" t="n"/>
    </row>
    <row r="324" ht="15" customHeight="1" s="5">
      <c r="D324" s="7" t="n"/>
      <c r="E324" s="7" t="n"/>
    </row>
    <row r="325" ht="15" customHeight="1" s="5">
      <c r="D325" s="7" t="n"/>
      <c r="E325" s="7" t="n"/>
    </row>
    <row r="326" ht="15" customHeight="1" s="5">
      <c r="D326" s="7" t="n"/>
      <c r="E326" s="7" t="n"/>
    </row>
    <row r="327" ht="15" customHeight="1" s="5">
      <c r="D327" s="7" t="n"/>
      <c r="E327" s="7" t="n"/>
    </row>
    <row r="328" ht="15" customHeight="1" s="5">
      <c r="D328" s="7" t="n"/>
      <c r="E328" s="7" t="n"/>
    </row>
    <row r="329" ht="15" customHeight="1" s="5">
      <c r="D329" s="7" t="n"/>
      <c r="E329" s="7" t="n"/>
    </row>
    <row r="330" ht="15" customHeight="1" s="5">
      <c r="D330" s="7" t="n"/>
      <c r="E330" s="7" t="n"/>
    </row>
    <row r="331" ht="15" customHeight="1" s="5">
      <c r="D331" s="7" t="n"/>
      <c r="E331" s="7" t="n"/>
    </row>
    <row r="332" ht="15" customHeight="1" s="5">
      <c r="D332" s="7" t="n"/>
      <c r="E332" s="7" t="n"/>
    </row>
    <row r="333" ht="15" customHeight="1" s="5">
      <c r="D333" s="7" t="n"/>
      <c r="E333" s="7" t="n"/>
    </row>
    <row r="334" ht="15" customHeight="1" s="5">
      <c r="D334" s="7" t="n"/>
      <c r="E334" s="7" t="n"/>
    </row>
    <row r="335" ht="15" customHeight="1" s="5">
      <c r="D335" s="7" t="n"/>
      <c r="E335" s="7" t="n"/>
    </row>
    <row r="336" ht="15" customHeight="1" s="5">
      <c r="D336" s="7" t="n"/>
      <c r="E336" s="7" t="n"/>
    </row>
    <row r="337" ht="15" customHeight="1" s="5">
      <c r="D337" s="7" t="n"/>
      <c r="E337" s="7" t="n"/>
    </row>
    <row r="338" ht="15" customHeight="1" s="5">
      <c r="D338" s="7" t="n"/>
      <c r="E338" s="7" t="n"/>
    </row>
    <row r="339" ht="15" customHeight="1" s="5">
      <c r="D339" s="7" t="n"/>
      <c r="E339" s="7" t="n"/>
    </row>
    <row r="340" ht="15" customHeight="1" s="5">
      <c r="D340" s="7" t="n"/>
      <c r="E340" s="7" t="n"/>
    </row>
    <row r="341" ht="15" customHeight="1" s="5">
      <c r="D341" s="7" t="n"/>
      <c r="E341" s="7" t="n"/>
    </row>
    <row r="342" ht="15" customHeight="1" s="5">
      <c r="D342" s="7" t="n"/>
      <c r="E342" s="7" t="n"/>
    </row>
    <row r="343" ht="15" customHeight="1" s="5">
      <c r="D343" s="7" t="n"/>
      <c r="E343" s="7" t="n"/>
    </row>
    <row r="344" ht="15" customHeight="1" s="5">
      <c r="D344" s="7" t="n"/>
      <c r="E344" s="7" t="n"/>
    </row>
    <row r="345" ht="15" customHeight="1" s="5">
      <c r="D345" s="7" t="n"/>
      <c r="E345" s="7" t="n"/>
    </row>
    <row r="346" ht="15" customHeight="1" s="5">
      <c r="D346" s="7" t="n"/>
      <c r="E346" s="7" t="n"/>
    </row>
    <row r="347" ht="15" customHeight="1" s="5">
      <c r="D347" s="7" t="n"/>
      <c r="E347" s="7" t="n"/>
    </row>
    <row r="348" ht="15" customHeight="1" s="5">
      <c r="D348" s="7" t="n"/>
      <c r="E348" s="7" t="n"/>
    </row>
    <row r="349" ht="15" customHeight="1" s="5">
      <c r="D349" s="7" t="n"/>
      <c r="E349" s="7" t="n"/>
    </row>
    <row r="350" ht="15" customHeight="1" s="5">
      <c r="D350" s="7" t="n"/>
      <c r="E350" s="7" t="n"/>
    </row>
    <row r="351" ht="15" customHeight="1" s="5">
      <c r="D351" s="7" t="n"/>
      <c r="E351" s="7" t="n"/>
    </row>
    <row r="352" ht="15" customHeight="1" s="5">
      <c r="D352" s="7" t="n"/>
      <c r="E352" s="7" t="n"/>
    </row>
    <row r="353" ht="15" customHeight="1" s="5">
      <c r="D353" s="7" t="n"/>
      <c r="E353" s="7" t="n"/>
    </row>
    <row r="354" ht="15" customHeight="1" s="5">
      <c r="D354" s="7" t="n"/>
      <c r="E354" s="7" t="n"/>
    </row>
    <row r="355" ht="15" customHeight="1" s="5">
      <c r="D355" s="7" t="n"/>
      <c r="E355" s="7" t="n"/>
    </row>
    <row r="356" ht="15" customHeight="1" s="5">
      <c r="D356" s="7" t="n"/>
      <c r="E356" s="7" t="n"/>
    </row>
    <row r="357" ht="15" customHeight="1" s="5">
      <c r="D357" s="7" t="n"/>
      <c r="E357" s="7" t="n"/>
    </row>
    <row r="358" ht="15" customHeight="1" s="5">
      <c r="D358" s="7" t="n"/>
      <c r="E358" s="7" t="n"/>
    </row>
    <row r="359" ht="15" customHeight="1" s="5">
      <c r="D359" s="7" t="n"/>
      <c r="E359" s="7" t="n"/>
    </row>
    <row r="360" ht="15" customHeight="1" s="5">
      <c r="D360" s="7" t="n"/>
      <c r="E360" s="7" t="n"/>
    </row>
    <row r="361" ht="15" customHeight="1" s="5">
      <c r="D361" s="7" t="n"/>
      <c r="E361" s="7" t="n"/>
    </row>
    <row r="362" ht="15" customHeight="1" s="5">
      <c r="D362" s="7" t="n"/>
      <c r="E362" s="7" t="n"/>
    </row>
    <row r="363" ht="15" customHeight="1" s="5">
      <c r="D363" s="7" t="n"/>
      <c r="E363" s="7" t="n"/>
    </row>
    <row r="364" ht="15" customHeight="1" s="5">
      <c r="D364" s="7" t="n"/>
      <c r="E364" s="7" t="n"/>
    </row>
    <row r="365" ht="15" customHeight="1" s="5">
      <c r="D365" s="7" t="n"/>
      <c r="E365" s="7" t="n"/>
    </row>
    <row r="366" ht="15" customHeight="1" s="5">
      <c r="D366" s="7" t="n"/>
      <c r="E366" s="7" t="n"/>
    </row>
    <row r="367" ht="15" customHeight="1" s="5">
      <c r="D367" s="7" t="n"/>
      <c r="E367" s="7" t="n"/>
    </row>
    <row r="368" ht="15" customHeight="1" s="5">
      <c r="D368" s="7" t="n"/>
      <c r="E368" s="7" t="n"/>
    </row>
    <row r="369" ht="15" customHeight="1" s="5">
      <c r="D369" s="7" t="n"/>
      <c r="E369" s="7" t="n"/>
    </row>
    <row r="370" ht="15" customHeight="1" s="5">
      <c r="D370" s="7" t="n"/>
      <c r="E370" s="7" t="n"/>
    </row>
    <row r="371" ht="15" customHeight="1" s="5">
      <c r="D371" s="7" t="n"/>
      <c r="E371" s="7" t="n"/>
    </row>
    <row r="372" ht="15" customHeight="1" s="5">
      <c r="D372" s="7" t="n"/>
      <c r="E372" s="7" t="n"/>
    </row>
    <row r="373" ht="15" customHeight="1" s="5">
      <c r="D373" s="7" t="n"/>
      <c r="E373" s="7" t="n"/>
    </row>
    <row r="374" ht="15" customHeight="1" s="5">
      <c r="D374" s="7" t="n"/>
      <c r="E374" s="7" t="n"/>
    </row>
    <row r="375" ht="15" customHeight="1" s="5">
      <c r="D375" s="7" t="n"/>
      <c r="E375" s="7" t="n"/>
    </row>
    <row r="376" ht="15" customHeight="1" s="5">
      <c r="D376" s="7" t="n"/>
      <c r="E376" s="7" t="n"/>
    </row>
    <row r="377" ht="15" customHeight="1" s="5">
      <c r="D377" s="7" t="n"/>
      <c r="E377" s="7" t="n"/>
    </row>
    <row r="378" ht="15" customHeight="1" s="5">
      <c r="D378" s="7" t="n"/>
      <c r="E378" s="7" t="n"/>
    </row>
    <row r="379" ht="15" customHeight="1" s="5">
      <c r="D379" s="7" t="n"/>
      <c r="E379" s="7" t="n"/>
    </row>
    <row r="380" ht="15" customHeight="1" s="5">
      <c r="D380" s="7" t="n"/>
      <c r="E380" s="7" t="n"/>
    </row>
    <row r="381" ht="15" customHeight="1" s="5">
      <c r="D381" s="7" t="n"/>
      <c r="E381" s="7" t="n"/>
    </row>
    <row r="382" ht="15" customHeight="1" s="5">
      <c r="D382" s="7" t="n"/>
      <c r="E382" s="7" t="n"/>
    </row>
    <row r="383" ht="15" customHeight="1" s="5">
      <c r="D383" s="7" t="n"/>
      <c r="E383" s="7" t="n"/>
    </row>
    <row r="384" ht="15" customHeight="1" s="5">
      <c r="D384" s="7" t="n"/>
      <c r="E384" s="7" t="n"/>
    </row>
    <row r="385" ht="15" customHeight="1" s="5">
      <c r="D385" s="7" t="n"/>
      <c r="E385" s="7" t="n"/>
    </row>
    <row r="386" ht="15" customHeight="1" s="5">
      <c r="D386" s="7" t="n"/>
      <c r="E386" s="7" t="n"/>
    </row>
    <row r="387" ht="15" customHeight="1" s="5">
      <c r="D387" s="7" t="n"/>
      <c r="E387" s="7" t="n"/>
    </row>
    <row r="388" ht="15" customHeight="1" s="5">
      <c r="D388" s="7" t="n"/>
      <c r="E388" s="7" t="n"/>
    </row>
    <row r="389" ht="15" customHeight="1" s="5">
      <c r="D389" s="7" t="n"/>
      <c r="E389" s="7" t="n"/>
    </row>
    <row r="390" ht="15" customHeight="1" s="5">
      <c r="D390" s="7" t="n"/>
      <c r="E390" s="7" t="n"/>
    </row>
    <row r="391" ht="15" customHeight="1" s="5">
      <c r="D391" s="7" t="n"/>
      <c r="E391" s="7" t="n"/>
    </row>
    <row r="392" ht="15" customHeight="1" s="5">
      <c r="D392" s="7" t="n"/>
      <c r="E392" s="7" t="n"/>
    </row>
    <row r="393" ht="15" customHeight="1" s="5">
      <c r="D393" s="7" t="n"/>
      <c r="E393" s="7" t="n"/>
    </row>
    <row r="394" ht="15" customHeight="1" s="5">
      <c r="D394" s="7" t="n"/>
      <c r="E394" s="7" t="n"/>
    </row>
    <row r="395" ht="15" customHeight="1" s="5">
      <c r="D395" s="7" t="n"/>
      <c r="E395" s="7" t="n"/>
    </row>
    <row r="396" ht="15" customHeight="1" s="5">
      <c r="D396" s="7" t="n"/>
      <c r="E396" s="7" t="n"/>
    </row>
    <row r="397" ht="15" customHeight="1" s="5">
      <c r="D397" s="7" t="n"/>
      <c r="E397" s="7" t="n"/>
    </row>
    <row r="398" ht="15" customHeight="1" s="5">
      <c r="D398" s="7" t="n"/>
      <c r="E398" s="7" t="n"/>
    </row>
    <row r="399" ht="15" customHeight="1" s="5">
      <c r="D399" s="7" t="n"/>
      <c r="E399" s="7" t="n"/>
    </row>
    <row r="400" ht="15" customHeight="1" s="5">
      <c r="D400" s="7" t="n"/>
      <c r="E400" s="7" t="n"/>
    </row>
    <row r="401" ht="15" customHeight="1" s="5">
      <c r="D401" s="7" t="n"/>
      <c r="E401" s="7" t="n"/>
    </row>
    <row r="402" ht="15" customHeight="1" s="5">
      <c r="D402" s="7" t="n"/>
      <c r="E402" s="7" t="n"/>
    </row>
    <row r="403" ht="15" customHeight="1" s="5">
      <c r="D403" s="7" t="n"/>
      <c r="E403" s="7" t="n"/>
    </row>
    <row r="404" ht="15" customHeight="1" s="5">
      <c r="D404" s="7" t="n"/>
      <c r="E404" s="7" t="n"/>
    </row>
    <row r="405" ht="15" customHeight="1" s="5">
      <c r="D405" s="7" t="n"/>
      <c r="E405" s="7" t="n"/>
    </row>
    <row r="406" ht="15" customHeight="1" s="5">
      <c r="D406" s="7" t="n"/>
      <c r="E406" s="7" t="n"/>
    </row>
    <row r="407" ht="15" customHeight="1" s="5">
      <c r="D407" s="7" t="n"/>
      <c r="E407" s="7" t="n"/>
    </row>
    <row r="408" ht="15" customHeight="1" s="5">
      <c r="D408" s="7" t="n"/>
      <c r="E408" s="7" t="n"/>
    </row>
    <row r="409" ht="15" customHeight="1" s="5">
      <c r="D409" s="7" t="n"/>
      <c r="E409" s="7" t="n"/>
    </row>
    <row r="410" ht="15" customHeight="1" s="5">
      <c r="D410" s="7" t="n"/>
      <c r="E410" s="7" t="n"/>
    </row>
    <row r="411" ht="15" customHeight="1" s="5">
      <c r="D411" s="7" t="n"/>
      <c r="E411" s="7" t="n"/>
    </row>
    <row r="412" ht="15" customHeight="1" s="5">
      <c r="D412" s="7" t="n"/>
      <c r="E412" s="7" t="n"/>
    </row>
    <row r="413" ht="15" customHeight="1" s="5">
      <c r="D413" s="7" t="n"/>
      <c r="E413" s="7" t="n"/>
    </row>
    <row r="414" ht="15" customHeight="1" s="5">
      <c r="D414" s="7" t="n"/>
      <c r="E414" s="7" t="n"/>
    </row>
    <row r="415" ht="15" customHeight="1" s="5">
      <c r="D415" s="7" t="n"/>
      <c r="E415" s="7" t="n"/>
    </row>
    <row r="416" ht="15" customHeight="1" s="5">
      <c r="D416" s="7" t="n"/>
      <c r="E416" s="7" t="n"/>
    </row>
    <row r="417" ht="15" customHeight="1" s="5">
      <c r="D417" s="7" t="n"/>
      <c r="E417" s="7" t="n"/>
    </row>
    <row r="418" ht="15" customHeight="1" s="5">
      <c r="D418" s="7" t="n"/>
      <c r="E418" s="7" t="n"/>
    </row>
    <row r="419" ht="15" customHeight="1" s="5">
      <c r="D419" s="7" t="n"/>
      <c r="E419" s="7" t="n"/>
    </row>
    <row r="420" ht="15" customHeight="1" s="5">
      <c r="D420" s="7" t="n"/>
      <c r="E420" s="7" t="n"/>
    </row>
    <row r="421" ht="15" customHeight="1" s="5">
      <c r="D421" s="7" t="n"/>
      <c r="E421" s="7" t="n"/>
    </row>
    <row r="422" ht="15" customHeight="1" s="5">
      <c r="D422" s="7" t="n"/>
      <c r="E422" s="7" t="n"/>
    </row>
    <row r="423" ht="15" customHeight="1" s="5">
      <c r="D423" s="7" t="n"/>
      <c r="E423" s="7" t="n"/>
    </row>
    <row r="424" ht="15" customHeight="1" s="5">
      <c r="D424" s="7" t="n"/>
      <c r="E424" s="7" t="n"/>
    </row>
    <row r="425" ht="15" customHeight="1" s="5">
      <c r="D425" s="7" t="n"/>
      <c r="E425" s="7" t="n"/>
    </row>
    <row r="426" ht="15" customHeight="1" s="5">
      <c r="D426" s="7" t="n"/>
      <c r="E426" s="7" t="n"/>
    </row>
    <row r="427" ht="15" customHeight="1" s="5">
      <c r="D427" s="7" t="n"/>
      <c r="E427" s="7" t="n"/>
    </row>
    <row r="428" ht="15" customHeight="1" s="5">
      <c r="D428" s="7" t="n"/>
      <c r="E428" s="7" t="n"/>
    </row>
    <row r="429" ht="15" customHeight="1" s="5">
      <c r="D429" s="7" t="n"/>
      <c r="E429" s="7" t="n"/>
    </row>
    <row r="430" ht="15" customHeight="1" s="5">
      <c r="D430" s="7" t="n"/>
      <c r="E430" s="7" t="n"/>
    </row>
    <row r="431" ht="15" customHeight="1" s="5">
      <c r="D431" s="7" t="n"/>
      <c r="E431" s="7" t="n"/>
    </row>
    <row r="432" ht="15" customHeight="1" s="5">
      <c r="D432" s="7" t="n"/>
      <c r="E432" s="7" t="n"/>
    </row>
    <row r="433" ht="15" customHeight="1" s="5">
      <c r="D433" s="7" t="n"/>
      <c r="E433" s="7" t="n"/>
    </row>
    <row r="434" ht="15" customHeight="1" s="5">
      <c r="D434" s="7" t="n"/>
      <c r="E434" s="7" t="n"/>
    </row>
    <row r="435" ht="15" customHeight="1" s="5">
      <c r="D435" s="7" t="n"/>
      <c r="E435" s="7" t="n"/>
    </row>
    <row r="436" ht="15" customHeight="1" s="5">
      <c r="D436" s="7" t="n"/>
      <c r="E436" s="7" t="n"/>
    </row>
    <row r="437" ht="15" customHeight="1" s="5">
      <c r="D437" s="7" t="n"/>
      <c r="E437" s="7" t="n"/>
    </row>
    <row r="438" ht="15" customHeight="1" s="5">
      <c r="D438" s="7" t="n"/>
      <c r="E438" s="7" t="n"/>
    </row>
    <row r="439" ht="15" customHeight="1" s="5">
      <c r="D439" s="7" t="n"/>
      <c r="E439" s="7" t="n"/>
    </row>
    <row r="440" ht="15" customHeight="1" s="5">
      <c r="D440" s="7" t="n"/>
      <c r="E440" s="7" t="n"/>
    </row>
    <row r="441" ht="15" customHeight="1" s="5">
      <c r="D441" s="7" t="n"/>
      <c r="E441" s="7" t="n"/>
    </row>
    <row r="442" ht="15" customHeight="1" s="5">
      <c r="D442" s="7" t="n"/>
      <c r="E442" s="7" t="n"/>
    </row>
    <row r="443" ht="15" customHeight="1" s="5">
      <c r="D443" s="7" t="n"/>
      <c r="E443" s="7" t="n"/>
    </row>
    <row r="444" ht="15" customHeight="1" s="5">
      <c r="D444" s="7" t="n"/>
      <c r="E444" s="7" t="n"/>
    </row>
    <row r="445" ht="15" customHeight="1" s="5">
      <c r="D445" s="7" t="n"/>
      <c r="E445" s="7" t="n"/>
    </row>
    <row r="446" ht="15" customHeight="1" s="5">
      <c r="D446" s="7" t="n"/>
      <c r="E446" s="7" t="n"/>
    </row>
    <row r="447" ht="15" customHeight="1" s="5">
      <c r="D447" s="7" t="n"/>
      <c r="E447" s="7" t="n"/>
    </row>
    <row r="448" ht="15" customHeight="1" s="5">
      <c r="D448" s="7" t="n"/>
      <c r="E448" s="7" t="n"/>
    </row>
    <row r="449" ht="15" customHeight="1" s="5">
      <c r="D449" s="7" t="n"/>
      <c r="E449" s="7" t="n"/>
    </row>
    <row r="450" ht="15" customHeight="1" s="5">
      <c r="D450" s="7" t="n"/>
      <c r="E450" s="7" t="n"/>
    </row>
    <row r="451" ht="15" customHeight="1" s="5">
      <c r="D451" s="7" t="n"/>
      <c r="E451" s="7" t="n"/>
    </row>
    <row r="452" ht="15" customHeight="1" s="5">
      <c r="D452" s="7" t="n"/>
      <c r="E452" s="7" t="n"/>
    </row>
    <row r="453" ht="15" customHeight="1" s="5">
      <c r="D453" s="7" t="n"/>
      <c r="E453" s="7" t="n"/>
    </row>
    <row r="454" ht="15" customHeight="1" s="5">
      <c r="D454" s="7" t="n"/>
      <c r="E454" s="7" t="n"/>
    </row>
    <row r="455" ht="15" customHeight="1" s="5">
      <c r="D455" s="7" t="n"/>
      <c r="E455" s="7" t="n"/>
    </row>
    <row r="456" ht="15" customHeight="1" s="5">
      <c r="D456" s="7" t="n"/>
      <c r="E456" s="7" t="n"/>
    </row>
    <row r="457" ht="15" customHeight="1" s="5">
      <c r="D457" s="7" t="n"/>
      <c r="E457" s="7" t="n"/>
    </row>
    <row r="458" ht="15" customHeight="1" s="5">
      <c r="D458" s="7" t="n"/>
      <c r="E458" s="7" t="n"/>
    </row>
    <row r="459" ht="15" customHeight="1" s="5">
      <c r="D459" s="7" t="n"/>
      <c r="E459" s="7" t="n"/>
    </row>
    <row r="460" ht="15" customHeight="1" s="5">
      <c r="D460" s="7" t="n"/>
      <c r="E460" s="7" t="n"/>
    </row>
    <row r="461" ht="15" customHeight="1" s="5">
      <c r="D461" s="7" t="n"/>
      <c r="E461" s="7" t="n"/>
    </row>
    <row r="462" ht="15" customHeight="1" s="5">
      <c r="D462" s="7" t="n"/>
      <c r="E462" s="7" t="n"/>
    </row>
    <row r="463" ht="15" customHeight="1" s="5">
      <c r="D463" s="7" t="n"/>
      <c r="E463" s="7" t="n"/>
    </row>
    <row r="464" ht="15" customHeight="1" s="5">
      <c r="D464" s="7" t="n"/>
      <c r="E464" s="7" t="n"/>
    </row>
    <row r="465" ht="15" customHeight="1" s="5">
      <c r="D465" s="7" t="n"/>
      <c r="E465" s="7" t="n"/>
    </row>
    <row r="466" ht="15" customHeight="1" s="5">
      <c r="D466" s="7" t="n"/>
      <c r="E466" s="7" t="n"/>
    </row>
    <row r="467" ht="15" customHeight="1" s="5">
      <c r="D467" s="7" t="n"/>
      <c r="E467" s="7" t="n"/>
    </row>
    <row r="468" ht="15" customHeight="1" s="5">
      <c r="D468" s="7" t="n"/>
      <c r="E468" s="7" t="n"/>
    </row>
    <row r="469" ht="15" customHeight="1" s="5">
      <c r="D469" s="7" t="n"/>
      <c r="E469" s="7" t="n"/>
    </row>
    <row r="470" ht="15" customHeight="1" s="5">
      <c r="D470" s="7" t="n"/>
      <c r="E470" s="7" t="n"/>
    </row>
    <row r="471" ht="15" customHeight="1" s="5">
      <c r="D471" s="7" t="n"/>
      <c r="E471" s="7" t="n"/>
    </row>
    <row r="472" ht="15" customHeight="1" s="5">
      <c r="D472" s="7" t="n"/>
      <c r="E472" s="7" t="n"/>
    </row>
    <row r="473" ht="15" customHeight="1" s="5">
      <c r="D473" s="7" t="n"/>
      <c r="E473" s="7" t="n"/>
    </row>
    <row r="474" ht="15" customHeight="1" s="5">
      <c r="D474" s="7" t="n"/>
      <c r="E474" s="7" t="n"/>
    </row>
    <row r="475" ht="15" customHeight="1" s="5">
      <c r="D475" s="7" t="n"/>
      <c r="E475" s="7" t="n"/>
    </row>
    <row r="476" ht="15" customHeight="1" s="5">
      <c r="D476" s="7" t="n"/>
      <c r="E476" s="7" t="n"/>
    </row>
    <row r="477" ht="15" customHeight="1" s="5">
      <c r="D477" s="7" t="n"/>
      <c r="E477" s="7" t="n"/>
    </row>
    <row r="478" ht="15" customHeight="1" s="5">
      <c r="D478" s="7" t="n"/>
      <c r="E478" s="7" t="n"/>
    </row>
    <row r="479" ht="15" customHeight="1" s="5">
      <c r="D479" s="7" t="n"/>
      <c r="E479" s="7" t="n"/>
    </row>
    <row r="480" ht="15" customHeight="1" s="5">
      <c r="D480" s="7" t="n"/>
      <c r="E480" s="7" t="n"/>
    </row>
    <row r="481" ht="15" customHeight="1" s="5">
      <c r="D481" s="7" t="n"/>
      <c r="E481" s="7" t="n"/>
    </row>
    <row r="482" ht="15" customHeight="1" s="5">
      <c r="D482" s="7" t="n"/>
      <c r="E482" s="7" t="n"/>
    </row>
    <row r="483" ht="15" customHeight="1" s="5">
      <c r="D483" s="7" t="n"/>
      <c r="E483" s="7" t="n"/>
    </row>
    <row r="484" ht="15" customHeight="1" s="5">
      <c r="D484" s="7" t="n"/>
      <c r="E484" s="7" t="n"/>
    </row>
    <row r="485" ht="15" customHeight="1" s="5">
      <c r="D485" s="7" t="n"/>
      <c r="E485" s="7" t="n"/>
    </row>
    <row r="486" ht="15" customHeight="1" s="5">
      <c r="D486" s="7" t="n"/>
      <c r="E486" s="7" t="n"/>
    </row>
    <row r="487" ht="15" customHeight="1" s="5">
      <c r="D487" s="7" t="n"/>
      <c r="E487" s="7" t="n"/>
    </row>
    <row r="488" ht="15" customHeight="1" s="5">
      <c r="D488" s="7" t="n"/>
      <c r="E488" s="7" t="n"/>
    </row>
    <row r="489" ht="15" customHeight="1" s="5">
      <c r="D489" s="7" t="n"/>
      <c r="E489" s="7" t="n"/>
    </row>
    <row r="490" ht="15" customHeight="1" s="5">
      <c r="D490" s="7" t="n"/>
      <c r="E490" s="7" t="n"/>
    </row>
    <row r="491" ht="15" customHeight="1" s="5">
      <c r="D491" s="7" t="n"/>
      <c r="E491" s="7" t="n"/>
    </row>
    <row r="492" ht="15" customHeight="1" s="5">
      <c r="D492" s="7" t="n"/>
      <c r="E492" s="7" t="n"/>
    </row>
    <row r="493" ht="15" customHeight="1" s="5">
      <c r="D493" s="7" t="n"/>
      <c r="E493" s="7" t="n"/>
    </row>
    <row r="494" ht="15" customHeight="1" s="5">
      <c r="D494" s="7" t="n"/>
      <c r="E494" s="7" t="n"/>
    </row>
    <row r="495" ht="15" customHeight="1" s="5">
      <c r="D495" s="7" t="n"/>
      <c r="E495" s="7" t="n"/>
    </row>
    <row r="496" ht="15" customHeight="1" s="5">
      <c r="D496" s="7" t="n"/>
      <c r="E496" s="7" t="n"/>
    </row>
    <row r="497" ht="15" customHeight="1" s="5">
      <c r="D497" s="7" t="n"/>
      <c r="E497" s="7" t="n"/>
    </row>
    <row r="498" ht="15" customHeight="1" s="5">
      <c r="D498" s="7" t="n"/>
      <c r="E498" s="7" t="n"/>
    </row>
    <row r="499" ht="15" customHeight="1" s="5">
      <c r="D499" s="7" t="n"/>
      <c r="E499" s="7" t="n"/>
    </row>
    <row r="500" ht="15" customHeight="1" s="5">
      <c r="D500" s="7" t="n"/>
      <c r="E500" s="7" t="n"/>
    </row>
    <row r="501" ht="15" customHeight="1" s="5">
      <c r="D501" s="7" t="n"/>
      <c r="E501" s="7" t="n"/>
    </row>
    <row r="502" ht="15" customHeight="1" s="5">
      <c r="D502" s="7" t="n"/>
      <c r="E502" s="7" t="n"/>
    </row>
    <row r="503" ht="15" customHeight="1" s="5">
      <c r="D503" s="7" t="n"/>
      <c r="E503" s="7" t="n"/>
    </row>
    <row r="504" ht="15" customHeight="1" s="5">
      <c r="D504" s="7" t="n"/>
      <c r="E504" s="7" t="n"/>
    </row>
    <row r="505" ht="15" customHeight="1" s="5">
      <c r="D505" s="7" t="n"/>
      <c r="E505" s="7" t="n"/>
    </row>
    <row r="506" ht="15" customHeight="1" s="5">
      <c r="D506" s="7" t="n"/>
      <c r="E506" s="7" t="n"/>
    </row>
    <row r="507" ht="15" customHeight="1" s="5">
      <c r="D507" s="7" t="n"/>
      <c r="E507" s="7" t="n"/>
    </row>
    <row r="508" ht="15" customHeight="1" s="5">
      <c r="D508" s="7" t="n"/>
      <c r="E508" s="7" t="n"/>
    </row>
    <row r="509" ht="15" customHeight="1" s="5">
      <c r="D509" s="7" t="n"/>
      <c r="E509" s="7" t="n"/>
    </row>
    <row r="510" ht="15" customHeight="1" s="5">
      <c r="D510" s="7" t="n"/>
      <c r="E510" s="7" t="n"/>
    </row>
    <row r="511" ht="15" customHeight="1" s="5">
      <c r="D511" s="7" t="n"/>
      <c r="E511" s="7" t="n"/>
    </row>
  </sheetData>
  <dataValidations count="4">
    <dataValidation sqref="D2:D511" showDropDown="0" showInputMessage="0" showErrorMessage="0" allowBlank="1" errorTitle="Not in Config list" error="Value not in Config; will still be saved." promptTitle="Portfolio Category" prompt="Pick from Config → Portfolio Category" type="list" errorStyle="warning" operator="between">
      <formula1>"Business Strategic,IT Strategic,CAPEX,Unfunded"</formula1>
      <formula2>0</formula2>
    </dataValidation>
    <dataValidation sqref="E2:E511" showDropDown="0" showInputMessage="0" showErrorMessage="0" allowBlank="1" errorTitle="Not in Config list" error="Value not in Config; will still be saved." promptTitle="Portfolio Category" prompt="Pick from Config → Portfolio Category" type="list" errorStyle="warning" operator="between">
      <formula1>"Business Strategic,IT Strategic,CAPEX,Unfunded"</formula1>
      <formula2>0</formula2>
    </dataValidation>
    <dataValidation sqref="D2:D1011" showDropDown="0" showInputMessage="0" showErrorMessage="0" allowBlank="1" errorTitle="Not in Config list" error="Value not in Config; will still be saved." promptTitle="Portfolio Category" prompt="Pick from Config → Portfolio Category" type="list" errorStyle="warning">
      <formula1>"Business Strategic,IT Strategic,CAPEX,Unfunded"</formula1>
    </dataValidation>
    <dataValidation sqref="E2:E1011" showDropDown="0" showInputMessage="0" showErrorMessage="0" allowBlank="1" errorTitle="Not in Config list" error="Value not in Config; will still be saved." promptTitle="Portfolio Category" prompt="Pick from Config → Portfolio Category" type="list" errorStyle="warning">
      <formula1>"Business Strategic,IT Strategic,CAPEX,Unfunded"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Project ID</t>
        </is>
      </c>
      <c r="B1" s="6" t="inlineStr">
        <is>
          <t>Project Name</t>
        </is>
      </c>
      <c r="C1" s="6" t="inlineStr">
        <is>
          <t>Strategic Alignment (1-5)</t>
        </is>
      </c>
      <c r="D1" s="6" t="inlineStr">
        <is>
          <t>Benefit Value (1-5)</t>
        </is>
      </c>
      <c r="E1" s="6" t="inlineStr">
        <is>
          <t>Risk Reduction (1-5)</t>
        </is>
      </c>
      <c r="F1" s="6" t="inlineStr">
        <is>
          <t>Compliance (1-5)</t>
        </is>
      </c>
      <c r="G1" s="6" t="inlineStr">
        <is>
          <t>Complexity (1-5)</t>
        </is>
      </c>
      <c r="H1" s="6" t="inlineStr">
        <is>
          <t>Score</t>
        </is>
      </c>
    </row>
    <row r="2" ht="15" customHeight="1" s="5">
      <c r="A2" s="7" t="inlineStr">
        <is>
          <t>PRJ027</t>
        </is>
      </c>
      <c r="B2" s="7">
        <f>IFERROR(VLOOKUP(A2,Projects!$A:$AK,2,FALSE()),"")</f>
        <v/>
      </c>
      <c r="C2" s="7" t="n">
        <v>4</v>
      </c>
      <c r="D2" s="7" t="n">
        <v>5</v>
      </c>
      <c r="E2" s="7" t="n">
        <v>5</v>
      </c>
      <c r="F2" s="7" t="n">
        <v>3</v>
      </c>
      <c r="G2" s="7" t="n">
        <v>3</v>
      </c>
      <c r="H2" s="7">
        <f>(C2*0.3+D2*0.25+E2*0.2+F2*0.15-G2*0.1)*20</f>
        <v/>
      </c>
    </row>
    <row r="3" ht="15" customHeight="1" s="5">
      <c r="A3" s="7" t="inlineStr">
        <is>
          <t>PRJ011</t>
        </is>
      </c>
      <c r="B3" s="7">
        <f>IFERROR(VLOOKUP(A3,Projects!$A:$AK,2,FALSE()),"")</f>
        <v/>
      </c>
      <c r="C3" s="7" t="n">
        <v>3</v>
      </c>
      <c r="D3" s="7" t="n">
        <v>5</v>
      </c>
      <c r="E3" s="7" t="n">
        <v>5</v>
      </c>
      <c r="F3" s="7" t="n">
        <v>5</v>
      </c>
      <c r="G3" s="7" t="n">
        <v>3</v>
      </c>
      <c r="H3" s="7">
        <f>(C3*0.3+D3*0.25+E3*0.2+F3*0.15-G3*0.1)*20</f>
        <v/>
      </c>
    </row>
    <row r="4" ht="15" customHeight="1" s="5">
      <c r="A4" s="7" t="inlineStr">
        <is>
          <t>PRJ037</t>
        </is>
      </c>
      <c r="B4" s="7">
        <f>IFERROR(VLOOKUP(A4,Projects!$A:$AK,2,FALSE()),"")</f>
        <v/>
      </c>
      <c r="C4" s="7" t="n">
        <v>4</v>
      </c>
      <c r="D4" s="7" t="n">
        <v>3</v>
      </c>
      <c r="E4" s="7" t="n">
        <v>5</v>
      </c>
      <c r="F4" s="7" t="n">
        <v>5</v>
      </c>
      <c r="G4" s="7" t="n">
        <v>2</v>
      </c>
      <c r="H4" s="7">
        <f>(C4*0.3+D4*0.25+E4*0.2+F4*0.15-G4*0.1)*20</f>
        <v/>
      </c>
    </row>
    <row r="5" ht="15" customHeight="1" s="5">
      <c r="A5" s="7" t="inlineStr">
        <is>
          <t>PRJ034</t>
        </is>
      </c>
      <c r="B5" s="7">
        <f>IFERROR(VLOOKUP(A5,Projects!$A:$AK,2,FALSE()),"")</f>
        <v/>
      </c>
      <c r="C5" s="7" t="n">
        <v>4</v>
      </c>
      <c r="D5" s="7" t="n">
        <v>5</v>
      </c>
      <c r="E5" s="7" t="n">
        <v>3</v>
      </c>
      <c r="F5" s="7" t="n">
        <v>3</v>
      </c>
      <c r="G5" s="7" t="n">
        <v>1</v>
      </c>
      <c r="H5" s="7">
        <f>(C5*0.3+D5*0.25+E5*0.2+F5*0.15-G5*0.1)*20</f>
        <v/>
      </c>
    </row>
    <row r="6" ht="15" customHeight="1" s="5">
      <c r="A6" s="7" t="inlineStr">
        <is>
          <t>PRJ024</t>
        </is>
      </c>
      <c r="B6" s="7">
        <f>IFERROR(VLOOKUP(A6,Projects!$A:$AK,2,FALSE()),"")</f>
        <v/>
      </c>
      <c r="C6" s="7" t="n">
        <v>4</v>
      </c>
      <c r="D6" s="7" t="n">
        <v>5</v>
      </c>
      <c r="E6" s="7" t="n">
        <v>4</v>
      </c>
      <c r="F6" s="7" t="n">
        <v>4</v>
      </c>
      <c r="G6" s="7" t="n">
        <v>5</v>
      </c>
      <c r="H6" s="7">
        <f>(C6*0.3+D6*0.25+E6*0.2+F6*0.15-G6*0.1)*20</f>
        <v/>
      </c>
    </row>
    <row r="7" ht="15" customHeight="1" s="5">
      <c r="A7" s="7" t="inlineStr">
        <is>
          <t>PRJ039</t>
        </is>
      </c>
      <c r="B7" s="7">
        <f>IFERROR(VLOOKUP(A7,Projects!$A:$AK,2,FALSE()),"")</f>
        <v/>
      </c>
      <c r="C7" s="7" t="n">
        <v>5</v>
      </c>
      <c r="D7" s="7" t="n">
        <v>4</v>
      </c>
      <c r="E7" s="7" t="n">
        <v>2</v>
      </c>
      <c r="F7" s="7" t="n">
        <v>4</v>
      </c>
      <c r="G7" s="7" t="n">
        <v>2</v>
      </c>
      <c r="H7" s="7">
        <f>(C7*0.3+D7*0.25+E7*0.2+F7*0.15-G7*0.1)*20</f>
        <v/>
      </c>
    </row>
    <row r="8" ht="15" customHeight="1" s="5">
      <c r="A8" s="7" t="inlineStr">
        <is>
          <t>PRJ003</t>
        </is>
      </c>
      <c r="B8" s="7">
        <f>IFERROR(VLOOKUP(A8,Projects!$A:$AK,2,FALSE()),"")</f>
        <v/>
      </c>
      <c r="C8" s="7" t="n">
        <v>4</v>
      </c>
      <c r="D8" s="7" t="n">
        <v>1</v>
      </c>
      <c r="E8" s="7" t="n">
        <v>5</v>
      </c>
      <c r="F8" s="7" t="n">
        <v>4</v>
      </c>
      <c r="G8" s="7" t="n">
        <v>1</v>
      </c>
      <c r="H8" s="7">
        <f>(C8*0.3+D8*0.25+E8*0.2+F8*0.15-G8*0.1)*20</f>
        <v/>
      </c>
    </row>
    <row r="9" ht="15" customHeight="1" s="5">
      <c r="A9" s="7" t="inlineStr">
        <is>
          <t>PRJ016</t>
        </is>
      </c>
      <c r="B9" s="7">
        <f>IFERROR(VLOOKUP(A9,Projects!$A:$AK,2,FALSE()),"")</f>
        <v/>
      </c>
      <c r="C9" s="7" t="n">
        <v>3</v>
      </c>
      <c r="D9" s="7" t="n">
        <v>4</v>
      </c>
      <c r="E9" s="7" t="n">
        <v>2</v>
      </c>
      <c r="F9" s="7" t="n">
        <v>5</v>
      </c>
      <c r="G9" s="7" t="n">
        <v>2</v>
      </c>
      <c r="H9" s="7">
        <f>(C9*0.3+D9*0.25+E9*0.2+F9*0.15-G9*0.1)*20</f>
        <v/>
      </c>
    </row>
    <row r="10" ht="15" customHeight="1" s="5">
      <c r="A10" s="7" t="inlineStr">
        <is>
          <t>PRJ040</t>
        </is>
      </c>
      <c r="B10" s="7">
        <f>IFERROR(VLOOKUP(A10,Projects!$A:$AK,2,FALSE()),"")</f>
        <v/>
      </c>
      <c r="C10" s="7" t="n">
        <v>4</v>
      </c>
      <c r="D10" s="7" t="n">
        <v>3</v>
      </c>
      <c r="E10" s="7" t="n">
        <v>2</v>
      </c>
      <c r="F10" s="7" t="n">
        <v>4</v>
      </c>
      <c r="G10" s="7" t="n">
        <v>1</v>
      </c>
      <c r="H10" s="7">
        <f>(C10*0.3+D10*0.25+E10*0.2+F10*0.15-G10*0.1)*20</f>
        <v/>
      </c>
    </row>
    <row r="11" ht="15" customHeight="1" s="5">
      <c r="A11" s="7" t="inlineStr">
        <is>
          <t>PRJ036</t>
        </is>
      </c>
      <c r="B11" s="7">
        <f>IFERROR(VLOOKUP(A11,Projects!$A:$AK,2,FALSE()),"")</f>
        <v/>
      </c>
      <c r="C11" s="7" t="n">
        <v>3</v>
      </c>
      <c r="D11" s="7" t="n">
        <v>1</v>
      </c>
      <c r="E11" s="7" t="n">
        <v>5</v>
      </c>
      <c r="F11" s="7" t="n">
        <v>5</v>
      </c>
      <c r="G11" s="7" t="n">
        <v>1</v>
      </c>
      <c r="H11" s="7">
        <f>(C11*0.3+D11*0.25+E11*0.2+F11*0.15-G11*0.1)*20</f>
        <v/>
      </c>
    </row>
    <row r="12" ht="15" customHeight="1" s="5">
      <c r="A12" s="7" t="inlineStr">
        <is>
          <t>PRJ018</t>
        </is>
      </c>
      <c r="B12" s="7">
        <f>IFERROR(VLOOKUP(A12,Projects!$A:$AK,2,FALSE()),"")</f>
        <v/>
      </c>
      <c r="C12" s="7" t="n">
        <v>3</v>
      </c>
      <c r="D12" s="7" t="n">
        <v>5</v>
      </c>
      <c r="E12" s="7" t="n">
        <v>3</v>
      </c>
      <c r="F12" s="7" t="n">
        <v>3</v>
      </c>
      <c r="G12" s="7" t="n">
        <v>4</v>
      </c>
      <c r="H12" s="7">
        <f>(C12*0.3+D12*0.25+E12*0.2+F12*0.15-G12*0.1)*20</f>
        <v/>
      </c>
    </row>
    <row r="13" ht="15" customHeight="1" s="5">
      <c r="A13" s="7" t="inlineStr">
        <is>
          <t>PRJ020</t>
        </is>
      </c>
      <c r="B13" s="7">
        <f>IFERROR(VLOOKUP(A13,Projects!$A:$AK,2,FALSE()),"")</f>
        <v/>
      </c>
      <c r="C13" s="7" t="n">
        <v>5</v>
      </c>
      <c r="D13" s="7" t="n">
        <v>5</v>
      </c>
      <c r="E13" s="7" t="n">
        <v>1</v>
      </c>
      <c r="F13" s="7" t="n">
        <v>2</v>
      </c>
      <c r="G13" s="7" t="n">
        <v>5</v>
      </c>
      <c r="H13" s="7">
        <f>(C13*0.3+D13*0.25+E13*0.2+F13*0.15-G13*0.1)*20</f>
        <v/>
      </c>
    </row>
    <row r="14" ht="15" customHeight="1" s="5">
      <c r="A14" s="7" t="inlineStr">
        <is>
          <t>PRJ005</t>
        </is>
      </c>
      <c r="B14" s="7">
        <f>IFERROR(VLOOKUP(A14,Projects!$A:$AK,2,FALSE()),"")</f>
        <v/>
      </c>
      <c r="C14" s="7" t="n">
        <v>3</v>
      </c>
      <c r="D14" s="7" t="n">
        <v>4</v>
      </c>
      <c r="E14" s="7" t="n">
        <v>2</v>
      </c>
      <c r="F14" s="7" t="n">
        <v>3</v>
      </c>
      <c r="G14" s="7" t="n">
        <v>1</v>
      </c>
      <c r="H14" s="7">
        <f>(C14*0.3+D14*0.25+E14*0.2+F14*0.15-G14*0.1)*20</f>
        <v/>
      </c>
    </row>
    <row r="15" ht="15" customHeight="1" s="5">
      <c r="A15" s="7" t="inlineStr">
        <is>
          <t>PRJ026</t>
        </is>
      </c>
      <c r="B15" s="7">
        <f>IFERROR(VLOOKUP(A15,Projects!$A:$AK,2,FALSE()),"")</f>
        <v/>
      </c>
      <c r="C15" s="7" t="n">
        <v>5</v>
      </c>
      <c r="D15" s="7" t="n">
        <v>2</v>
      </c>
      <c r="E15" s="7" t="n">
        <v>5</v>
      </c>
      <c r="F15" s="7" t="n">
        <v>1</v>
      </c>
      <c r="G15" s="7" t="n">
        <v>5</v>
      </c>
      <c r="H15" s="7">
        <f>(C15*0.3+D15*0.25+E15*0.2+F15*0.15-G15*0.1)*20</f>
        <v/>
      </c>
    </row>
    <row r="16" ht="15" customHeight="1" s="5">
      <c r="A16" s="7" t="inlineStr">
        <is>
          <t>PRJ028</t>
        </is>
      </c>
      <c r="B16" s="7">
        <f>IFERROR(VLOOKUP(A16,Projects!$A:$AK,2,FALSE()),"")</f>
        <v/>
      </c>
      <c r="C16" s="7" t="n">
        <v>2</v>
      </c>
      <c r="D16" s="7" t="n">
        <v>3</v>
      </c>
      <c r="E16" s="7" t="n">
        <v>3</v>
      </c>
      <c r="F16" s="7" t="n">
        <v>5</v>
      </c>
      <c r="G16" s="7" t="n">
        <v>1</v>
      </c>
      <c r="H16" s="7">
        <f>(C16*0.3+D16*0.25+E16*0.2+F16*0.15-G16*0.1)*20</f>
        <v/>
      </c>
    </row>
    <row r="17" ht="15" customHeight="1" s="5">
      <c r="A17" s="7" t="inlineStr">
        <is>
          <t>PRJ038</t>
        </is>
      </c>
      <c r="B17" s="7">
        <f>IFERROR(VLOOKUP(A17,Projects!$A:$AK,2,FALSE()),"")</f>
        <v/>
      </c>
      <c r="C17" s="7" t="n">
        <v>4</v>
      </c>
      <c r="D17" s="7" t="n">
        <v>2</v>
      </c>
      <c r="E17" s="7" t="n">
        <v>3</v>
      </c>
      <c r="F17" s="7" t="n">
        <v>3</v>
      </c>
      <c r="G17" s="7" t="n">
        <v>2</v>
      </c>
      <c r="H17" s="7">
        <f>(C17*0.3+D17*0.25+E17*0.2+F17*0.15-G17*0.1)*20</f>
        <v/>
      </c>
    </row>
    <row r="18" ht="15" customHeight="1" s="5">
      <c r="A18" s="7" t="inlineStr">
        <is>
          <t>PRJ033</t>
        </is>
      </c>
      <c r="B18" s="7">
        <f>IFERROR(VLOOKUP(A18,Projects!$A:$AK,2,FALSE()),"")</f>
        <v/>
      </c>
      <c r="C18" s="7" t="n">
        <v>3</v>
      </c>
      <c r="D18" s="7" t="n">
        <v>1</v>
      </c>
      <c r="E18" s="7" t="n">
        <v>5</v>
      </c>
      <c r="F18" s="7" t="n">
        <v>3</v>
      </c>
      <c r="G18" s="7" t="n">
        <v>2</v>
      </c>
      <c r="H18" s="7">
        <f>(C18*0.3+D18*0.25+E18*0.2+F18*0.15-G18*0.1)*20</f>
        <v/>
      </c>
    </row>
    <row r="19" ht="15" customHeight="1" s="5">
      <c r="A19" s="7" t="inlineStr">
        <is>
          <t>PRJ009</t>
        </is>
      </c>
      <c r="B19" s="7">
        <f>IFERROR(VLOOKUP(A19,Projects!$A:$AK,2,FALSE()),"")</f>
        <v/>
      </c>
      <c r="C19" s="7" t="n">
        <v>3</v>
      </c>
      <c r="D19" s="7" t="n">
        <v>3</v>
      </c>
      <c r="E19" s="7" t="n">
        <v>3</v>
      </c>
      <c r="F19" s="7" t="n">
        <v>1</v>
      </c>
      <c r="G19" s="7" t="n">
        <v>1</v>
      </c>
      <c r="H19" s="7">
        <f>(C19*0.3+D19*0.25+E19*0.2+F19*0.15-G19*0.1)*20</f>
        <v/>
      </c>
    </row>
    <row r="20" ht="15" customHeight="1" s="5">
      <c r="A20" s="7" t="inlineStr">
        <is>
          <t>PRJ023</t>
        </is>
      </c>
      <c r="B20" s="7">
        <f>IFERROR(VLOOKUP(A20,Projects!$A:$AK,2,FALSE()),"")</f>
        <v/>
      </c>
      <c r="C20" s="7" t="n">
        <v>5</v>
      </c>
      <c r="D20" s="7" t="n">
        <v>1</v>
      </c>
      <c r="E20" s="7" t="n">
        <v>2</v>
      </c>
      <c r="F20" s="7" t="n">
        <v>4</v>
      </c>
      <c r="G20" s="7" t="n">
        <v>5</v>
      </c>
      <c r="H20" s="7">
        <f>(C20*0.3+D20*0.25+E20*0.2+F20*0.15-G20*0.1)*20</f>
        <v/>
      </c>
    </row>
    <row r="21" ht="15" customHeight="1" s="5">
      <c r="A21" s="7" t="inlineStr">
        <is>
          <t>PRJ010</t>
        </is>
      </c>
      <c r="B21" s="7">
        <f>IFERROR(VLOOKUP(A21,Projects!$A:$AK,2,FALSE()),"")</f>
        <v/>
      </c>
      <c r="C21" s="7" t="n">
        <v>1</v>
      </c>
      <c r="D21" s="7" t="n">
        <v>5</v>
      </c>
      <c r="E21" s="7" t="n">
        <v>2</v>
      </c>
      <c r="F21" s="7" t="n">
        <v>3</v>
      </c>
      <c r="G21" s="7" t="n">
        <v>3</v>
      </c>
      <c r="H21" s="7">
        <f>(C21*0.3+D21*0.25+E21*0.2+F21*0.15-G21*0.1)*20</f>
        <v/>
      </c>
    </row>
    <row r="22" ht="15" customHeight="1" s="5">
      <c r="A22" s="7" t="inlineStr">
        <is>
          <t>PRJ012</t>
        </is>
      </c>
      <c r="B22" s="7">
        <f>IFERROR(VLOOKUP(A22,Projects!$A:$AK,2,FALSE()),"")</f>
        <v/>
      </c>
      <c r="C22" s="7" t="n">
        <v>2</v>
      </c>
      <c r="D22" s="7" t="n">
        <v>3</v>
      </c>
      <c r="E22" s="7" t="n">
        <v>2</v>
      </c>
      <c r="F22" s="7" t="n">
        <v>5</v>
      </c>
      <c r="G22" s="7" t="n">
        <v>4</v>
      </c>
      <c r="H22" s="7">
        <f>(C22*0.3+D22*0.25+E22*0.2+F22*0.15-G22*0.1)*20</f>
        <v/>
      </c>
    </row>
    <row r="23" ht="15" customHeight="1" s="5">
      <c r="A23" s="7" t="inlineStr">
        <is>
          <t>PRJ007</t>
        </is>
      </c>
      <c r="B23" s="7">
        <f>IFERROR(VLOOKUP(A23,Projects!$A:$AK,2,FALSE()),"")</f>
        <v/>
      </c>
      <c r="C23" s="7" t="n">
        <v>2</v>
      </c>
      <c r="D23" s="7" t="n">
        <v>3</v>
      </c>
      <c r="E23" s="7" t="n">
        <v>4</v>
      </c>
      <c r="F23" s="7" t="n">
        <v>3</v>
      </c>
      <c r="G23" s="7" t="n">
        <v>5</v>
      </c>
      <c r="H23" s="7">
        <f>(C23*0.3+D23*0.25+E23*0.2+F23*0.15-G23*0.1)*20</f>
        <v/>
      </c>
    </row>
    <row r="24" ht="15" customHeight="1" s="5">
      <c r="A24" s="7" t="inlineStr">
        <is>
          <t>PRJ015</t>
        </is>
      </c>
      <c r="B24" s="7">
        <f>IFERROR(VLOOKUP(A24,Projects!$A:$AK,2,FALSE()),"")</f>
        <v/>
      </c>
      <c r="C24" s="7" t="n">
        <v>1</v>
      </c>
      <c r="D24" s="7" t="n">
        <v>1</v>
      </c>
      <c r="E24" s="7" t="n">
        <v>5</v>
      </c>
      <c r="F24" s="7" t="n">
        <v>5</v>
      </c>
      <c r="G24" s="7" t="n">
        <v>3</v>
      </c>
      <c r="H24" s="7">
        <f>(C24*0.3+D24*0.25+E24*0.2+F24*0.15-G24*0.1)*20</f>
        <v/>
      </c>
    </row>
    <row r="25" ht="15" customHeight="1" s="5">
      <c r="A25" s="7" t="inlineStr">
        <is>
          <t>PRJ004</t>
        </is>
      </c>
      <c r="B25" s="7">
        <f>IFERROR(VLOOKUP(A25,Projects!$A:$AK,2,FALSE()),"")</f>
        <v/>
      </c>
      <c r="C25" s="7" t="n">
        <v>3</v>
      </c>
      <c r="D25" s="7" t="n">
        <v>1</v>
      </c>
      <c r="E25" s="7" t="n">
        <v>3</v>
      </c>
      <c r="F25" s="7" t="n">
        <v>3</v>
      </c>
      <c r="G25" s="7" t="n">
        <v>3</v>
      </c>
      <c r="H25" s="7">
        <f>(C25*0.3+D25*0.25+E25*0.2+F25*0.15-G25*0.1)*20</f>
        <v/>
      </c>
    </row>
    <row r="26" ht="15" customHeight="1" s="5">
      <c r="A26" s="7" t="inlineStr">
        <is>
          <t>PRJ029</t>
        </is>
      </c>
      <c r="B26" s="7">
        <f>IFERROR(VLOOKUP(A26,Projects!$A:$AK,2,FALSE()),"")</f>
        <v/>
      </c>
      <c r="C26" s="7" t="n">
        <v>2</v>
      </c>
      <c r="D26" s="7" t="n">
        <v>2</v>
      </c>
      <c r="E26" s="7" t="n">
        <v>1</v>
      </c>
      <c r="F26" s="7" t="n">
        <v>5</v>
      </c>
      <c r="G26" s="7" t="n">
        <v>2</v>
      </c>
      <c r="H26" s="7">
        <f>(C26*0.3+D26*0.25+E26*0.2+F26*0.15-G26*0.1)*20</f>
        <v/>
      </c>
    </row>
    <row r="27" ht="15" customHeight="1" s="5">
      <c r="A27" s="7" t="inlineStr">
        <is>
          <t>PRJ014</t>
        </is>
      </c>
      <c r="B27" s="7">
        <f>IFERROR(VLOOKUP(A27,Projects!$A:$AK,2,FALSE()),"")</f>
        <v/>
      </c>
      <c r="C27" s="7" t="n">
        <v>1</v>
      </c>
      <c r="D27" s="7" t="n">
        <v>5</v>
      </c>
      <c r="E27" s="7" t="n">
        <v>2</v>
      </c>
      <c r="F27" s="7" t="n">
        <v>2</v>
      </c>
      <c r="G27" s="7" t="n">
        <v>4</v>
      </c>
      <c r="H27" s="7">
        <f>(C27*0.3+D27*0.25+E27*0.2+F27*0.15-G27*0.1)*20</f>
        <v/>
      </c>
    </row>
    <row r="28" ht="15" customHeight="1" s="5">
      <c r="A28" s="7" t="inlineStr">
        <is>
          <t>PRJ002</t>
        </is>
      </c>
      <c r="B28" s="7">
        <f>IFERROR(VLOOKUP(A28,Projects!$A:$AK,2,FALSE()),"")</f>
        <v/>
      </c>
      <c r="C28" s="7" t="n">
        <v>3</v>
      </c>
      <c r="D28" s="7" t="n">
        <v>2</v>
      </c>
      <c r="E28" s="7" t="n">
        <v>2</v>
      </c>
      <c r="F28" s="7" t="n">
        <v>3</v>
      </c>
      <c r="G28" s="7" t="n">
        <v>4</v>
      </c>
      <c r="H28" s="7">
        <f>(C28*0.3+D28*0.25+E28*0.2+F28*0.15-G28*0.1)*20</f>
        <v/>
      </c>
    </row>
    <row r="29" ht="15" customHeight="1" s="5">
      <c r="A29" s="7" t="inlineStr">
        <is>
          <t>PRJ030</t>
        </is>
      </c>
      <c r="B29" s="7">
        <f>IFERROR(VLOOKUP(A29,Projects!$A:$AK,2,FALSE()),"")</f>
        <v/>
      </c>
      <c r="C29" s="7" t="n">
        <v>3</v>
      </c>
      <c r="D29" s="7" t="n">
        <v>1</v>
      </c>
      <c r="E29" s="7" t="n">
        <v>2</v>
      </c>
      <c r="F29" s="7" t="n">
        <v>3</v>
      </c>
      <c r="G29" s="7" t="n">
        <v>2</v>
      </c>
      <c r="H29" s="7">
        <f>(C29*0.3+D29*0.25+E29*0.2+F29*0.15-G29*0.1)*20</f>
        <v/>
      </c>
    </row>
    <row r="30" ht="15" customHeight="1" s="5">
      <c r="A30" s="7" t="inlineStr">
        <is>
          <t>PRJ008</t>
        </is>
      </c>
      <c r="B30" s="7">
        <f>IFERROR(VLOOKUP(A30,Projects!$A:$AK,2,FALSE()),"")</f>
        <v/>
      </c>
      <c r="C30" s="7" t="n">
        <v>1</v>
      </c>
      <c r="D30" s="7" t="n">
        <v>4</v>
      </c>
      <c r="E30" s="7" t="n">
        <v>2</v>
      </c>
      <c r="F30" s="7" t="n">
        <v>3</v>
      </c>
      <c r="G30" s="7" t="n">
        <v>4</v>
      </c>
      <c r="H30" s="7">
        <f>(C30*0.3+D30*0.25+E30*0.2+F30*0.15-G30*0.1)*20</f>
        <v/>
      </c>
    </row>
    <row r="31" ht="15" customHeight="1" s="5">
      <c r="A31" s="7" t="inlineStr">
        <is>
          <t>PRJ025</t>
        </is>
      </c>
      <c r="B31" s="7">
        <f>IFERROR(VLOOKUP(A31,Projects!$A:$AK,2,FALSE()),"")</f>
        <v/>
      </c>
      <c r="C31" s="7" t="n">
        <v>3</v>
      </c>
      <c r="D31" s="7" t="n">
        <v>2</v>
      </c>
      <c r="E31" s="7" t="n">
        <v>2</v>
      </c>
      <c r="F31" s="7" t="n">
        <v>1</v>
      </c>
      <c r="G31" s="7" t="n">
        <v>2</v>
      </c>
      <c r="H31" s="7">
        <f>(C31*0.3+D31*0.25+E31*0.2+F31*0.15-G31*0.1)*20</f>
        <v/>
      </c>
    </row>
    <row r="32" ht="15" customHeight="1" s="5">
      <c r="A32" s="7" t="inlineStr">
        <is>
          <t>PRJ022</t>
        </is>
      </c>
      <c r="B32" s="7">
        <f>IFERROR(VLOOKUP(A32,Projects!$A:$AK,2,FALSE()),"")</f>
        <v/>
      </c>
      <c r="C32" s="7" t="n">
        <v>1</v>
      </c>
      <c r="D32" s="7" t="n">
        <v>2</v>
      </c>
      <c r="E32" s="7" t="n">
        <v>4</v>
      </c>
      <c r="F32" s="7" t="n">
        <v>4</v>
      </c>
      <c r="G32" s="7" t="n">
        <v>5</v>
      </c>
      <c r="H32" s="7">
        <f>(C32*0.3+D32*0.25+E32*0.2+F32*0.15-G32*0.1)*20</f>
        <v/>
      </c>
    </row>
    <row r="33" ht="15" customHeight="1" s="5">
      <c r="A33" s="7" t="inlineStr">
        <is>
          <t>PRJ035</t>
        </is>
      </c>
      <c r="B33" s="7">
        <f>IFERROR(VLOOKUP(A33,Projects!$A:$AK,2,FALSE()),"")</f>
        <v/>
      </c>
      <c r="C33" s="7" t="n">
        <v>1</v>
      </c>
      <c r="D33" s="7" t="n">
        <v>3</v>
      </c>
      <c r="E33" s="7" t="n">
        <v>2</v>
      </c>
      <c r="F33" s="7" t="n">
        <v>3</v>
      </c>
      <c r="G33" s="7" t="n">
        <v>2</v>
      </c>
      <c r="H33" s="7">
        <f>(C33*0.3+D33*0.25+E33*0.2+F33*0.15-G33*0.1)*20</f>
        <v/>
      </c>
    </row>
    <row r="34" ht="15" customHeight="1" s="5">
      <c r="A34" s="7" t="inlineStr">
        <is>
          <t>PRJ019</t>
        </is>
      </c>
      <c r="B34" s="7">
        <f>IFERROR(VLOOKUP(A34,Projects!$A:$AK,2,FALSE()),"")</f>
        <v/>
      </c>
      <c r="C34" s="7" t="n">
        <v>1</v>
      </c>
      <c r="D34" s="7" t="n">
        <v>4</v>
      </c>
      <c r="E34" s="7" t="n">
        <v>1</v>
      </c>
      <c r="F34" s="7" t="n">
        <v>4</v>
      </c>
      <c r="G34" s="7" t="n">
        <v>4</v>
      </c>
      <c r="H34" s="7">
        <f>(C34*0.3+D34*0.25+E34*0.2+F34*0.15-G34*0.1)*20</f>
        <v/>
      </c>
    </row>
    <row r="35" ht="15" customHeight="1" s="5">
      <c r="A35" s="7" t="inlineStr">
        <is>
          <t>PRJ021</t>
        </is>
      </c>
      <c r="B35" s="7">
        <f>IFERROR(VLOOKUP(A35,Projects!$A:$AK,2,FALSE()),"")</f>
        <v/>
      </c>
      <c r="C35" s="7" t="n">
        <v>3</v>
      </c>
      <c r="D35" s="7" t="n">
        <v>2</v>
      </c>
      <c r="E35" s="7" t="n">
        <v>3</v>
      </c>
      <c r="F35" s="7" t="n">
        <v>1</v>
      </c>
      <c r="G35" s="7" t="n">
        <v>5</v>
      </c>
      <c r="H35" s="7">
        <f>(C35*0.3+D35*0.25+E35*0.2+F35*0.15-G35*0.1)*20</f>
        <v/>
      </c>
    </row>
    <row r="36" ht="15" customHeight="1" s="5">
      <c r="A36" s="7" t="inlineStr">
        <is>
          <t>PRJ032</t>
        </is>
      </c>
      <c r="B36" s="7">
        <f>IFERROR(VLOOKUP(A36,Projects!$A:$AK,2,FALSE()),"")</f>
        <v/>
      </c>
      <c r="C36" s="7" t="n">
        <v>1</v>
      </c>
      <c r="D36" s="7" t="n">
        <v>1</v>
      </c>
      <c r="E36" s="7" t="n">
        <v>3</v>
      </c>
      <c r="F36" s="7" t="n">
        <v>5</v>
      </c>
      <c r="G36" s="7" t="n">
        <v>3</v>
      </c>
      <c r="H36" s="7">
        <f>(C36*0.3+D36*0.25+E36*0.2+F36*0.15-G36*0.1)*20</f>
        <v/>
      </c>
    </row>
    <row r="37" ht="15" customHeight="1" s="5">
      <c r="A37" s="7" t="inlineStr">
        <is>
          <t>PRJ013</t>
        </is>
      </c>
      <c r="B37" s="7">
        <f>IFERROR(VLOOKUP(A37,Projects!$A:$AK,2,FALSE()),"")</f>
        <v/>
      </c>
      <c r="C37" s="7" t="n">
        <v>1</v>
      </c>
      <c r="D37" s="7" t="n">
        <v>1</v>
      </c>
      <c r="E37" s="7" t="n">
        <v>2</v>
      </c>
      <c r="F37" s="7" t="n">
        <v>5</v>
      </c>
      <c r="G37" s="7" t="n">
        <v>1</v>
      </c>
      <c r="H37" s="7">
        <f>(C37*0.3+D37*0.25+E37*0.2+F37*0.15-G37*0.1)*20</f>
        <v/>
      </c>
    </row>
    <row r="38" ht="15" customHeight="1" s="5">
      <c r="A38" s="7" t="inlineStr">
        <is>
          <t>PRJ001</t>
        </is>
      </c>
      <c r="B38" s="7">
        <f>IFERROR(VLOOKUP(A38,Projects!$A:$AK,2,FALSE()),"")</f>
        <v/>
      </c>
      <c r="C38" s="7" t="n">
        <v>1</v>
      </c>
      <c r="D38" s="7" t="n">
        <v>1</v>
      </c>
      <c r="E38" s="7" t="n">
        <v>4</v>
      </c>
      <c r="F38" s="7" t="n">
        <v>4</v>
      </c>
      <c r="G38" s="7" t="n">
        <v>5</v>
      </c>
      <c r="H38" s="7">
        <f>(C38*0.3+D38*0.25+E38*0.2+F38*0.15-G38*0.1)*20</f>
        <v/>
      </c>
    </row>
    <row r="39" ht="15" customHeight="1" s="5">
      <c r="A39" s="7" t="inlineStr">
        <is>
          <t>PRJ031</t>
        </is>
      </c>
      <c r="B39" s="7">
        <f>IFERROR(VLOOKUP(A39,Projects!$A:$AK,2,FALSE()),"")</f>
        <v/>
      </c>
      <c r="C39" s="7" t="n">
        <v>3</v>
      </c>
      <c r="D39" s="7" t="n">
        <v>1</v>
      </c>
      <c r="E39" s="7" t="n">
        <v>2</v>
      </c>
      <c r="F39" s="7" t="n">
        <v>2</v>
      </c>
      <c r="G39" s="7" t="n">
        <v>5</v>
      </c>
      <c r="H39" s="7">
        <f>(C39*0.3+D39*0.25+E39*0.2+F39*0.15-G39*0.1)*20</f>
        <v/>
      </c>
    </row>
    <row r="40" ht="15" customHeight="1" s="5">
      <c r="A40" s="7" t="inlineStr">
        <is>
          <t>PRJ017</t>
        </is>
      </c>
      <c r="B40" s="7">
        <f>IFERROR(VLOOKUP(A40,Projects!$A:$AK,2,FALSE()),"")</f>
        <v/>
      </c>
      <c r="C40" s="7" t="n">
        <v>1</v>
      </c>
      <c r="D40" s="7" t="n">
        <v>2</v>
      </c>
      <c r="E40" s="7" t="n">
        <v>2</v>
      </c>
      <c r="F40" s="7" t="n">
        <v>4</v>
      </c>
      <c r="G40" s="7" t="n">
        <v>5</v>
      </c>
      <c r="H40" s="7">
        <f>(C40*0.3+D40*0.25+E40*0.2+F40*0.15-G40*0.1)*20</f>
        <v/>
      </c>
    </row>
    <row r="41" ht="15" customHeight="1" s="5">
      <c r="A41" s="7" t="inlineStr">
        <is>
          <t>PRJ006</t>
        </is>
      </c>
      <c r="B41" s="7">
        <f>IFERROR(VLOOKUP(A41,Projects!$A:$AK,2,FALSE()),"")</f>
        <v/>
      </c>
      <c r="C41" s="7" t="n">
        <v>2</v>
      </c>
      <c r="D41" s="7" t="n">
        <v>1</v>
      </c>
      <c r="E41" s="7" t="n">
        <v>1</v>
      </c>
      <c r="F41" s="7" t="n">
        <v>1</v>
      </c>
      <c r="G41" s="7" t="n">
        <v>3</v>
      </c>
      <c r="H41" s="7">
        <f>(C41*0.3+D41*0.25+E41*0.2+F41*0.15-G41*0.1)*20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D1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Category</t>
        </is>
      </c>
      <c r="B1" s="6" t="inlineStr">
        <is>
          <t>Value</t>
        </is>
      </c>
      <c r="C1" s="6" t="inlineStr">
        <is>
          <t>Display Order</t>
        </is>
      </c>
      <c r="D1" s="6" t="inlineStr">
        <is>
          <t>Active</t>
        </is>
      </c>
    </row>
    <row r="2" ht="15" customHeight="1" s="5">
      <c r="A2" s="7" t="inlineStr">
        <is>
          <t>Status</t>
        </is>
      </c>
      <c r="B2" s="7" t="inlineStr">
        <is>
          <t>Active</t>
        </is>
      </c>
      <c r="C2" s="7" t="n">
        <v>1</v>
      </c>
      <c r="D2" s="7">
        <f>TRUE()</f>
        <v/>
      </c>
    </row>
    <row r="3" ht="15" customHeight="1" s="5">
      <c r="A3" s="7" t="inlineStr">
        <is>
          <t>Status</t>
        </is>
      </c>
      <c r="B3" s="7" t="inlineStr">
        <is>
          <t>Active</t>
        </is>
      </c>
      <c r="C3" s="7" t="n">
        <v>2</v>
      </c>
      <c r="D3" s="7">
        <f>TRUE()</f>
        <v/>
      </c>
    </row>
    <row r="4" ht="15" customHeight="1" s="5">
      <c r="A4" s="7" t="inlineStr">
        <is>
          <t>Status</t>
        </is>
      </c>
      <c r="B4" s="7" t="inlineStr">
        <is>
          <t>Active</t>
        </is>
      </c>
      <c r="C4" s="7" t="n">
        <v>3</v>
      </c>
      <c r="D4" s="7">
        <f>TRUE()</f>
        <v/>
      </c>
    </row>
    <row r="5" ht="15" customHeight="1" s="5">
      <c r="A5" s="7" t="inlineStr">
        <is>
          <t>Status</t>
        </is>
      </c>
      <c r="B5" s="7" t="inlineStr">
        <is>
          <t>Completed</t>
        </is>
      </c>
      <c r="C5" s="7" t="n">
        <v>4</v>
      </c>
      <c r="D5" s="7">
        <f>TRUE()</f>
        <v/>
      </c>
    </row>
    <row r="6" ht="15" customHeight="1" s="5">
      <c r="A6" s="7" t="inlineStr">
        <is>
          <t>Status</t>
        </is>
      </c>
      <c r="B6" s="7" t="inlineStr">
        <is>
          <t>Pipeline</t>
        </is>
      </c>
      <c r="C6" s="7" t="n">
        <v>5</v>
      </c>
      <c r="D6" s="7">
        <f>TRUE()</f>
        <v/>
      </c>
    </row>
    <row r="7" ht="15" customHeight="1" s="5">
      <c r="A7" s="7" t="inlineStr">
        <is>
          <t>Status</t>
        </is>
      </c>
      <c r="B7" s="7" t="inlineStr">
        <is>
          <t>On Hold</t>
        </is>
      </c>
      <c r="C7" s="7" t="n">
        <v>6</v>
      </c>
      <c r="D7" s="7">
        <f>TRUE()</f>
        <v/>
      </c>
    </row>
    <row r="8" ht="15" customHeight="1" s="5">
      <c r="A8" s="7" t="inlineStr">
        <is>
          <t>Status</t>
        </is>
      </c>
      <c r="B8" s="7" t="inlineStr">
        <is>
          <t>Cancelled</t>
        </is>
      </c>
      <c r="C8" s="7" t="n">
        <v>7</v>
      </c>
      <c r="D8" s="7">
        <f>TRUE()</f>
        <v/>
      </c>
    </row>
    <row r="9" ht="15" customHeight="1" s="5">
      <c r="A9" s="7" t="inlineStr">
        <is>
          <t>RAG</t>
        </is>
      </c>
      <c r="B9" s="7" t="inlineStr">
        <is>
          <t>Green</t>
        </is>
      </c>
      <c r="C9" s="7" t="n">
        <v>1</v>
      </c>
      <c r="D9" s="7">
        <f>TRUE()</f>
        <v/>
      </c>
    </row>
    <row r="10" ht="15" customHeight="1" s="5">
      <c r="A10" s="7" t="inlineStr">
        <is>
          <t>RAG</t>
        </is>
      </c>
      <c r="B10" s="7" t="inlineStr">
        <is>
          <t>Amber</t>
        </is>
      </c>
      <c r="C10" s="7" t="n">
        <v>2</v>
      </c>
      <c r="D10" s="7">
        <f>TRUE()</f>
        <v/>
      </c>
    </row>
    <row r="11" ht="15" customHeight="1" s="5">
      <c r="A11" s="7" t="inlineStr">
        <is>
          <t>RAG</t>
        </is>
      </c>
      <c r="B11" s="7" t="inlineStr">
        <is>
          <t>Red</t>
        </is>
      </c>
      <c r="C11" s="7" t="n">
        <v>3</v>
      </c>
      <c r="D11" s="7">
        <f>TRUE()</f>
        <v/>
      </c>
    </row>
    <row r="12" ht="15" customHeight="1" s="5">
      <c r="A12" s="7" t="inlineStr">
        <is>
          <t>Priority</t>
        </is>
      </c>
      <c r="B12" s="7" t="inlineStr">
        <is>
          <t>P1 - Critical</t>
        </is>
      </c>
      <c r="C12" s="7" t="n">
        <v>1</v>
      </c>
      <c r="D12" s="7">
        <f>TRUE()</f>
        <v/>
      </c>
    </row>
    <row r="13" ht="15" customHeight="1" s="5">
      <c r="A13" s="7" t="inlineStr">
        <is>
          <t>Priority</t>
        </is>
      </c>
      <c r="B13" s="7" t="inlineStr">
        <is>
          <t>P2 - High</t>
        </is>
      </c>
      <c r="C13" s="7" t="n">
        <v>2</v>
      </c>
      <c r="D13" s="7">
        <f>TRUE()</f>
        <v/>
      </c>
    </row>
    <row r="14" ht="15" customHeight="1" s="5">
      <c r="A14" s="7" t="inlineStr">
        <is>
          <t>Priority</t>
        </is>
      </c>
      <c r="B14" s="7" t="inlineStr">
        <is>
          <t>P3 - Medium</t>
        </is>
      </c>
      <c r="C14" s="7" t="n">
        <v>3</v>
      </c>
      <c r="D14" s="7">
        <f>TRUE()</f>
        <v/>
      </c>
    </row>
    <row r="15" ht="15" customHeight="1" s="5">
      <c r="A15" s="7" t="inlineStr">
        <is>
          <t>Priority</t>
        </is>
      </c>
      <c r="B15" s="7" t="inlineStr">
        <is>
          <t>P4 - Low</t>
        </is>
      </c>
      <c r="C15" s="7" t="n">
        <v>4</v>
      </c>
      <c r="D15" s="7">
        <f>TRUE()</f>
        <v/>
      </c>
    </row>
    <row r="16" ht="15" customHeight="1" s="5">
      <c r="A16" s="7" t="inlineStr">
        <is>
          <t>Investment Type</t>
        </is>
      </c>
      <c r="B16" s="7" t="inlineStr">
        <is>
          <t>Run</t>
        </is>
      </c>
      <c r="C16" s="7" t="n">
        <v>1</v>
      </c>
      <c r="D16" s="7">
        <f>TRUE()</f>
        <v/>
      </c>
    </row>
    <row r="17" ht="15" customHeight="1" s="5">
      <c r="A17" s="7" t="inlineStr">
        <is>
          <t>Investment Type</t>
        </is>
      </c>
      <c r="B17" s="7" t="inlineStr">
        <is>
          <t>Grow</t>
        </is>
      </c>
      <c r="C17" s="7" t="n">
        <v>2</v>
      </c>
      <c r="D17" s="7">
        <f>TRUE()</f>
        <v/>
      </c>
    </row>
    <row r="18" ht="15" customHeight="1" s="5">
      <c r="A18" s="7" t="inlineStr">
        <is>
          <t>Investment Type</t>
        </is>
      </c>
      <c r="B18" s="7" t="inlineStr">
        <is>
          <t>Transform</t>
        </is>
      </c>
      <c r="C18" s="7" t="n">
        <v>3</v>
      </c>
      <c r="D18" s="7">
        <f>TRUE()</f>
        <v/>
      </c>
    </row>
    <row r="19" ht="15" customHeight="1" s="5">
      <c r="A19" s="7" t="inlineStr">
        <is>
          <t>Delivery Method</t>
        </is>
      </c>
      <c r="B19" s="7" t="inlineStr">
        <is>
          <t>Waterfall</t>
        </is>
      </c>
      <c r="C19" s="7" t="n">
        <v>1</v>
      </c>
      <c r="D19" s="7">
        <f>TRUE()</f>
        <v/>
      </c>
    </row>
    <row r="20" ht="15" customHeight="1" s="5">
      <c r="A20" s="7" t="inlineStr">
        <is>
          <t>Delivery Method</t>
        </is>
      </c>
      <c r="B20" s="7" t="inlineStr">
        <is>
          <t>Agile</t>
        </is>
      </c>
      <c r="C20" s="7" t="n">
        <v>2</v>
      </c>
      <c r="D20" s="7">
        <f>TRUE()</f>
        <v/>
      </c>
    </row>
    <row r="21" ht="15" customHeight="1" s="5">
      <c r="A21" s="7" t="inlineStr">
        <is>
          <t>Delivery Method</t>
        </is>
      </c>
      <c r="B21" s="7" t="inlineStr">
        <is>
          <t>Hybrid</t>
        </is>
      </c>
      <c r="C21" s="7" t="n">
        <v>3</v>
      </c>
      <c r="D21" s="7">
        <f>TRUE()</f>
        <v/>
      </c>
    </row>
    <row r="22" ht="15" customHeight="1" s="5">
      <c r="A22" s="7" t="inlineStr">
        <is>
          <t>Funding Type</t>
        </is>
      </c>
      <c r="B22" s="7" t="inlineStr">
        <is>
          <t>CAPEX</t>
        </is>
      </c>
      <c r="C22" s="7" t="n">
        <v>1</v>
      </c>
      <c r="D22" s="7">
        <f>TRUE()</f>
        <v/>
      </c>
    </row>
    <row r="23" ht="15" customHeight="1" s="5">
      <c r="A23" s="7" t="inlineStr">
        <is>
          <t>Funding Type</t>
        </is>
      </c>
      <c r="B23" s="7" t="inlineStr">
        <is>
          <t>OPEX</t>
        </is>
      </c>
      <c r="C23" s="7" t="n">
        <v>2</v>
      </c>
      <c r="D23" s="7">
        <f>TRUE()</f>
        <v/>
      </c>
    </row>
    <row r="24" ht="15" customHeight="1" s="5">
      <c r="A24" s="7" t="inlineStr">
        <is>
          <t>Funding Type</t>
        </is>
      </c>
      <c r="B24" s="7" t="inlineStr">
        <is>
          <t>Mixed</t>
        </is>
      </c>
      <c r="C24" s="7" t="n">
        <v>3</v>
      </c>
      <c r="D24" s="7">
        <f>TRUE()</f>
        <v/>
      </c>
    </row>
    <row r="25" ht="15" customHeight="1" s="5">
      <c r="A25" s="7" t="inlineStr">
        <is>
          <t>Funding Type</t>
        </is>
      </c>
      <c r="B25" s="7" t="inlineStr">
        <is>
          <t>Unfunded</t>
        </is>
      </c>
      <c r="C25" s="7" t="n">
        <v>4</v>
      </c>
      <c r="D25" s="7">
        <f>TRUE()</f>
        <v/>
      </c>
    </row>
    <row r="26" ht="15" customHeight="1" s="5">
      <c r="A26" s="7" t="inlineStr">
        <is>
          <t>Portfolio Category</t>
        </is>
      </c>
      <c r="B26" s="7" t="inlineStr">
        <is>
          <t>Business Strategic</t>
        </is>
      </c>
      <c r="C26" s="7" t="n">
        <v>1</v>
      </c>
      <c r="D26" s="7">
        <f>TRUE()</f>
        <v/>
      </c>
    </row>
    <row r="27" ht="15" customHeight="1" s="5">
      <c r="A27" s="7" t="inlineStr">
        <is>
          <t>Portfolio Category</t>
        </is>
      </c>
      <c r="B27" s="7" t="inlineStr">
        <is>
          <t>IT Strategic</t>
        </is>
      </c>
      <c r="C27" s="7" t="n">
        <v>2</v>
      </c>
      <c r="D27" s="7">
        <f>TRUE()</f>
        <v/>
      </c>
    </row>
    <row r="28" ht="15" customHeight="1" s="5">
      <c r="A28" s="7" t="inlineStr">
        <is>
          <t>Portfolio Category</t>
        </is>
      </c>
      <c r="B28" s="7" t="inlineStr">
        <is>
          <t>CAPEX</t>
        </is>
      </c>
      <c r="C28" s="7" t="n">
        <v>3</v>
      </c>
      <c r="D28" s="7">
        <f>TRUE()</f>
        <v/>
      </c>
    </row>
    <row r="29" ht="15" customHeight="1" s="5">
      <c r="A29" s="7" t="inlineStr">
        <is>
          <t>Portfolio Category</t>
        </is>
      </c>
      <c r="B29" s="7" t="inlineStr">
        <is>
          <t>Unfunded</t>
        </is>
      </c>
      <c r="C29" s="7" t="n">
        <v>4</v>
      </c>
      <c r="D29" s="7">
        <f>TRUE()</f>
        <v/>
      </c>
    </row>
    <row r="30" ht="15" customHeight="1" s="5">
      <c r="A30" s="7" t="inlineStr">
        <is>
          <t>Governance Channel</t>
        </is>
      </c>
      <c r="B30" s="7" t="inlineStr">
        <is>
          <t>Channel A (&lt;$200K)</t>
        </is>
      </c>
      <c r="C30" s="7" t="n">
        <v>1</v>
      </c>
      <c r="D30" s="7">
        <f>TRUE()</f>
        <v/>
      </c>
    </row>
    <row r="31" ht="15" customHeight="1" s="5">
      <c r="A31" s="7" t="inlineStr">
        <is>
          <t>Governance Channel</t>
        </is>
      </c>
      <c r="B31" s="7" t="inlineStr">
        <is>
          <t>Channel B (&gt;$200K)</t>
        </is>
      </c>
      <c r="C31" s="7" t="n">
        <v>2</v>
      </c>
      <c r="D31" s="7">
        <f>TRUE()</f>
        <v/>
      </c>
    </row>
    <row r="32" ht="15" customHeight="1" s="5">
      <c r="A32" s="7" t="inlineStr">
        <is>
          <t>Program</t>
        </is>
      </c>
      <c r="B32" s="7" t="inlineStr">
        <is>
          <t>Digital Transformation</t>
        </is>
      </c>
      <c r="C32" s="7" t="n">
        <v>1</v>
      </c>
      <c r="D32" s="7">
        <f>TRUE()</f>
        <v/>
      </c>
    </row>
    <row r="33" ht="15" customHeight="1" s="5">
      <c r="A33" s="7" t="inlineStr">
        <is>
          <t>Program</t>
        </is>
      </c>
      <c r="B33" s="7" t="inlineStr">
        <is>
          <t>Cyber Security</t>
        </is>
      </c>
      <c r="C33" s="7" t="n">
        <v>2</v>
      </c>
      <c r="D33" s="7">
        <f>TRUE()</f>
        <v/>
      </c>
    </row>
    <row r="34" ht="15" customHeight="1" s="5">
      <c r="A34" s="7" t="inlineStr">
        <is>
          <t>Program</t>
        </is>
      </c>
      <c r="B34" s="7" t="inlineStr">
        <is>
          <t>Cloud Migration</t>
        </is>
      </c>
      <c r="C34" s="7" t="n">
        <v>3</v>
      </c>
      <c r="D34" s="7">
        <f>TRUE()</f>
        <v/>
      </c>
    </row>
    <row r="35" ht="15" customHeight="1" s="5">
      <c r="A35" s="7" t="inlineStr">
        <is>
          <t>Program</t>
        </is>
      </c>
      <c r="B35" s="7" t="inlineStr">
        <is>
          <t>Data &amp; AI</t>
        </is>
      </c>
      <c r="C35" s="7" t="n">
        <v>4</v>
      </c>
      <c r="D35" s="7">
        <f>TRUE()</f>
        <v/>
      </c>
    </row>
    <row r="36" ht="15" customHeight="1" s="5">
      <c r="A36" s="7" t="inlineStr">
        <is>
          <t>Program</t>
        </is>
      </c>
      <c r="B36" s="7" t="inlineStr">
        <is>
          <t>Customer Experience</t>
        </is>
      </c>
      <c r="C36" s="7" t="n">
        <v>5</v>
      </c>
      <c r="D36" s="7">
        <f>TRUE()</f>
        <v/>
      </c>
    </row>
    <row r="37" ht="15" customHeight="1" s="5">
      <c r="A37" s="7" t="inlineStr">
        <is>
          <t>Theme</t>
        </is>
      </c>
      <c r="B37" s="7" t="inlineStr">
        <is>
          <t>Infrastructure</t>
        </is>
      </c>
      <c r="C37" s="7" t="n">
        <v>1</v>
      </c>
      <c r="D37" s="7">
        <f>TRUE()</f>
        <v/>
      </c>
    </row>
    <row r="38" ht="15" customHeight="1" s="5">
      <c r="A38" s="7" t="inlineStr">
        <is>
          <t>Theme</t>
        </is>
      </c>
      <c r="B38" s="7" t="inlineStr">
        <is>
          <t>Digital &amp; Applications</t>
        </is>
      </c>
      <c r="C38" s="7" t="n">
        <v>2</v>
      </c>
      <c r="D38" s="7">
        <f>TRUE()</f>
        <v/>
      </c>
    </row>
    <row r="39" ht="15" customHeight="1" s="5">
      <c r="A39" s="7" t="inlineStr">
        <is>
          <t>Theme</t>
        </is>
      </c>
      <c r="B39" s="7" t="inlineStr">
        <is>
          <t>Data &amp; Analytics</t>
        </is>
      </c>
      <c r="C39" s="7" t="n">
        <v>3</v>
      </c>
      <c r="D39" s="7">
        <f>TRUE()</f>
        <v/>
      </c>
    </row>
    <row r="40" ht="15" customHeight="1" s="5">
      <c r="A40" s="7" t="inlineStr">
        <is>
          <t>Theme</t>
        </is>
      </c>
      <c r="B40" s="7" t="inlineStr">
        <is>
          <t>Cyber Security</t>
        </is>
      </c>
      <c r="C40" s="7" t="n">
        <v>4</v>
      </c>
      <c r="D40" s="7">
        <f>TRUE()</f>
        <v/>
      </c>
    </row>
    <row r="41" ht="15" customHeight="1" s="5">
      <c r="A41" s="7" t="inlineStr">
        <is>
          <t>Theme</t>
        </is>
      </c>
      <c r="B41" s="7" t="inlineStr">
        <is>
          <t>Business Transformation</t>
        </is>
      </c>
      <c r="C41" s="7" t="n">
        <v>5</v>
      </c>
      <c r="D41" s="7">
        <f>TRUE()</f>
        <v/>
      </c>
    </row>
    <row r="42" ht="15" customHeight="1" s="5">
      <c r="A42" s="7" t="inlineStr">
        <is>
          <t>Business Unit</t>
        </is>
      </c>
      <c r="B42" s="7" t="inlineStr">
        <is>
          <t>Retail</t>
        </is>
      </c>
      <c r="C42" s="7" t="n">
        <v>1</v>
      </c>
      <c r="D42" s="7">
        <f>TRUE()</f>
        <v/>
      </c>
    </row>
    <row r="43" ht="15" customHeight="1" s="5">
      <c r="A43" s="7" t="inlineStr">
        <is>
          <t>Business Unit</t>
        </is>
      </c>
      <c r="B43" s="7" t="inlineStr">
        <is>
          <t>Wholesale</t>
        </is>
      </c>
      <c r="C43" s="7" t="n">
        <v>2</v>
      </c>
      <c r="D43" s="7">
        <f>TRUE()</f>
        <v/>
      </c>
    </row>
    <row r="44" ht="15" customHeight="1" s="5">
      <c r="A44" s="7" t="inlineStr">
        <is>
          <t>Business Unit</t>
        </is>
      </c>
      <c r="B44" s="7" t="inlineStr">
        <is>
          <t>Operations</t>
        </is>
      </c>
      <c r="C44" s="7" t="n">
        <v>3</v>
      </c>
      <c r="D44" s="7">
        <f>TRUE()</f>
        <v/>
      </c>
    </row>
    <row r="45" ht="15" customHeight="1" s="5">
      <c r="A45" s="7" t="inlineStr">
        <is>
          <t>Business Unit</t>
        </is>
      </c>
      <c r="B45" s="7" t="inlineStr">
        <is>
          <t>Technology</t>
        </is>
      </c>
      <c r="C45" s="7" t="n">
        <v>4</v>
      </c>
      <c r="D45" s="7">
        <f>TRUE()</f>
        <v/>
      </c>
    </row>
    <row r="46" ht="15" customHeight="1" s="5">
      <c r="A46" s="7" t="inlineStr">
        <is>
          <t>Business Unit</t>
        </is>
      </c>
      <c r="B46" s="7" t="inlineStr">
        <is>
          <t>Finance</t>
        </is>
      </c>
      <c r="C46" s="7" t="n">
        <v>5</v>
      </c>
      <c r="D46" s="7">
        <f>TRUE()</f>
        <v/>
      </c>
    </row>
    <row r="47" ht="15" customHeight="1" s="5">
      <c r="A47" s="7" t="inlineStr">
        <is>
          <t>Business Unit</t>
        </is>
      </c>
      <c r="B47" s="7" t="inlineStr">
        <is>
          <t>HR</t>
        </is>
      </c>
      <c r="C47" s="7" t="n">
        <v>6</v>
      </c>
      <c r="D47" s="7">
        <f>TRUE()</f>
        <v/>
      </c>
    </row>
    <row r="48" ht="15" customHeight="1" s="5">
      <c r="A48" s="7" t="inlineStr">
        <is>
          <t>Business Unit</t>
        </is>
      </c>
      <c r="B48" s="7" t="inlineStr">
        <is>
          <t>Marketing</t>
        </is>
      </c>
      <c r="C48" s="7" t="n">
        <v>7</v>
      </c>
      <c r="D48" s="7">
        <f>TRUE()</f>
        <v/>
      </c>
    </row>
    <row r="49" ht="15" customHeight="1" s="5">
      <c r="A49" s="7" t="inlineStr">
        <is>
          <t>Sponsor</t>
        </is>
      </c>
      <c r="B49" s="7" t="inlineStr">
        <is>
          <t>CIO</t>
        </is>
      </c>
      <c r="C49" s="7" t="n">
        <v>1</v>
      </c>
      <c r="D49" s="7">
        <f>TRUE()</f>
        <v/>
      </c>
    </row>
    <row r="50" ht="15" customHeight="1" s="5">
      <c r="A50" s="7" t="inlineStr">
        <is>
          <t>Sponsor</t>
        </is>
      </c>
      <c r="B50" s="7" t="inlineStr">
        <is>
          <t>CFO</t>
        </is>
      </c>
      <c r="C50" s="7" t="n">
        <v>2</v>
      </c>
      <c r="D50" s="7">
        <f>TRUE()</f>
        <v/>
      </c>
    </row>
    <row r="51" ht="15" customHeight="1" s="5">
      <c r="A51" s="7" t="inlineStr">
        <is>
          <t>Sponsor</t>
        </is>
      </c>
      <c r="B51" s="7" t="inlineStr">
        <is>
          <t>COO</t>
        </is>
      </c>
      <c r="C51" s="7" t="n">
        <v>3</v>
      </c>
      <c r="D51" s="7">
        <f>TRUE()</f>
        <v/>
      </c>
    </row>
    <row r="52" ht="15" customHeight="1" s="5">
      <c r="A52" s="7" t="inlineStr">
        <is>
          <t>Sponsor</t>
        </is>
      </c>
      <c r="B52" s="7" t="inlineStr">
        <is>
          <t>CMO</t>
        </is>
      </c>
      <c r="C52" s="7" t="n">
        <v>4</v>
      </c>
      <c r="D52" s="7">
        <f>TRUE()</f>
        <v/>
      </c>
    </row>
    <row r="53" ht="15" customHeight="1" s="5">
      <c r="A53" s="7" t="inlineStr">
        <is>
          <t>Sponsor</t>
        </is>
      </c>
      <c r="B53" s="7" t="inlineStr">
        <is>
          <t>CTO</t>
        </is>
      </c>
      <c r="C53" s="7" t="n">
        <v>5</v>
      </c>
      <c r="D53" s="7">
        <f>TRUE()</f>
        <v/>
      </c>
    </row>
    <row r="54" ht="15" customHeight="1" s="5">
      <c r="A54" s="7" t="inlineStr">
        <is>
          <t>Financial Year</t>
        </is>
      </c>
      <c r="B54" s="7" t="inlineStr">
        <is>
          <t>FY25</t>
        </is>
      </c>
      <c r="C54" s="7" t="n">
        <v>1</v>
      </c>
      <c r="D54" s="7">
        <f>TRUE()</f>
        <v/>
      </c>
    </row>
    <row r="55" ht="15" customHeight="1" s="5">
      <c r="A55" s="7" t="inlineStr">
        <is>
          <t>Financial Year</t>
        </is>
      </c>
      <c r="B55" s="7" t="inlineStr">
        <is>
          <t>FY25-26</t>
        </is>
      </c>
      <c r="C55" s="7" t="n">
        <v>2</v>
      </c>
      <c r="D55" s="7">
        <f>TRUE()</f>
        <v/>
      </c>
    </row>
    <row r="56" ht="15" customHeight="1" s="5">
      <c r="A56" s="7" t="inlineStr">
        <is>
          <t>Financial Year</t>
        </is>
      </c>
      <c r="B56" s="7" t="inlineStr">
        <is>
          <t>FY26</t>
        </is>
      </c>
      <c r="C56" s="7" t="n">
        <v>3</v>
      </c>
      <c r="D56" s="7">
        <f>TRUE()</f>
        <v/>
      </c>
    </row>
    <row r="57" ht="15" customHeight="1" s="5">
      <c r="A57" s="7" t="inlineStr">
        <is>
          <t>Financial Year</t>
        </is>
      </c>
      <c r="B57" s="7" t="inlineStr">
        <is>
          <t>FY26-27</t>
        </is>
      </c>
      <c r="C57" s="7" t="n">
        <v>4</v>
      </c>
      <c r="D57" s="7">
        <f>TRUE()</f>
        <v/>
      </c>
    </row>
    <row r="58" ht="15" customHeight="1" s="5">
      <c r="A58" s="7" t="inlineStr">
        <is>
          <t>Financial Year</t>
        </is>
      </c>
      <c r="B58" s="7" t="inlineStr">
        <is>
          <t>FY27</t>
        </is>
      </c>
      <c r="C58" s="7" t="n">
        <v>5</v>
      </c>
      <c r="D58" s="7">
        <f>TRUE()</f>
        <v/>
      </c>
    </row>
    <row r="59" ht="15" customHeight="1" s="5">
      <c r="A59" s="7" t="inlineStr">
        <is>
          <t>Financial Year</t>
        </is>
      </c>
      <c r="B59" s="7" t="inlineStr">
        <is>
          <t>FY27-28</t>
        </is>
      </c>
      <c r="C59" s="7" t="n">
        <v>6</v>
      </c>
      <c r="D59" s="7">
        <f>TRUE()</f>
        <v/>
      </c>
    </row>
    <row r="60" ht="15" customHeight="1" s="5">
      <c r="A60" s="7" t="inlineStr">
        <is>
          <t>Financial Year</t>
        </is>
      </c>
      <c r="B60" s="7" t="inlineStr">
        <is>
          <t>FY28</t>
        </is>
      </c>
      <c r="C60" s="7" t="n">
        <v>7</v>
      </c>
      <c r="D60" s="7">
        <f>TRUE()</f>
        <v/>
      </c>
    </row>
    <row r="61" ht="15" customHeight="1" s="5">
      <c r="A61" s="7" t="inlineStr">
        <is>
          <t>Financial Year</t>
        </is>
      </c>
      <c r="B61" s="7" t="inlineStr">
        <is>
          <t>FY28-29</t>
        </is>
      </c>
      <c r="C61" s="7" t="n">
        <v>8</v>
      </c>
      <c r="D61" s="7">
        <f>TRUE()</f>
        <v/>
      </c>
    </row>
    <row r="62" ht="15" customHeight="1" s="5">
      <c r="A62" s="7" t="inlineStr">
        <is>
          <t>Financial Year</t>
        </is>
      </c>
      <c r="B62" s="7" t="inlineStr">
        <is>
          <t>FY29</t>
        </is>
      </c>
      <c r="C62" s="7" t="n">
        <v>9</v>
      </c>
      <c r="D62" s="7">
        <f>TRUE()</f>
        <v/>
      </c>
    </row>
    <row r="63" ht="15" customHeight="1" s="5">
      <c r="A63" s="7" t="inlineStr">
        <is>
          <t>Financial Year</t>
        </is>
      </c>
      <c r="B63" s="7" t="inlineStr">
        <is>
          <t>FY29-30</t>
        </is>
      </c>
      <c r="C63" s="7" t="n">
        <v>10</v>
      </c>
      <c r="D63" s="7">
        <f>TRUE()</f>
        <v/>
      </c>
    </row>
    <row r="64" ht="15" customHeight="1" s="5">
      <c r="A64" s="7" t="inlineStr">
        <is>
          <t>Financial Year</t>
        </is>
      </c>
      <c r="B64" s="7" t="inlineStr">
        <is>
          <t>FY30</t>
        </is>
      </c>
      <c r="C64" s="7" t="n">
        <v>11</v>
      </c>
      <c r="D64" s="7">
        <f>TRUE()</f>
        <v/>
      </c>
    </row>
    <row r="65" ht="15" customHeight="1" s="5">
      <c r="A65" s="7" t="inlineStr">
        <is>
          <t>Stage (Channel A)</t>
        </is>
      </c>
      <c r="B65" s="7" t="inlineStr">
        <is>
          <t>Discovery</t>
        </is>
      </c>
      <c r="C65" s="7" t="n">
        <v>1</v>
      </c>
      <c r="D65" s="7">
        <f>TRUE()</f>
        <v/>
      </c>
    </row>
    <row r="66" ht="15" customHeight="1" s="5">
      <c r="A66" s="7" t="inlineStr">
        <is>
          <t>Stage (Channel A)</t>
        </is>
      </c>
      <c r="B66" s="7" t="inlineStr">
        <is>
          <t>Business Case / Full Funding</t>
        </is>
      </c>
      <c r="C66" s="7" t="n">
        <v>2</v>
      </c>
      <c r="D66" s="7">
        <f>TRUE()</f>
        <v/>
      </c>
    </row>
    <row r="67" ht="15" customHeight="1" s="5">
      <c r="A67" s="7" t="inlineStr">
        <is>
          <t>Stage (Channel A)</t>
        </is>
      </c>
      <c r="B67" s="7" t="inlineStr">
        <is>
          <t>Design</t>
        </is>
      </c>
      <c r="C67" s="7" t="n">
        <v>3</v>
      </c>
      <c r="D67" s="7">
        <f>TRUE()</f>
        <v/>
      </c>
    </row>
    <row r="68" ht="15" customHeight="1" s="5">
      <c r="A68" s="7" t="inlineStr">
        <is>
          <t>Stage (Channel A)</t>
        </is>
      </c>
      <c r="B68" s="7" t="inlineStr">
        <is>
          <t>Build</t>
        </is>
      </c>
      <c r="C68" s="7" t="n">
        <v>4</v>
      </c>
      <c r="D68" s="7">
        <f>TRUE()</f>
        <v/>
      </c>
    </row>
    <row r="69" ht="15" customHeight="1" s="5">
      <c r="A69" s="7" t="inlineStr">
        <is>
          <t>Stage (Channel A)</t>
        </is>
      </c>
      <c r="B69" s="7" t="inlineStr">
        <is>
          <t>Testing</t>
        </is>
      </c>
      <c r="C69" s="7" t="n">
        <v>5</v>
      </c>
      <c r="D69" s="7">
        <f>TRUE()</f>
        <v/>
      </c>
    </row>
    <row r="70" ht="15" customHeight="1" s="5">
      <c r="A70" s="7" t="inlineStr">
        <is>
          <t>Stage (Channel A)</t>
        </is>
      </c>
      <c r="B70" s="7" t="inlineStr">
        <is>
          <t>Deployment</t>
        </is>
      </c>
      <c r="C70" s="7" t="n">
        <v>6</v>
      </c>
      <c r="D70" s="7">
        <f>TRUE()</f>
        <v/>
      </c>
    </row>
    <row r="71" ht="15" customHeight="1" s="5">
      <c r="A71" s="7" t="inlineStr">
        <is>
          <t>Stage (Channel A)</t>
        </is>
      </c>
      <c r="B71" s="7" t="inlineStr">
        <is>
          <t>Handover</t>
        </is>
      </c>
      <c r="C71" s="7" t="n">
        <v>7</v>
      </c>
      <c r="D71" s="7">
        <f>TRUE()</f>
        <v/>
      </c>
    </row>
    <row r="72" ht="15" customHeight="1" s="5">
      <c r="A72" s="7" t="inlineStr">
        <is>
          <t>Stage (Channel B)</t>
        </is>
      </c>
      <c r="B72" s="7" t="inlineStr">
        <is>
          <t>Discovery</t>
        </is>
      </c>
      <c r="C72" s="7" t="n">
        <v>1</v>
      </c>
      <c r="D72" s="7">
        <f>TRUE()</f>
        <v/>
      </c>
    </row>
    <row r="73" ht="15" customHeight="1" s="5">
      <c r="A73" s="7" t="inlineStr">
        <is>
          <t>Stage (Channel B)</t>
        </is>
      </c>
      <c r="B73" s="7" t="inlineStr">
        <is>
          <t>Business Case / Seed Funding</t>
        </is>
      </c>
      <c r="C73" s="7" t="n">
        <v>2</v>
      </c>
      <c r="D73" s="7">
        <f>TRUE()</f>
        <v/>
      </c>
    </row>
    <row r="74" ht="15" customHeight="1" s="5">
      <c r="A74" s="7" t="inlineStr">
        <is>
          <t>Stage (Channel B)</t>
        </is>
      </c>
      <c r="B74" s="7" t="inlineStr">
        <is>
          <t>Design</t>
        </is>
      </c>
      <c r="C74" s="7" t="n">
        <v>3</v>
      </c>
      <c r="D74" s="7">
        <f>TRUE()</f>
        <v/>
      </c>
    </row>
    <row r="75" ht="15" customHeight="1" s="5">
      <c r="A75" s="7" t="inlineStr">
        <is>
          <t>Stage (Channel B)</t>
        </is>
      </c>
      <c r="B75" s="7" t="inlineStr">
        <is>
          <t>Business Case / Full Funding</t>
        </is>
      </c>
      <c r="C75" s="7" t="n">
        <v>4</v>
      </c>
      <c r="D75" s="7">
        <f>TRUE()</f>
        <v/>
      </c>
    </row>
    <row r="76" ht="15" customHeight="1" s="5">
      <c r="A76" s="7" t="inlineStr">
        <is>
          <t>Stage (Channel B)</t>
        </is>
      </c>
      <c r="B76" s="7" t="inlineStr">
        <is>
          <t>Build</t>
        </is>
      </c>
      <c r="C76" s="7" t="n">
        <v>5</v>
      </c>
      <c r="D76" s="7">
        <f>TRUE()</f>
        <v/>
      </c>
    </row>
    <row r="77" ht="15" customHeight="1" s="5">
      <c r="A77" s="7" t="inlineStr">
        <is>
          <t>Stage (Channel B)</t>
        </is>
      </c>
      <c r="B77" s="7" t="inlineStr">
        <is>
          <t>Testing</t>
        </is>
      </c>
      <c r="C77" s="7" t="n">
        <v>6</v>
      </c>
      <c r="D77" s="7">
        <f>TRUE()</f>
        <v/>
      </c>
    </row>
    <row r="78" ht="15" customHeight="1" s="5">
      <c r="A78" s="7" t="inlineStr">
        <is>
          <t>Stage (Channel B)</t>
        </is>
      </c>
      <c r="B78" s="7" t="inlineStr">
        <is>
          <t>Deployment</t>
        </is>
      </c>
      <c r="C78" s="7" t="n">
        <v>7</v>
      </c>
      <c r="D78" s="7">
        <f>TRUE()</f>
        <v/>
      </c>
    </row>
    <row r="79" ht="15" customHeight="1" s="5">
      <c r="A79" s="7" t="inlineStr">
        <is>
          <t>Stage (Channel B)</t>
        </is>
      </c>
      <c r="B79" s="7" t="inlineStr">
        <is>
          <t>Handover</t>
        </is>
      </c>
      <c r="C79" s="7" t="n">
        <v>8</v>
      </c>
      <c r="D79" s="7">
        <f>TRUE()</f>
        <v/>
      </c>
    </row>
    <row r="80" ht="15" customHeight="1" s="5">
      <c r="A80" s="7" t="inlineStr">
        <is>
          <t>Gate Status</t>
        </is>
      </c>
      <c r="B80" s="7" t="inlineStr">
        <is>
          <t>Not Started</t>
        </is>
      </c>
      <c r="C80" s="7" t="n">
        <v>1</v>
      </c>
      <c r="D80" s="7">
        <f>TRUE()</f>
        <v/>
      </c>
    </row>
    <row r="81" ht="15" customHeight="1" s="5">
      <c r="A81" s="7" t="inlineStr">
        <is>
          <t>Gate Status</t>
        </is>
      </c>
      <c r="B81" s="7" t="inlineStr">
        <is>
          <t>In Progress</t>
        </is>
      </c>
      <c r="C81" s="7" t="n">
        <v>2</v>
      </c>
      <c r="D81" s="7">
        <f>TRUE()</f>
        <v/>
      </c>
    </row>
    <row r="82" ht="15" customHeight="1" s="5">
      <c r="A82" s="7" t="inlineStr">
        <is>
          <t>Gate Status</t>
        </is>
      </c>
      <c r="B82" s="7" t="inlineStr">
        <is>
          <t>Pending Approval</t>
        </is>
      </c>
      <c r="C82" s="7" t="n">
        <v>3</v>
      </c>
      <c r="D82" s="7">
        <f>TRUE()</f>
        <v/>
      </c>
    </row>
    <row r="83" ht="15" customHeight="1" s="5">
      <c r="A83" s="7" t="inlineStr">
        <is>
          <t>Gate Status</t>
        </is>
      </c>
      <c r="B83" s="7" t="inlineStr">
        <is>
          <t>Approved</t>
        </is>
      </c>
      <c r="C83" s="7" t="n">
        <v>4</v>
      </c>
      <c r="D83" s="7">
        <f>TRUE()</f>
        <v/>
      </c>
    </row>
    <row r="84" ht="15" customHeight="1" s="5">
      <c r="A84" s="7" t="inlineStr">
        <is>
          <t>Gate Status</t>
        </is>
      </c>
      <c r="B84" s="7" t="inlineStr">
        <is>
          <t>Rejected</t>
        </is>
      </c>
      <c r="C84" s="7" t="n">
        <v>5</v>
      </c>
      <c r="D84" s="7">
        <f>TRUE()</f>
        <v/>
      </c>
    </row>
    <row r="85" ht="15" customHeight="1" s="5">
      <c r="A85" s="7" t="inlineStr">
        <is>
          <t>Gate Status</t>
        </is>
      </c>
      <c r="B85" s="7" t="inlineStr">
        <is>
          <t>Complete</t>
        </is>
      </c>
      <c r="C85" s="7" t="n">
        <v>6</v>
      </c>
      <c r="D85" s="7">
        <f>TRUE()</f>
        <v/>
      </c>
    </row>
    <row r="86" ht="15" customHeight="1" s="5">
      <c r="A86" s="7" t="inlineStr">
        <is>
          <t>Gate Status</t>
        </is>
      </c>
      <c r="B86" s="7" t="inlineStr">
        <is>
          <t>On Hold</t>
        </is>
      </c>
      <c r="C86" s="7" t="n">
        <v>7</v>
      </c>
      <c r="D86" s="7">
        <f>TRUE()</f>
        <v/>
      </c>
    </row>
    <row r="87" ht="15" customHeight="1" s="5">
      <c r="A87" s="7" t="inlineStr">
        <is>
          <t>Gate Outcome</t>
        </is>
      </c>
      <c r="C87" s="7" t="n">
        <v>1</v>
      </c>
      <c r="D87" s="7">
        <f>TRUE()</f>
        <v/>
      </c>
    </row>
    <row r="88" ht="15" customHeight="1" s="5">
      <c r="A88" s="7" t="inlineStr">
        <is>
          <t>Gate Outcome</t>
        </is>
      </c>
      <c r="B88" s="7" t="inlineStr">
        <is>
          <t>Proceed</t>
        </is>
      </c>
      <c r="C88" s="7" t="n">
        <v>2</v>
      </c>
      <c r="D88" s="7">
        <f>TRUE()</f>
        <v/>
      </c>
    </row>
    <row r="89" ht="15" customHeight="1" s="5">
      <c r="A89" s="7" t="inlineStr">
        <is>
          <t>Gate Outcome</t>
        </is>
      </c>
      <c r="B89" s="7" t="inlineStr">
        <is>
          <t>Conditional</t>
        </is>
      </c>
      <c r="C89" s="7" t="n">
        <v>3</v>
      </c>
      <c r="D89" s="7">
        <f>TRUE()</f>
        <v/>
      </c>
    </row>
    <row r="90" ht="15" customHeight="1" s="5">
      <c r="A90" s="7" t="inlineStr">
        <is>
          <t>Gate Outcome</t>
        </is>
      </c>
      <c r="B90" s="7" t="inlineStr">
        <is>
          <t>Rework</t>
        </is>
      </c>
      <c r="C90" s="7" t="n">
        <v>4</v>
      </c>
      <c r="D90" s="7">
        <f>TRUE()</f>
        <v/>
      </c>
    </row>
    <row r="91" ht="15" customHeight="1" s="5">
      <c r="A91" s="7" t="inlineStr">
        <is>
          <t>Gate Outcome</t>
        </is>
      </c>
      <c r="B91" s="7" t="inlineStr">
        <is>
          <t>Held</t>
        </is>
      </c>
      <c r="C91" s="7" t="n">
        <v>5</v>
      </c>
      <c r="D91" s="7">
        <f>TRUE()</f>
        <v/>
      </c>
    </row>
    <row r="92" ht="15" customHeight="1" s="5">
      <c r="A92" s="7" t="inlineStr">
        <is>
          <t>Decision Status</t>
        </is>
      </c>
      <c r="B92" s="7" t="inlineStr">
        <is>
          <t>Open</t>
        </is>
      </c>
      <c r="C92" s="7" t="n">
        <v>1</v>
      </c>
      <c r="D92" s="7">
        <f>TRUE()</f>
        <v/>
      </c>
    </row>
    <row r="93" ht="15" customHeight="1" s="5">
      <c r="A93" s="7" t="inlineStr">
        <is>
          <t>Decision Status</t>
        </is>
      </c>
      <c r="B93" s="7" t="inlineStr">
        <is>
          <t>In Review</t>
        </is>
      </c>
      <c r="C93" s="7" t="n">
        <v>2</v>
      </c>
      <c r="D93" s="7">
        <f>TRUE()</f>
        <v/>
      </c>
    </row>
    <row r="94" ht="15" customHeight="1" s="5">
      <c r="A94" s="7" t="inlineStr">
        <is>
          <t>Decision Status</t>
        </is>
      </c>
      <c r="B94" s="7" t="inlineStr">
        <is>
          <t>Approved</t>
        </is>
      </c>
      <c r="C94" s="7" t="n">
        <v>3</v>
      </c>
      <c r="D94" s="7">
        <f>TRUE()</f>
        <v/>
      </c>
    </row>
    <row r="95" ht="15" customHeight="1" s="5">
      <c r="A95" s="7" t="inlineStr">
        <is>
          <t>Decision Status</t>
        </is>
      </c>
      <c r="B95" s="7" t="inlineStr">
        <is>
          <t>Rejected</t>
        </is>
      </c>
      <c r="C95" s="7" t="n">
        <v>4</v>
      </c>
      <c r="D95" s="7">
        <f>TRUE()</f>
        <v/>
      </c>
    </row>
    <row r="96" ht="15" customHeight="1" s="5">
      <c r="A96" s="7" t="inlineStr">
        <is>
          <t>Decision Status</t>
        </is>
      </c>
      <c r="B96" s="7" t="inlineStr">
        <is>
          <t>Closed</t>
        </is>
      </c>
      <c r="C96" s="7" t="n">
        <v>5</v>
      </c>
      <c r="D96" s="7">
        <f>TRUE()</f>
        <v/>
      </c>
    </row>
    <row r="97" ht="15" customHeight="1" s="5">
      <c r="A97" s="7" t="inlineStr">
        <is>
          <t>Decision Type</t>
        </is>
      </c>
      <c r="B97" s="7" t="inlineStr">
        <is>
          <t>Project</t>
        </is>
      </c>
      <c r="C97" s="7" t="n">
        <v>1</v>
      </c>
      <c r="D97" s="7">
        <f>TRUE()</f>
        <v/>
      </c>
    </row>
    <row r="98" ht="15" customHeight="1" s="5">
      <c r="A98" s="7" t="inlineStr">
        <is>
          <t>Decision Type</t>
        </is>
      </c>
      <c r="B98" s="7" t="inlineStr">
        <is>
          <t>Program</t>
        </is>
      </c>
      <c r="C98" s="7" t="n">
        <v>2</v>
      </c>
      <c r="D98" s="7">
        <f>TRUE()</f>
        <v/>
      </c>
    </row>
    <row r="99" ht="15" customHeight="1" s="5">
      <c r="A99" s="7" t="inlineStr">
        <is>
          <t>Decision Type</t>
        </is>
      </c>
      <c r="B99" s="7" t="inlineStr">
        <is>
          <t>Portfolio</t>
        </is>
      </c>
      <c r="C99" s="7" t="n">
        <v>3</v>
      </c>
      <c r="D99" s="7">
        <f>TRUE()</f>
        <v/>
      </c>
    </row>
    <row r="100" ht="15" customHeight="1" s="5">
      <c r="A100" s="7" t="inlineStr">
        <is>
          <t>Decision Type</t>
        </is>
      </c>
      <c r="B100" s="7" t="inlineStr">
        <is>
          <t>Funding</t>
        </is>
      </c>
      <c r="C100" s="7" t="n">
        <v>4</v>
      </c>
      <c r="D100" s="7">
        <f>TRUE()</f>
        <v/>
      </c>
    </row>
    <row r="101" ht="15" customHeight="1" s="5">
      <c r="A101" s="7" t="inlineStr">
        <is>
          <t>Decision Type</t>
        </is>
      </c>
      <c r="B101" s="7" t="inlineStr">
        <is>
          <t>SteerCo</t>
        </is>
      </c>
      <c r="C101" s="7" t="n">
        <v>5</v>
      </c>
      <c r="D101" s="7">
        <f>TRUE()</f>
        <v/>
      </c>
    </row>
    <row r="102" ht="15" customHeight="1" s="5">
      <c r="A102" s="7" t="inlineStr">
        <is>
          <t>Decision Type</t>
        </is>
      </c>
      <c r="B102" s="7" t="inlineStr">
        <is>
          <t>Architecture</t>
        </is>
      </c>
      <c r="C102" s="7" t="n">
        <v>6</v>
      </c>
      <c r="D102" s="7">
        <f>TRUE()</f>
        <v/>
      </c>
    </row>
    <row r="103" ht="15" customHeight="1" s="5">
      <c r="A103" s="7" t="inlineStr">
        <is>
          <t>Decision Type</t>
        </is>
      </c>
      <c r="B103" s="7" t="inlineStr">
        <is>
          <t>Risk</t>
        </is>
      </c>
      <c r="C103" s="7" t="n">
        <v>7</v>
      </c>
      <c r="D103" s="7">
        <f>TRUE()</f>
        <v/>
      </c>
    </row>
    <row r="104" ht="15" customHeight="1" s="5">
      <c r="A104" s="7" t="inlineStr">
        <is>
          <t>Decision Type</t>
        </is>
      </c>
      <c r="B104" s="7" t="inlineStr">
        <is>
          <t>General</t>
        </is>
      </c>
      <c r="C104" s="7" t="n">
        <v>8</v>
      </c>
      <c r="D104" s="7">
        <f>TRUE()</f>
        <v/>
      </c>
    </row>
    <row r="105" ht="15" customHeight="1" s="5">
      <c r="A105" s="7" t="inlineStr">
        <is>
          <t>Action Status</t>
        </is>
      </c>
      <c r="B105" s="7" t="inlineStr">
        <is>
          <t>Open</t>
        </is>
      </c>
      <c r="C105" s="7" t="n">
        <v>1</v>
      </c>
      <c r="D105" s="7">
        <f>TRUE()</f>
        <v/>
      </c>
    </row>
    <row r="106" ht="15" customHeight="1" s="5">
      <c r="A106" s="7" t="inlineStr">
        <is>
          <t>Action Status</t>
        </is>
      </c>
      <c r="B106" s="7" t="inlineStr">
        <is>
          <t>In Progress</t>
        </is>
      </c>
      <c r="C106" s="7" t="n">
        <v>2</v>
      </c>
      <c r="D106" s="7">
        <f>TRUE()</f>
        <v/>
      </c>
    </row>
    <row r="107" ht="15" customHeight="1" s="5">
      <c r="A107" s="7" t="inlineStr">
        <is>
          <t>Action Status</t>
        </is>
      </c>
      <c r="B107" s="7" t="inlineStr">
        <is>
          <t>Complete</t>
        </is>
      </c>
      <c r="C107" s="7" t="n">
        <v>3</v>
      </c>
      <c r="D107" s="7">
        <f>TRUE()</f>
        <v/>
      </c>
    </row>
    <row r="108" ht="15" customHeight="1" s="5">
      <c r="A108" s="7" t="inlineStr">
        <is>
          <t>Action Status</t>
        </is>
      </c>
      <c r="B108" s="7" t="inlineStr">
        <is>
          <t>Overdue</t>
        </is>
      </c>
      <c r="C108" s="7" t="n">
        <v>4</v>
      </c>
      <c r="D108" s="7">
        <f>TRUE()</f>
        <v/>
      </c>
    </row>
    <row r="109" ht="15" customHeight="1" s="5">
      <c r="A109" s="7" t="inlineStr">
        <is>
          <t>Risk Probability</t>
        </is>
      </c>
      <c r="B109" s="7" t="inlineStr">
        <is>
          <t>Low</t>
        </is>
      </c>
      <c r="C109" s="7" t="n">
        <v>1</v>
      </c>
      <c r="D109" s="7">
        <f>TRUE()</f>
        <v/>
      </c>
    </row>
    <row r="110" ht="15" customHeight="1" s="5">
      <c r="A110" s="7" t="inlineStr">
        <is>
          <t>Risk Probability</t>
        </is>
      </c>
      <c r="B110" s="7" t="inlineStr">
        <is>
          <t>Medium</t>
        </is>
      </c>
      <c r="C110" s="7" t="n">
        <v>2</v>
      </c>
      <c r="D110" s="7">
        <f>TRUE()</f>
        <v/>
      </c>
    </row>
    <row r="111" ht="15" customHeight="1" s="5">
      <c r="A111" s="7" t="inlineStr">
        <is>
          <t>Risk Probability</t>
        </is>
      </c>
      <c r="B111" s="7" t="inlineStr">
        <is>
          <t>High</t>
        </is>
      </c>
      <c r="C111" s="7" t="n">
        <v>3</v>
      </c>
      <c r="D111" s="7">
        <f>TRUE()</f>
        <v/>
      </c>
    </row>
    <row r="112" ht="15" customHeight="1" s="5">
      <c r="A112" s="7" t="inlineStr">
        <is>
          <t>Risk Impact</t>
        </is>
      </c>
      <c r="B112" s="7" t="inlineStr">
        <is>
          <t>Low</t>
        </is>
      </c>
      <c r="C112" s="7" t="n">
        <v>1</v>
      </c>
      <c r="D112" s="7">
        <f>TRUE()</f>
        <v/>
      </c>
    </row>
    <row r="113" ht="15" customHeight="1" s="5">
      <c r="A113" s="7" t="inlineStr">
        <is>
          <t>Risk Impact</t>
        </is>
      </c>
      <c r="B113" s="7" t="inlineStr">
        <is>
          <t>Medium</t>
        </is>
      </c>
      <c r="C113" s="7" t="n">
        <v>2</v>
      </c>
      <c r="D113" s="7">
        <f>TRUE()</f>
        <v/>
      </c>
    </row>
    <row r="114" ht="15" customHeight="1" s="5">
      <c r="A114" s="7" t="inlineStr">
        <is>
          <t>Risk Impact</t>
        </is>
      </c>
      <c r="B114" s="7" t="inlineStr">
        <is>
          <t>High</t>
        </is>
      </c>
      <c r="C114" s="7" t="n">
        <v>3</v>
      </c>
      <c r="D114" s="7">
        <f>TRUE()</f>
        <v/>
      </c>
    </row>
    <row r="115" ht="15" customHeight="1" s="5">
      <c r="A115" s="7" t="inlineStr">
        <is>
          <t>Risk Impact</t>
        </is>
      </c>
      <c r="B115" s="7" t="inlineStr">
        <is>
          <t>Critical</t>
        </is>
      </c>
      <c r="C115" s="7" t="n">
        <v>4</v>
      </c>
      <c r="D115" s="7">
        <f>TRUE()</f>
        <v/>
      </c>
    </row>
    <row r="116" ht="15" customHeight="1" s="5">
      <c r="A116" s="7" t="inlineStr">
        <is>
          <t>Risk Status</t>
        </is>
      </c>
      <c r="B116" s="7" t="inlineStr">
        <is>
          <t>Open</t>
        </is>
      </c>
      <c r="C116" s="7" t="n">
        <v>1</v>
      </c>
      <c r="D116" s="7">
        <f>TRUE()</f>
        <v/>
      </c>
    </row>
    <row r="117" ht="15" customHeight="1" s="5">
      <c r="A117" s="7" t="inlineStr">
        <is>
          <t>Risk Status</t>
        </is>
      </c>
      <c r="B117" s="7" t="inlineStr">
        <is>
          <t>Mitigated</t>
        </is>
      </c>
      <c r="C117" s="7" t="n">
        <v>2</v>
      </c>
      <c r="D117" s="7">
        <f>TRUE()</f>
        <v/>
      </c>
    </row>
    <row r="118" ht="15" customHeight="1" s="5">
      <c r="A118" s="7" t="inlineStr">
        <is>
          <t>Risk Status</t>
        </is>
      </c>
      <c r="B118" s="7" t="inlineStr">
        <is>
          <t>Closed</t>
        </is>
      </c>
      <c r="C118" s="7" t="n">
        <v>3</v>
      </c>
      <c r="D118" s="7">
        <f>TRUE()</f>
        <v/>
      </c>
    </row>
    <row r="119" ht="15" customHeight="1" s="5">
      <c r="A119" s="7" t="inlineStr">
        <is>
          <t>RAID Type</t>
        </is>
      </c>
      <c r="B119" s="7" t="inlineStr">
        <is>
          <t>Risk</t>
        </is>
      </c>
      <c r="C119" s="7" t="n">
        <v>1</v>
      </c>
      <c r="D119" s="7">
        <f>TRUE()</f>
        <v/>
      </c>
    </row>
    <row r="120" ht="15" customHeight="1" s="5">
      <c r="A120" s="7" t="inlineStr">
        <is>
          <t>RAID Type</t>
        </is>
      </c>
      <c r="B120" s="7" t="inlineStr">
        <is>
          <t>Issue</t>
        </is>
      </c>
      <c r="C120" s="7" t="n">
        <v>2</v>
      </c>
      <c r="D120" s="7">
        <f>TRUE()</f>
        <v/>
      </c>
    </row>
    <row r="121" ht="15" customHeight="1" s="5">
      <c r="A121" s="7" t="inlineStr">
        <is>
          <t>RAID Type</t>
        </is>
      </c>
      <c r="B121" s="7" t="inlineStr">
        <is>
          <t>Assumption</t>
        </is>
      </c>
      <c r="C121" s="7" t="n">
        <v>3</v>
      </c>
      <c r="D121" s="7">
        <f>TRUE()</f>
        <v/>
      </c>
    </row>
    <row r="122" ht="15" customHeight="1" s="5">
      <c r="A122" s="7" t="inlineStr">
        <is>
          <t>RAID Type</t>
        </is>
      </c>
      <c r="B122" s="7" t="inlineStr">
        <is>
          <t>Dependency</t>
        </is>
      </c>
      <c r="C122" s="7" t="n">
        <v>4</v>
      </c>
      <c r="D122" s="7">
        <f>TRUE()</f>
        <v/>
      </c>
    </row>
    <row r="123" ht="15" customHeight="1" s="5">
      <c r="A123" s="7" t="inlineStr">
        <is>
          <t>Benefit Status</t>
        </is>
      </c>
      <c r="B123" s="7" t="inlineStr">
        <is>
          <t>Planned</t>
        </is>
      </c>
      <c r="C123" s="7" t="n">
        <v>1</v>
      </c>
      <c r="D123" s="7">
        <f>TRUE()</f>
        <v/>
      </c>
    </row>
    <row r="124" ht="15" customHeight="1" s="5">
      <c r="A124" s="7" t="inlineStr">
        <is>
          <t>Benefit Status</t>
        </is>
      </c>
      <c r="B124" s="7" t="inlineStr">
        <is>
          <t>In Progress</t>
        </is>
      </c>
      <c r="C124" s="7" t="n">
        <v>2</v>
      </c>
      <c r="D124" s="7">
        <f>TRUE()</f>
        <v/>
      </c>
    </row>
    <row r="125" ht="15" customHeight="1" s="5">
      <c r="A125" s="7" t="inlineStr">
        <is>
          <t>Benefit Status</t>
        </is>
      </c>
      <c r="B125" s="7" t="inlineStr">
        <is>
          <t>Realised</t>
        </is>
      </c>
      <c r="C125" s="7" t="n">
        <v>3</v>
      </c>
      <c r="D125" s="7">
        <f>TRUE()</f>
        <v/>
      </c>
    </row>
    <row r="126" ht="15" customHeight="1" s="5">
      <c r="A126" s="7" t="inlineStr">
        <is>
          <t>Benefit Status</t>
        </is>
      </c>
      <c r="B126" s="7" t="inlineStr">
        <is>
          <t>At Risk</t>
        </is>
      </c>
      <c r="C126" s="7" t="n">
        <v>4</v>
      </c>
      <c r="D126" s="7">
        <f>TRUE()</f>
        <v/>
      </c>
    </row>
    <row r="127" ht="15" customHeight="1" s="5">
      <c r="A127" s="7" t="inlineStr">
        <is>
          <t>Benefit Category</t>
        </is>
      </c>
      <c r="B127" s="7" t="inlineStr">
        <is>
          <t>Cost Savings</t>
        </is>
      </c>
      <c r="C127" s="7" t="n">
        <v>1</v>
      </c>
      <c r="D127" s="7">
        <f>TRUE()</f>
        <v/>
      </c>
    </row>
    <row r="128" ht="15" customHeight="1" s="5">
      <c r="A128" s="7" t="inlineStr">
        <is>
          <t>Benefit Category</t>
        </is>
      </c>
      <c r="B128" s="7" t="inlineStr">
        <is>
          <t>Revenue Uplift</t>
        </is>
      </c>
      <c r="C128" s="7" t="n">
        <v>2</v>
      </c>
      <c r="D128" s="7">
        <f>TRUE()</f>
        <v/>
      </c>
    </row>
    <row r="129" ht="15" customHeight="1" s="5">
      <c r="A129" s="7" t="inlineStr">
        <is>
          <t>Benefit Category</t>
        </is>
      </c>
      <c r="B129" s="7" t="inlineStr">
        <is>
          <t>Productivity</t>
        </is>
      </c>
      <c r="C129" s="7" t="n">
        <v>3</v>
      </c>
      <c r="D129" s="7">
        <f>TRUE()</f>
        <v/>
      </c>
    </row>
    <row r="130" ht="15" customHeight="1" s="5">
      <c r="A130" s="7" t="inlineStr">
        <is>
          <t>Benefit Category</t>
        </is>
      </c>
      <c r="B130" s="7" t="inlineStr">
        <is>
          <t>Risk Avoidance</t>
        </is>
      </c>
      <c r="C130" s="7" t="n">
        <v>4</v>
      </c>
      <c r="D130" s="7">
        <f>TRUE()</f>
        <v/>
      </c>
    </row>
    <row r="131" ht="15" customHeight="1" s="5">
      <c r="A131" s="7" t="inlineStr">
        <is>
          <t>Benefit Category</t>
        </is>
      </c>
      <c r="B131" s="7" t="inlineStr">
        <is>
          <t>Compliance</t>
        </is>
      </c>
      <c r="C131" s="7" t="n">
        <v>5</v>
      </c>
      <c r="D131" s="7">
        <f>TRUE()</f>
        <v/>
      </c>
    </row>
    <row r="132" ht="15" customHeight="1" s="5">
      <c r="A132" s="7" t="inlineStr">
        <is>
          <t>Benefit Type</t>
        </is>
      </c>
      <c r="B132" s="7" t="inlineStr">
        <is>
          <t>Recurring</t>
        </is>
      </c>
      <c r="C132" s="7" t="n">
        <v>1</v>
      </c>
      <c r="D132" s="7">
        <f>TRUE()</f>
        <v/>
      </c>
    </row>
    <row r="133" ht="15" customHeight="1" s="5">
      <c r="A133" s="7" t="inlineStr">
        <is>
          <t>Benefit Type</t>
        </is>
      </c>
      <c r="B133" s="7" t="inlineStr">
        <is>
          <t>One-Off</t>
        </is>
      </c>
      <c r="C133" s="7" t="n">
        <v>2</v>
      </c>
      <c r="D133" s="7">
        <f>TRUE()</f>
        <v/>
      </c>
    </row>
    <row r="134" ht="15" customHeight="1" s="5">
      <c r="A134" s="7" t="inlineStr">
        <is>
          <t>Dependency Type</t>
        </is>
      </c>
      <c r="B134" s="7" t="inlineStr">
        <is>
          <t>Finish-Start</t>
        </is>
      </c>
      <c r="C134" s="7" t="n">
        <v>1</v>
      </c>
      <c r="D134" s="7">
        <f>TRUE()</f>
        <v/>
      </c>
    </row>
    <row r="135" ht="15" customHeight="1" s="5">
      <c r="A135" s="7" t="inlineStr">
        <is>
          <t>Dependency Type</t>
        </is>
      </c>
      <c r="B135" s="7" t="inlineStr">
        <is>
          <t>Start-Start</t>
        </is>
      </c>
      <c r="C135" s="7" t="n">
        <v>2</v>
      </c>
      <c r="D135" s="7">
        <f>TRUE()</f>
        <v/>
      </c>
    </row>
    <row r="136" ht="15" customHeight="1" s="5">
      <c r="A136" s="7" t="inlineStr">
        <is>
          <t>Dependency Type</t>
        </is>
      </c>
      <c r="B136" s="7" t="inlineStr">
        <is>
          <t>Blocks</t>
        </is>
      </c>
      <c r="C136" s="7" t="n">
        <v>3</v>
      </c>
      <c r="D136" s="7">
        <f>TRUE()</f>
        <v/>
      </c>
    </row>
    <row r="137" ht="15" customHeight="1" s="5">
      <c r="A137" s="7" t="inlineStr">
        <is>
          <t>Dependency Type</t>
        </is>
      </c>
      <c r="B137" s="7" t="inlineStr">
        <is>
          <t>Shared Resource</t>
        </is>
      </c>
      <c r="C137" s="7" t="n">
        <v>4</v>
      </c>
      <c r="D137" s="7">
        <f>TRUE()</f>
        <v/>
      </c>
    </row>
    <row r="138" ht="15" customHeight="1" s="5">
      <c r="A138" s="7" t="inlineStr">
        <is>
          <t>Dependency Status</t>
        </is>
      </c>
      <c r="B138" s="7" t="inlineStr">
        <is>
          <t>Healthy</t>
        </is>
      </c>
      <c r="C138" s="7" t="n">
        <v>1</v>
      </c>
      <c r="D138" s="7">
        <f>TRUE()</f>
        <v/>
      </c>
    </row>
    <row r="139" ht="15" customHeight="1" s="5">
      <c r="A139" s="7" t="inlineStr">
        <is>
          <t>Dependency Status</t>
        </is>
      </c>
      <c r="B139" s="7" t="inlineStr">
        <is>
          <t>At Risk</t>
        </is>
      </c>
      <c r="C139" s="7" t="n">
        <v>2</v>
      </c>
      <c r="D139" s="7">
        <f>TRUE()</f>
        <v/>
      </c>
    </row>
    <row r="140" ht="15" customHeight="1" s="5">
      <c r="A140" s="7" t="inlineStr">
        <is>
          <t>Dependency Status</t>
        </is>
      </c>
      <c r="B140" s="7" t="inlineStr">
        <is>
          <t>Blocked</t>
        </is>
      </c>
      <c r="C140" s="7" t="n">
        <v>3</v>
      </c>
      <c r="D140" s="7">
        <f>TRUE()</f>
        <v/>
      </c>
    </row>
    <row r="141" ht="15" customHeight="1" s="5">
      <c r="A141" s="7" t="inlineStr">
        <is>
          <t>Skill</t>
        </is>
      </c>
      <c r="B141" s="7" t="inlineStr">
        <is>
          <t>PM</t>
        </is>
      </c>
      <c r="C141" s="7" t="n">
        <v>1</v>
      </c>
      <c r="D141" s="7">
        <f>TRUE()</f>
        <v/>
      </c>
    </row>
    <row r="142" ht="15" customHeight="1" s="5">
      <c r="A142" s="7" t="inlineStr">
        <is>
          <t>Skill</t>
        </is>
      </c>
      <c r="B142" s="7" t="inlineStr">
        <is>
          <t>BA</t>
        </is>
      </c>
      <c r="C142" s="7" t="n">
        <v>2</v>
      </c>
      <c r="D142" s="7">
        <f>TRUE()</f>
        <v/>
      </c>
    </row>
    <row r="143" ht="15" customHeight="1" s="5">
      <c r="A143" s="7" t="inlineStr">
        <is>
          <t>Skill</t>
        </is>
      </c>
      <c r="B143" s="7" t="inlineStr">
        <is>
          <t>Dev</t>
        </is>
      </c>
      <c r="C143" s="7" t="n">
        <v>3</v>
      </c>
      <c r="D143" s="7">
        <f>TRUE()</f>
        <v/>
      </c>
    </row>
    <row r="144" ht="15" customHeight="1" s="5">
      <c r="A144" s="7" t="inlineStr">
        <is>
          <t>Skill</t>
        </is>
      </c>
      <c r="B144" s="7" t="inlineStr">
        <is>
          <t>QA</t>
        </is>
      </c>
      <c r="C144" s="7" t="n">
        <v>4</v>
      </c>
      <c r="D144" s="7">
        <f>TRUE()</f>
        <v/>
      </c>
    </row>
    <row r="145" ht="15" customHeight="1" s="5">
      <c r="A145" s="7" t="inlineStr">
        <is>
          <t>Skill</t>
        </is>
      </c>
      <c r="B145" s="7" t="inlineStr">
        <is>
          <t>DevOps</t>
        </is>
      </c>
      <c r="C145" s="7" t="n">
        <v>5</v>
      </c>
      <c r="D145" s="7">
        <f>TRUE()</f>
        <v/>
      </c>
    </row>
    <row r="146" ht="15" customHeight="1" s="5">
      <c r="A146" s="7" t="inlineStr">
        <is>
          <t>Skill</t>
        </is>
      </c>
      <c r="B146" s="7" t="inlineStr">
        <is>
          <t>Data</t>
        </is>
      </c>
      <c r="C146" s="7" t="n">
        <v>6</v>
      </c>
      <c r="D146" s="7">
        <f>TRUE()</f>
        <v/>
      </c>
    </row>
    <row r="147" ht="15" customHeight="1" s="5">
      <c r="A147" s="7" t="inlineStr">
        <is>
          <t>Skill</t>
        </is>
      </c>
      <c r="B147" s="7" t="inlineStr">
        <is>
          <t>Security</t>
        </is>
      </c>
      <c r="C147" s="7" t="n">
        <v>7</v>
      </c>
      <c r="D147" s="7">
        <f>TRUE()</f>
        <v/>
      </c>
    </row>
    <row r="148" ht="15" customHeight="1" s="5">
      <c r="A148" s="7" t="inlineStr">
        <is>
          <t>Skill</t>
        </is>
      </c>
      <c r="B148" s="7" t="inlineStr">
        <is>
          <t>UX</t>
        </is>
      </c>
      <c r="C148" s="7" t="n">
        <v>8</v>
      </c>
      <c r="D148" s="7">
        <f>TRUE()</f>
        <v/>
      </c>
    </row>
    <row r="149" ht="15" customHeight="1" s="5">
      <c r="A149" s="7" t="inlineStr">
        <is>
          <t>Skill</t>
        </is>
      </c>
      <c r="B149" s="7" t="inlineStr">
        <is>
          <t>Architect</t>
        </is>
      </c>
      <c r="C149" s="7" t="n">
        <v>9</v>
      </c>
      <c r="D149" s="7">
        <f>TRUE()</f>
        <v/>
      </c>
    </row>
    <row r="150" ht="15" customHeight="1" s="5">
      <c r="A150" s="7" t="inlineStr">
        <is>
          <t>Resource Role</t>
        </is>
      </c>
      <c r="B150" s="7" t="inlineStr">
        <is>
          <t>Project Manager</t>
        </is>
      </c>
      <c r="C150" s="7" t="n">
        <v>1</v>
      </c>
      <c r="D150" s="7">
        <f>TRUE()</f>
        <v/>
      </c>
    </row>
    <row r="151" ht="15" customHeight="1" s="5">
      <c r="A151" s="7" t="inlineStr">
        <is>
          <t>Resource Role</t>
        </is>
      </c>
      <c r="B151" s="7" t="inlineStr">
        <is>
          <t>Developer</t>
        </is>
      </c>
      <c r="C151" s="7" t="n">
        <v>2</v>
      </c>
      <c r="D151" s="7">
        <f>TRUE()</f>
        <v/>
      </c>
    </row>
    <row r="152" ht="15" customHeight="1" s="5">
      <c r="A152" s="7" t="inlineStr">
        <is>
          <t>Resource Role</t>
        </is>
      </c>
      <c r="B152" s="7" t="inlineStr">
        <is>
          <t>Tester</t>
        </is>
      </c>
      <c r="C152" s="7" t="n">
        <v>3</v>
      </c>
      <c r="D152" s="7">
        <f>TRUE()</f>
        <v/>
      </c>
    </row>
    <row r="153" ht="15" customHeight="1" s="5">
      <c r="A153" s="7" t="inlineStr">
        <is>
          <t>Resource Role</t>
        </is>
      </c>
      <c r="B153" s="7" t="inlineStr">
        <is>
          <t>Analyst</t>
        </is>
      </c>
      <c r="C153" s="7" t="n">
        <v>4</v>
      </c>
      <c r="D153" s="7">
        <f>TRUE()</f>
        <v/>
      </c>
    </row>
    <row r="154" ht="15" customHeight="1" s="5">
      <c r="A154" s="7" t="inlineStr">
        <is>
          <t>Resource Role</t>
        </is>
      </c>
      <c r="B154" s="7" t="inlineStr">
        <is>
          <t>Architect</t>
        </is>
      </c>
      <c r="C154" s="7" t="n">
        <v>5</v>
      </c>
      <c r="D154" s="7">
        <f>TRUE()</f>
        <v/>
      </c>
    </row>
    <row r="155" ht="15" customHeight="1" s="5">
      <c r="A155" s="7" t="inlineStr">
        <is>
          <t>Milestone</t>
        </is>
      </c>
      <c r="B155" s="7" t="inlineStr">
        <is>
          <t>Discovery</t>
        </is>
      </c>
      <c r="C155" s="7" t="n">
        <v>1</v>
      </c>
      <c r="D155" s="7">
        <f>TRUE()</f>
        <v/>
      </c>
    </row>
    <row r="156" ht="15" customHeight="1" s="5">
      <c r="A156" s="7" t="inlineStr">
        <is>
          <t>Milestone</t>
        </is>
      </c>
      <c r="B156" s="7" t="inlineStr">
        <is>
          <t>Business Case / Seed Funding</t>
        </is>
      </c>
      <c r="C156" s="7" t="n">
        <v>2</v>
      </c>
      <c r="D156" s="7">
        <f>TRUE()</f>
        <v/>
      </c>
    </row>
    <row r="157" ht="15" customHeight="1" s="5">
      <c r="A157" s="7" t="inlineStr">
        <is>
          <t>Milestone</t>
        </is>
      </c>
      <c r="B157" s="7" t="inlineStr">
        <is>
          <t>Design</t>
        </is>
      </c>
      <c r="C157" s="7" t="n">
        <v>3</v>
      </c>
      <c r="D157" s="7">
        <f>TRUE()</f>
        <v/>
      </c>
    </row>
    <row r="158" ht="15" customHeight="1" s="5">
      <c r="A158" s="7" t="inlineStr">
        <is>
          <t>Milestone</t>
        </is>
      </c>
      <c r="B158" s="7" t="inlineStr">
        <is>
          <t>Business Case / Full Funding</t>
        </is>
      </c>
      <c r="C158" s="7" t="n">
        <v>4</v>
      </c>
      <c r="D158" s="7">
        <f>TRUE()</f>
        <v/>
      </c>
    </row>
    <row r="159" ht="15" customHeight="1" s="5">
      <c r="A159" s="7" t="inlineStr">
        <is>
          <t>Milestone</t>
        </is>
      </c>
      <c r="B159" s="7" t="inlineStr">
        <is>
          <t>Build</t>
        </is>
      </c>
      <c r="C159" s="7" t="n">
        <v>5</v>
      </c>
      <c r="D159" s="7">
        <f>TRUE()</f>
        <v/>
      </c>
    </row>
    <row r="160" ht="15" customHeight="1" s="5">
      <c r="A160" s="7" t="inlineStr">
        <is>
          <t>Milestone</t>
        </is>
      </c>
      <c r="B160" s="7" t="inlineStr">
        <is>
          <t>Testing</t>
        </is>
      </c>
      <c r="C160" s="7" t="n">
        <v>6</v>
      </c>
      <c r="D160" s="7">
        <f>TRUE()</f>
        <v/>
      </c>
    </row>
    <row r="161" ht="15" customHeight="1" s="5">
      <c r="A161" s="7" t="inlineStr">
        <is>
          <t>Milestone</t>
        </is>
      </c>
      <c r="B161" s="7" t="inlineStr">
        <is>
          <t>Deployment</t>
        </is>
      </c>
      <c r="C161" s="7" t="n">
        <v>7</v>
      </c>
      <c r="D161" s="7">
        <f>TRUE()</f>
        <v/>
      </c>
    </row>
    <row r="162" ht="15" customHeight="1" s="5">
      <c r="A162" s="7" t="inlineStr">
        <is>
          <t>Milestone</t>
        </is>
      </c>
      <c r="B162" s="7" t="inlineStr">
        <is>
          <t>Handover</t>
        </is>
      </c>
      <c r="C162" s="7" t="n">
        <v>8</v>
      </c>
      <c r="D162" s="7">
        <f>TRUE()</f>
        <v/>
      </c>
    </row>
    <row r="163" ht="15" customHeight="1" s="5">
      <c r="A163" s="7" t="inlineStr">
        <is>
          <t>Pipeline Decision</t>
        </is>
      </c>
      <c r="B163" s="7" t="inlineStr">
        <is>
          <t>New</t>
        </is>
      </c>
      <c r="C163" s="7" t="n">
        <v>1</v>
      </c>
      <c r="D163" s="7">
        <f>TRUE()</f>
        <v/>
      </c>
    </row>
    <row r="164" ht="15" customHeight="1" s="5">
      <c r="A164" s="7" t="inlineStr">
        <is>
          <t>Pipeline Decision</t>
        </is>
      </c>
      <c r="B164" s="7" t="inlineStr">
        <is>
          <t>Under Review</t>
        </is>
      </c>
      <c r="C164" s="7" t="n">
        <v>2</v>
      </c>
      <c r="D164" s="7">
        <f>TRUE()</f>
        <v/>
      </c>
    </row>
    <row r="165" ht="15" customHeight="1" s="5">
      <c r="A165" s="7" t="inlineStr">
        <is>
          <t>Pipeline Decision</t>
        </is>
      </c>
      <c r="B165" s="7" t="inlineStr">
        <is>
          <t>Approved</t>
        </is>
      </c>
      <c r="C165" s="7" t="n">
        <v>3</v>
      </c>
      <c r="D165" s="7">
        <f>TRUE()</f>
        <v/>
      </c>
    </row>
    <row r="166" ht="15" customHeight="1" s="5">
      <c r="A166" s="7" t="inlineStr">
        <is>
          <t>Pipeline Decision</t>
        </is>
      </c>
      <c r="B166" s="7" t="inlineStr">
        <is>
          <t>Rejected</t>
        </is>
      </c>
      <c r="C166" s="7" t="n">
        <v>4</v>
      </c>
      <c r="D166" s="7">
        <f>TRUE()</f>
        <v/>
      </c>
    </row>
    <row r="167" ht="15" customHeight="1" s="5">
      <c r="A167" s="7" t="inlineStr">
        <is>
          <t>Pipeline Decision</t>
        </is>
      </c>
      <c r="B167" s="7" t="inlineStr">
        <is>
          <t>Parked</t>
        </is>
      </c>
      <c r="C167" s="7" t="n">
        <v>5</v>
      </c>
      <c r="D167" s="7">
        <f>TRUE()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Key</t>
        </is>
      </c>
      <c r="B1" s="6" t="inlineStr">
        <is>
          <t>Value</t>
        </is>
      </c>
      <c r="C1" s="6" t="inlineStr">
        <is>
          <t>Type</t>
        </is>
      </c>
      <c r="D1" s="6" t="inlineStr">
        <is>
          <t>Description</t>
        </is>
      </c>
    </row>
    <row r="2" ht="15" customHeight="1" s="5">
      <c r="A2" s="7" t="inlineStr">
        <is>
          <t>GOV_CHANNEL_THRESHOLD</t>
        </is>
      </c>
      <c r="B2" s="7" t="n">
        <v>200000</v>
      </c>
      <c r="C2" s="7" t="inlineStr">
        <is>
          <t>currency</t>
        </is>
      </c>
      <c r="D2" s="7" t="inlineStr">
        <is>
          <t>Approved $ at/below which a project is Channel A</t>
        </is>
      </c>
    </row>
    <row r="3" ht="15" customHeight="1" s="5">
      <c r="A3" s="7" t="inlineStr">
        <is>
          <t>SCHEDULE_AMBER_VARIANCE</t>
        </is>
      </c>
      <c r="B3" s="7" t="n">
        <v>-0.05</v>
      </c>
      <c r="C3" s="7" t="inlineStr">
        <is>
          <t>ratio</t>
        </is>
      </c>
      <c r="D3" s="7" t="inlineStr">
        <is>
          <t>Schedule variance worse than this → Amber</t>
        </is>
      </c>
    </row>
    <row r="4" ht="15" customHeight="1" s="5">
      <c r="A4" s="7" t="inlineStr">
        <is>
          <t>SCHEDULE_RED_VARIANCE</t>
        </is>
      </c>
      <c r="B4" s="7" t="n">
        <v>-0.1</v>
      </c>
      <c r="C4" s="7" t="inlineStr">
        <is>
          <t>ratio</t>
        </is>
      </c>
      <c r="D4" s="7" t="inlineStr">
        <is>
          <t>Schedule variance worse than this → Red</t>
        </is>
      </c>
    </row>
    <row r="5" ht="15" customHeight="1" s="5">
      <c r="A5" s="7" t="inlineStr">
        <is>
          <t>FINANCIAL_AMBER_VARIANCE</t>
        </is>
      </c>
      <c r="B5" s="7" t="n">
        <v>0.05</v>
      </c>
      <c r="C5" s="7" t="inlineStr">
        <is>
          <t>ratio</t>
        </is>
      </c>
      <c r="D5" s="7" t="inlineStr">
        <is>
          <t>(Forecast-Approved)/Approved above → Amber</t>
        </is>
      </c>
    </row>
    <row r="6" ht="15" customHeight="1" s="5">
      <c r="A6" s="7" t="inlineStr">
        <is>
          <t>FINANCIAL_RED_VARIANCE</t>
        </is>
      </c>
      <c r="B6" s="7" t="n">
        <v>0.1</v>
      </c>
      <c r="C6" s="7" t="inlineStr">
        <is>
          <t>ratio</t>
        </is>
      </c>
      <c r="D6" s="7" t="inlineStr">
        <is>
          <t>(Forecast-Approved)/Approved above → Red</t>
        </is>
      </c>
    </row>
    <row r="7" ht="15" customHeight="1" s="5">
      <c r="A7" s="7" t="inlineStr">
        <is>
          <t>BENEFIT_GREEN_THRESHOLD</t>
        </is>
      </c>
      <c r="B7" s="7" t="n">
        <v>0.7</v>
      </c>
      <c r="C7" s="7" t="inlineStr">
        <is>
          <t>ratio</t>
        </is>
      </c>
      <c r="D7" s="7" t="inlineStr">
        <is>
          <t>Benefit realisation ≥ → Green</t>
        </is>
      </c>
    </row>
    <row r="8" ht="15" customHeight="1" s="5">
      <c r="A8" s="7" t="inlineStr">
        <is>
          <t>BENEFIT_AMBER_THRESHOLD</t>
        </is>
      </c>
      <c r="B8" s="7" t="n">
        <v>0.3</v>
      </c>
      <c r="C8" s="7" t="inlineStr">
        <is>
          <t>ratio</t>
        </is>
      </c>
      <c r="D8" s="7" t="inlineStr">
        <is>
          <t>Benefit realisation ≥ → Amber (else Red)</t>
        </is>
      </c>
    </row>
    <row r="9" ht="15" customHeight="1" s="5">
      <c r="A9" s="7" t="inlineStr">
        <is>
          <t>DELIVERY_AMBER_DAYS_LATE</t>
        </is>
      </c>
      <c r="B9" s="7" t="n">
        <v>1</v>
      </c>
      <c r="C9" s="7" t="inlineStr">
        <is>
          <t>int</t>
        </is>
      </c>
      <c r="D9" s="7" t="inlineStr">
        <is>
          <t>Stage gate days late ≥ → Amber</t>
        </is>
      </c>
    </row>
    <row r="10" ht="15" customHeight="1" s="5">
      <c r="A10" s="7" t="inlineStr">
        <is>
          <t>DELIVERY_RED_DAYS_LATE</t>
        </is>
      </c>
      <c r="B10" s="7" t="n">
        <v>15</v>
      </c>
      <c r="C10" s="7" t="inlineStr">
        <is>
          <t>int</t>
        </is>
      </c>
      <c r="D10" s="7" t="inlineStr">
        <is>
          <t>Stage gate days late ≥ → Red</t>
        </is>
      </c>
    </row>
    <row r="11" ht="15" customHeight="1" s="5">
      <c r="A11" s="7" t="inlineStr">
        <is>
          <t>UPCOMING_GATE_WINDOW_DAYS</t>
        </is>
      </c>
      <c r="B11" s="7" t="n">
        <v>30</v>
      </c>
      <c r="C11" s="7" t="inlineStr">
        <is>
          <t>int</t>
        </is>
      </c>
      <c r="D11" s="7" t="inlineStr">
        <is>
          <t>Window for 'upcoming stage gates' KPI</t>
        </is>
      </c>
    </row>
    <row r="12" ht="15" customHeight="1" s="5">
      <c r="A12" s="7" t="inlineStr">
        <is>
          <t>PRIORITY_SCORE_WEIGHT_STRAT</t>
        </is>
      </c>
      <c r="B12" s="7" t="n">
        <v>0.3</v>
      </c>
      <c r="C12" s="7" t="inlineStr">
        <is>
          <t>ratio</t>
        </is>
      </c>
      <c r="D12" s="7" t="inlineStr">
        <is>
          <t>Prioritisation: strategic weight</t>
        </is>
      </c>
    </row>
    <row r="13" ht="15" customHeight="1" s="5">
      <c r="A13" s="7" t="inlineStr">
        <is>
          <t>PRIORITY_SCORE_WEIGHT_BENEFIT</t>
        </is>
      </c>
      <c r="B13" s="7" t="n">
        <v>0.25</v>
      </c>
      <c r="C13" s="7" t="inlineStr">
        <is>
          <t>ratio</t>
        </is>
      </c>
      <c r="D13" s="7" t="inlineStr">
        <is>
          <t>Prioritisation: benefit weight</t>
        </is>
      </c>
    </row>
    <row r="14" ht="15" customHeight="1" s="5">
      <c r="A14" s="7" t="inlineStr">
        <is>
          <t>PRIORITY_SCORE_WEIGHT_RISK</t>
        </is>
      </c>
      <c r="B14" s="7" t="n">
        <v>0.2</v>
      </c>
      <c r="C14" s="7" t="inlineStr">
        <is>
          <t>ratio</t>
        </is>
      </c>
      <c r="D14" s="7" t="inlineStr">
        <is>
          <t>Prioritisation: risk-reduction weight</t>
        </is>
      </c>
    </row>
    <row r="15" ht="15" customHeight="1" s="5">
      <c r="A15" s="7" t="inlineStr">
        <is>
          <t>PRIORITY_SCORE_WEIGHT_COMPL</t>
        </is>
      </c>
      <c r="B15" s="7" t="n">
        <v>0.15</v>
      </c>
      <c r="C15" s="7" t="inlineStr">
        <is>
          <t>ratio</t>
        </is>
      </c>
      <c r="D15" s="7" t="inlineStr">
        <is>
          <t>Prioritisation: compliance weight</t>
        </is>
      </c>
    </row>
    <row r="16" ht="15" customHeight="1" s="5">
      <c r="A16" s="7" t="inlineStr">
        <is>
          <t>PRIORITY_SCORE_WEIGHT_CPLX</t>
        </is>
      </c>
      <c r="B16" s="7" t="n">
        <v>0.1</v>
      </c>
      <c r="C16" s="7" t="inlineStr">
        <is>
          <t>ratio</t>
        </is>
      </c>
      <c r="D16" s="7" t="inlineStr">
        <is>
          <t>Prioritisation: complexity penalty</t>
        </is>
      </c>
    </row>
    <row r="17" ht="15" customHeight="1" s="5">
      <c r="A17" s="7" t="inlineStr">
        <is>
          <t>CURRENCY_SYMBOL</t>
        </is>
      </c>
      <c r="B17" s="7" t="inlineStr">
        <is>
          <t>$</t>
        </is>
      </c>
      <c r="C17" s="7" t="inlineStr">
        <is>
          <t>text</t>
        </is>
      </c>
      <c r="D17" s="7" t="inlineStr">
        <is>
          <t>Symbol shown in KPI cards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M2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Sprint ID</t>
        </is>
      </c>
      <c r="B1" s="6" t="inlineStr">
        <is>
          <t>Project ID</t>
        </is>
      </c>
      <c r="C1" s="6" t="inlineStr">
        <is>
          <t>Project Name</t>
        </is>
      </c>
      <c r="D1" s="6" t="inlineStr">
        <is>
          <t>Sprint #</t>
        </is>
      </c>
      <c r="E1" s="6" t="inlineStr">
        <is>
          <t>Sprint Name</t>
        </is>
      </c>
      <c r="F1" s="6" t="inlineStr">
        <is>
          <t>Start Date</t>
        </is>
      </c>
      <c r="G1" s="6" t="inlineStr">
        <is>
          <t>End Date</t>
        </is>
      </c>
      <c r="H1" s="6" t="inlineStr">
        <is>
          <t>Points Committed</t>
        </is>
      </c>
      <c r="I1" s="6" t="inlineStr">
        <is>
          <t>Points Completed</t>
        </is>
      </c>
      <c r="J1" s="6" t="inlineStr">
        <is>
          <t>Stories Committed</t>
        </is>
      </c>
      <c r="K1" s="6" t="inlineStr">
        <is>
          <t>Stories Completed</t>
        </is>
      </c>
      <c r="L1" s="6" t="inlineStr">
        <is>
          <t>Status</t>
        </is>
      </c>
      <c r="M1" s="6" t="inlineStr">
        <is>
          <t>Team</t>
        </is>
      </c>
    </row>
    <row r="2" ht="15" customHeight="1" s="5">
      <c r="A2" s="7" t="inlineStr">
        <is>
          <t>SP0001</t>
        </is>
      </c>
      <c r="B2" s="7" t="inlineStr">
        <is>
          <t>PRJ001</t>
        </is>
      </c>
      <c r="C2" s="7">
        <f>IFERROR(VLOOKUP(B2,Projects!$A:$AK,2,FALSE()),"")</f>
        <v/>
      </c>
      <c r="D2" s="7" t="n">
        <v>1</v>
      </c>
      <c r="E2" s="7" t="inlineStr">
        <is>
          <t>PRJ001 Sprint 1</t>
        </is>
      </c>
      <c r="F2" s="8">
        <f>IFERROR(VLOOKUP(B2,Projects!$A:$AK,16,FALSE()),"")</f>
        <v/>
      </c>
      <c r="G2" s="8">
        <f>IFERROR(VLOOKUP(B2,Projects!$A:$AK,17,FALSE()),"")</f>
        <v/>
      </c>
      <c r="H2" s="7" t="n">
        <v>37</v>
      </c>
      <c r="I2" s="7" t="n">
        <v>39</v>
      </c>
      <c r="J2" s="7" t="n">
        <v>7</v>
      </c>
      <c r="K2" s="7" t="n">
        <v>7</v>
      </c>
      <c r="L2" s="7" t="inlineStr">
        <is>
          <t>Complete</t>
        </is>
      </c>
      <c r="M2" s="7" t="inlineStr">
        <is>
          <t>Alex Brown</t>
        </is>
      </c>
    </row>
    <row r="3" ht="15" customHeight="1" s="5">
      <c r="A3" s="7" t="inlineStr">
        <is>
          <t>SP0002</t>
        </is>
      </c>
      <c r="B3" s="7" t="inlineStr">
        <is>
          <t>PRJ001</t>
        </is>
      </c>
      <c r="C3" s="7">
        <f>IFERROR(VLOOKUP(B3,Projects!$A:$AK,2,FALSE()),"")</f>
        <v/>
      </c>
      <c r="D3" s="7" t="n">
        <v>2</v>
      </c>
      <c r="E3" s="7" t="inlineStr">
        <is>
          <t>PRJ001 Sprint 2</t>
        </is>
      </c>
      <c r="F3" s="8">
        <f>IFERROR(VLOOKUP(B3,Projects!$A:$AK,16,FALSE()),"")</f>
        <v/>
      </c>
      <c r="G3" s="8">
        <f>IFERROR(VLOOKUP(B3,Projects!$A:$AK,17,FALSE()),"")</f>
        <v/>
      </c>
      <c r="H3" s="7" t="n">
        <v>37</v>
      </c>
      <c r="I3" s="7" t="n">
        <v>30</v>
      </c>
      <c r="J3" s="7" t="n">
        <v>7</v>
      </c>
      <c r="K3" s="7" t="n">
        <v>6</v>
      </c>
      <c r="L3" s="7" t="inlineStr">
        <is>
          <t>Complete</t>
        </is>
      </c>
      <c r="M3" s="7" t="inlineStr">
        <is>
          <t>Alex Brown</t>
        </is>
      </c>
    </row>
    <row r="4" ht="15" customHeight="1" s="5">
      <c r="A4" s="7" t="inlineStr">
        <is>
          <t>SP0003</t>
        </is>
      </c>
      <c r="B4" s="7" t="inlineStr">
        <is>
          <t>PRJ001</t>
        </is>
      </c>
      <c r="C4" s="7">
        <f>IFERROR(VLOOKUP(B4,Projects!$A:$AK,2,FALSE()),"")</f>
        <v/>
      </c>
      <c r="D4" s="7" t="n">
        <v>3</v>
      </c>
      <c r="E4" s="7" t="inlineStr">
        <is>
          <t>PRJ001 Sprint 3</t>
        </is>
      </c>
      <c r="F4" s="8">
        <f>IFERROR(VLOOKUP(B4,Projects!$A:$AK,16,FALSE()),"")</f>
        <v/>
      </c>
      <c r="G4" s="8">
        <f>IFERROR(VLOOKUP(B4,Projects!$A:$AK,17,FALSE()),"")</f>
        <v/>
      </c>
      <c r="H4" s="7" t="n">
        <v>38</v>
      </c>
      <c r="I4" s="7" t="n">
        <v>41</v>
      </c>
      <c r="J4" s="7" t="n">
        <v>7</v>
      </c>
      <c r="K4" s="7" t="n">
        <v>8</v>
      </c>
      <c r="L4" s="7" t="inlineStr">
        <is>
          <t>Complete</t>
        </is>
      </c>
      <c r="M4" s="7" t="inlineStr">
        <is>
          <t>Alex Brown</t>
        </is>
      </c>
    </row>
    <row r="5" ht="15" customHeight="1" s="5">
      <c r="A5" s="7" t="inlineStr">
        <is>
          <t>SP0004</t>
        </is>
      </c>
      <c r="B5" s="7" t="inlineStr">
        <is>
          <t>PRJ001</t>
        </is>
      </c>
      <c r="C5" s="7">
        <f>IFERROR(VLOOKUP(B5,Projects!$A:$AK,2,FALSE()),"")</f>
        <v/>
      </c>
      <c r="D5" s="7" t="n">
        <v>4</v>
      </c>
      <c r="E5" s="7" t="inlineStr">
        <is>
          <t>PRJ001 Sprint 4</t>
        </is>
      </c>
      <c r="F5" s="8">
        <f>IFERROR(VLOOKUP(B5,Projects!$A:$AK,16,FALSE()),"")</f>
        <v/>
      </c>
      <c r="G5" s="8">
        <f>IFERROR(VLOOKUP(B5,Projects!$A:$AK,17,FALSE()),"")</f>
        <v/>
      </c>
      <c r="H5" s="7" t="n">
        <v>37</v>
      </c>
      <c r="I5" s="7" t="n">
        <v>34</v>
      </c>
      <c r="J5" s="7" t="n">
        <v>7</v>
      </c>
      <c r="K5" s="7" t="n">
        <v>6</v>
      </c>
      <c r="L5" s="7" t="inlineStr">
        <is>
          <t>Complete</t>
        </is>
      </c>
      <c r="M5" s="7" t="inlineStr">
        <is>
          <t>Alex Brown</t>
        </is>
      </c>
    </row>
    <row r="6" ht="15" customHeight="1" s="5">
      <c r="A6" s="7" t="inlineStr">
        <is>
          <t>SP0005</t>
        </is>
      </c>
      <c r="B6" s="7" t="inlineStr">
        <is>
          <t>PRJ001</t>
        </is>
      </c>
      <c r="C6" s="7">
        <f>IFERROR(VLOOKUP(B6,Projects!$A:$AK,2,FALSE()),"")</f>
        <v/>
      </c>
      <c r="D6" s="7" t="n">
        <v>5</v>
      </c>
      <c r="E6" s="7" t="inlineStr">
        <is>
          <t>PRJ001 Sprint 5</t>
        </is>
      </c>
      <c r="F6" s="8">
        <f>IFERROR(VLOOKUP(B6,Projects!$A:$AK,16,FALSE()),"")</f>
        <v/>
      </c>
      <c r="G6" s="8">
        <f>IFERROR(VLOOKUP(B6,Projects!$A:$AK,17,FALSE()),"")</f>
        <v/>
      </c>
      <c r="H6" s="7" t="n">
        <v>32</v>
      </c>
      <c r="I6" s="7" t="n">
        <v>29</v>
      </c>
      <c r="J6" s="7" t="n">
        <v>6</v>
      </c>
      <c r="K6" s="7" t="n">
        <v>5</v>
      </c>
      <c r="L6" s="7" t="inlineStr">
        <is>
          <t>Complete</t>
        </is>
      </c>
      <c r="M6" s="7" t="inlineStr">
        <is>
          <t>Alex Brown</t>
        </is>
      </c>
    </row>
    <row r="7" ht="15" customHeight="1" s="5">
      <c r="A7" s="7" t="inlineStr">
        <is>
          <t>SP0006</t>
        </is>
      </c>
      <c r="B7" s="7" t="inlineStr">
        <is>
          <t>PRJ001</t>
        </is>
      </c>
      <c r="C7" s="7">
        <f>IFERROR(VLOOKUP(B7,Projects!$A:$AK,2,FALSE()),"")</f>
        <v/>
      </c>
      <c r="D7" s="7" t="n">
        <v>6</v>
      </c>
      <c r="E7" s="7" t="inlineStr">
        <is>
          <t>PRJ001 Sprint 6</t>
        </is>
      </c>
      <c r="F7" s="8">
        <f>IFERROR(VLOOKUP(B7,Projects!$A:$AK,16,FALSE()),"")</f>
        <v/>
      </c>
      <c r="G7" s="8">
        <f>IFERROR(VLOOKUP(B7,Projects!$A:$AK,17,FALSE()),"")</f>
        <v/>
      </c>
      <c r="H7" s="7" t="n">
        <v>37</v>
      </c>
      <c r="I7" s="7" t="n">
        <v>30</v>
      </c>
      <c r="J7" s="7" t="n">
        <v>7</v>
      </c>
      <c r="K7" s="7" t="n">
        <v>6</v>
      </c>
      <c r="L7" s="7" t="inlineStr">
        <is>
          <t>Complete</t>
        </is>
      </c>
      <c r="M7" s="7" t="inlineStr">
        <is>
          <t>Alex Brown</t>
        </is>
      </c>
    </row>
    <row r="8" ht="15" customHeight="1" s="5">
      <c r="A8" s="7" t="inlineStr">
        <is>
          <t>SP0007</t>
        </is>
      </c>
      <c r="B8" s="7" t="inlineStr">
        <is>
          <t>PRJ001</t>
        </is>
      </c>
      <c r="C8" s="7">
        <f>IFERROR(VLOOKUP(B8,Projects!$A:$AK,2,FALSE()),"")</f>
        <v/>
      </c>
      <c r="D8" s="7" t="n">
        <v>7</v>
      </c>
      <c r="E8" s="7" t="inlineStr">
        <is>
          <t>PRJ001 Sprint 7</t>
        </is>
      </c>
      <c r="F8" s="8">
        <f>IFERROR(VLOOKUP(B8,Projects!$A:$AK,16,FALSE()),"")</f>
        <v/>
      </c>
      <c r="G8" s="8">
        <f>IFERROR(VLOOKUP(B8,Projects!$A:$AK,17,FALSE()),"")</f>
        <v/>
      </c>
      <c r="H8" s="7" t="n">
        <v>44</v>
      </c>
      <c r="I8" s="7" t="n">
        <v>38</v>
      </c>
      <c r="J8" s="7" t="n">
        <v>8</v>
      </c>
      <c r="K8" s="7" t="n">
        <v>7</v>
      </c>
      <c r="L8" s="7" t="inlineStr">
        <is>
          <t>Complete</t>
        </is>
      </c>
      <c r="M8" s="7" t="inlineStr">
        <is>
          <t>Alex Brown</t>
        </is>
      </c>
    </row>
    <row r="9" ht="15" customHeight="1" s="5">
      <c r="A9" s="7" t="inlineStr">
        <is>
          <t>SP0008</t>
        </is>
      </c>
      <c r="B9" s="7" t="inlineStr">
        <is>
          <t>PRJ001</t>
        </is>
      </c>
      <c r="C9" s="7">
        <f>IFERROR(VLOOKUP(B9,Projects!$A:$AK,2,FALSE()),"")</f>
        <v/>
      </c>
      <c r="D9" s="7" t="n">
        <v>8</v>
      </c>
      <c r="E9" s="7" t="inlineStr">
        <is>
          <t>PRJ001 Sprint 8</t>
        </is>
      </c>
      <c r="F9" s="8">
        <f>IFERROR(VLOOKUP(B9,Projects!$A:$AK,16,FALSE()),"")</f>
        <v/>
      </c>
      <c r="G9" s="8">
        <f>IFERROR(VLOOKUP(B9,Projects!$A:$AK,17,FALSE()),"")</f>
        <v/>
      </c>
      <c r="H9" s="7" t="n">
        <v>34</v>
      </c>
      <c r="I9" s="7" t="n">
        <v>26</v>
      </c>
      <c r="J9" s="7" t="n">
        <v>6</v>
      </c>
      <c r="K9" s="7" t="n">
        <v>5</v>
      </c>
      <c r="L9" s="7" t="inlineStr">
        <is>
          <t>Complete</t>
        </is>
      </c>
      <c r="M9" s="7" t="inlineStr">
        <is>
          <t>Alex Brown</t>
        </is>
      </c>
    </row>
    <row r="10" ht="15" customHeight="1" s="5">
      <c r="A10" s="7" t="inlineStr">
        <is>
          <t>SP0009</t>
        </is>
      </c>
      <c r="B10" s="7" t="inlineStr">
        <is>
          <t>PRJ002</t>
        </is>
      </c>
      <c r="C10" s="7">
        <f>IFERROR(VLOOKUP(B10,Projects!$A:$AK,2,FALSE()),"")</f>
        <v/>
      </c>
      <c r="D10" s="7" t="n">
        <v>1</v>
      </c>
      <c r="E10" s="7" t="inlineStr">
        <is>
          <t>PRJ002 Sprint 1</t>
        </is>
      </c>
      <c r="F10" s="8">
        <f>IFERROR(VLOOKUP(B10,Projects!$A:$AK,16,FALSE()),"")</f>
        <v/>
      </c>
      <c r="G10" s="8">
        <f>IFERROR(VLOOKUP(B10,Projects!$A:$AK,17,FALSE()),"")</f>
        <v/>
      </c>
      <c r="H10" s="7" t="n">
        <v>32</v>
      </c>
      <c r="I10" s="7" t="n">
        <v>27</v>
      </c>
      <c r="J10" s="7" t="n">
        <v>6</v>
      </c>
      <c r="K10" s="7" t="n">
        <v>5</v>
      </c>
      <c r="L10" s="7" t="inlineStr">
        <is>
          <t>Complete</t>
        </is>
      </c>
      <c r="M10" s="7" t="inlineStr">
        <is>
          <t>Carlos Diaz</t>
        </is>
      </c>
    </row>
    <row r="11" ht="15" customHeight="1" s="5">
      <c r="A11" s="7" t="inlineStr">
        <is>
          <t>SP0010</t>
        </is>
      </c>
      <c r="B11" s="7" t="inlineStr">
        <is>
          <t>PRJ002</t>
        </is>
      </c>
      <c r="C11" s="7">
        <f>IFERROR(VLOOKUP(B11,Projects!$A:$AK,2,FALSE()),"")</f>
        <v/>
      </c>
      <c r="D11" s="7" t="n">
        <v>2</v>
      </c>
      <c r="E11" s="7" t="inlineStr">
        <is>
          <t>PRJ002 Sprint 2</t>
        </is>
      </c>
      <c r="F11" s="8">
        <f>IFERROR(VLOOKUP(B11,Projects!$A:$AK,16,FALSE()),"")</f>
        <v/>
      </c>
      <c r="G11" s="8">
        <f>IFERROR(VLOOKUP(B11,Projects!$A:$AK,17,FALSE()),"")</f>
        <v/>
      </c>
      <c r="H11" s="7" t="n">
        <v>33</v>
      </c>
      <c r="I11" s="7" t="n">
        <v>33</v>
      </c>
      <c r="J11" s="7" t="n">
        <v>6</v>
      </c>
      <c r="K11" s="7" t="n">
        <v>6</v>
      </c>
      <c r="L11" s="7" t="inlineStr">
        <is>
          <t>Complete</t>
        </is>
      </c>
      <c r="M11" s="7" t="inlineStr">
        <is>
          <t>Carlos Diaz</t>
        </is>
      </c>
    </row>
    <row r="12" ht="15" customHeight="1" s="5">
      <c r="A12" s="7" t="inlineStr">
        <is>
          <t>SP0011</t>
        </is>
      </c>
      <c r="B12" s="7" t="inlineStr">
        <is>
          <t>PRJ002</t>
        </is>
      </c>
      <c r="C12" s="7">
        <f>IFERROR(VLOOKUP(B12,Projects!$A:$AK,2,FALSE()),"")</f>
        <v/>
      </c>
      <c r="D12" s="7" t="n">
        <v>3</v>
      </c>
      <c r="E12" s="7" t="inlineStr">
        <is>
          <t>PRJ002 Sprint 3</t>
        </is>
      </c>
      <c r="F12" s="8">
        <f>IFERROR(VLOOKUP(B12,Projects!$A:$AK,16,FALSE()),"")</f>
        <v/>
      </c>
      <c r="G12" s="8">
        <f>IFERROR(VLOOKUP(B12,Projects!$A:$AK,17,FALSE()),"")</f>
        <v/>
      </c>
      <c r="H12" s="7" t="n">
        <v>22</v>
      </c>
      <c r="I12" s="7" t="n">
        <v>26</v>
      </c>
      <c r="J12" s="7" t="n">
        <v>4</v>
      </c>
      <c r="K12" s="7" t="n">
        <v>5</v>
      </c>
      <c r="L12" s="7" t="inlineStr">
        <is>
          <t>Complete</t>
        </is>
      </c>
      <c r="M12" s="7" t="inlineStr">
        <is>
          <t>Carlos Diaz</t>
        </is>
      </c>
    </row>
    <row r="13" ht="15" customHeight="1" s="5">
      <c r="A13" s="7" t="inlineStr">
        <is>
          <t>SP0012</t>
        </is>
      </c>
      <c r="B13" s="7" t="inlineStr">
        <is>
          <t>PRJ002</t>
        </is>
      </c>
      <c r="C13" s="7">
        <f>IFERROR(VLOOKUP(B13,Projects!$A:$AK,2,FALSE()),"")</f>
        <v/>
      </c>
      <c r="D13" s="7" t="n">
        <v>4</v>
      </c>
      <c r="E13" s="7" t="inlineStr">
        <is>
          <t>PRJ002 Sprint 4</t>
        </is>
      </c>
      <c r="F13" s="8">
        <f>IFERROR(VLOOKUP(B13,Projects!$A:$AK,16,FALSE()),"")</f>
        <v/>
      </c>
      <c r="G13" s="8">
        <f>IFERROR(VLOOKUP(B13,Projects!$A:$AK,17,FALSE()),"")</f>
        <v/>
      </c>
      <c r="H13" s="7" t="n">
        <v>23</v>
      </c>
      <c r="I13" s="7" t="n">
        <v>11</v>
      </c>
      <c r="J13" s="7" t="n">
        <v>4</v>
      </c>
      <c r="K13" s="7" t="n">
        <v>2</v>
      </c>
      <c r="L13" s="7" t="inlineStr">
        <is>
          <t>Complete</t>
        </is>
      </c>
      <c r="M13" s="7" t="inlineStr">
        <is>
          <t>Carlos Diaz</t>
        </is>
      </c>
    </row>
    <row r="14" ht="15" customHeight="1" s="5">
      <c r="A14" s="7" t="inlineStr">
        <is>
          <t>SP0013</t>
        </is>
      </c>
      <c r="B14" s="7" t="inlineStr">
        <is>
          <t>PRJ002</t>
        </is>
      </c>
      <c r="C14" s="7">
        <f>IFERROR(VLOOKUP(B14,Projects!$A:$AK,2,FALSE()),"")</f>
        <v/>
      </c>
      <c r="D14" s="7" t="n">
        <v>5</v>
      </c>
      <c r="E14" s="7" t="inlineStr">
        <is>
          <t>PRJ002 Sprint 5</t>
        </is>
      </c>
      <c r="F14" s="8">
        <f>IFERROR(VLOOKUP(B14,Projects!$A:$AK,16,FALSE()),"")</f>
        <v/>
      </c>
      <c r="G14" s="8">
        <f>IFERROR(VLOOKUP(B14,Projects!$A:$AK,17,FALSE()),"")</f>
        <v/>
      </c>
      <c r="H14" s="7" t="n">
        <v>22</v>
      </c>
      <c r="I14" s="7" t="n">
        <v>22</v>
      </c>
      <c r="J14" s="7" t="n">
        <v>4</v>
      </c>
      <c r="K14" s="7" t="n">
        <v>4</v>
      </c>
      <c r="L14" s="7" t="inlineStr">
        <is>
          <t>Complete</t>
        </is>
      </c>
      <c r="M14" s="7" t="inlineStr">
        <is>
          <t>Carlos Diaz</t>
        </is>
      </c>
    </row>
    <row r="15" ht="15" customHeight="1" s="5">
      <c r="A15" s="7" t="inlineStr">
        <is>
          <t>SP0014</t>
        </is>
      </c>
      <c r="B15" s="7" t="inlineStr">
        <is>
          <t>PRJ002</t>
        </is>
      </c>
      <c r="C15" s="7">
        <f>IFERROR(VLOOKUP(B15,Projects!$A:$AK,2,FALSE()),"")</f>
        <v/>
      </c>
      <c r="D15" s="7" t="n">
        <v>6</v>
      </c>
      <c r="E15" s="7" t="inlineStr">
        <is>
          <t>PRJ002 Sprint 6</t>
        </is>
      </c>
      <c r="F15" s="8">
        <f>IFERROR(VLOOKUP(B15,Projects!$A:$AK,16,FALSE()),"")</f>
        <v/>
      </c>
      <c r="G15" s="8">
        <f>IFERROR(VLOOKUP(B15,Projects!$A:$AK,17,FALSE()),"")</f>
        <v/>
      </c>
      <c r="H15" s="7" t="n">
        <v>31</v>
      </c>
      <c r="I15" s="7" t="n">
        <v>19</v>
      </c>
      <c r="J15" s="7" t="n">
        <v>6</v>
      </c>
      <c r="K15" s="7" t="n">
        <v>3</v>
      </c>
      <c r="L15" s="7" t="inlineStr">
        <is>
          <t>Complete</t>
        </is>
      </c>
      <c r="M15" s="7" t="inlineStr">
        <is>
          <t>Carlos Diaz</t>
        </is>
      </c>
    </row>
    <row r="16" ht="15" customHeight="1" s="5">
      <c r="A16" s="7" t="inlineStr">
        <is>
          <t>SP0015</t>
        </is>
      </c>
      <c r="B16" s="7" t="inlineStr">
        <is>
          <t>PRJ002</t>
        </is>
      </c>
      <c r="C16" s="7">
        <f>IFERROR(VLOOKUP(B16,Projects!$A:$AK,2,FALSE()),"")</f>
        <v/>
      </c>
      <c r="D16" s="7" t="n">
        <v>7</v>
      </c>
      <c r="E16" s="7" t="inlineStr">
        <is>
          <t>PRJ002 Sprint 7</t>
        </is>
      </c>
      <c r="F16" s="8">
        <f>IFERROR(VLOOKUP(B16,Projects!$A:$AK,16,FALSE()),"")</f>
        <v/>
      </c>
      <c r="G16" s="8">
        <f>IFERROR(VLOOKUP(B16,Projects!$A:$AK,17,FALSE()),"")</f>
        <v/>
      </c>
      <c r="H16" s="7" t="n">
        <v>22</v>
      </c>
      <c r="I16" s="7" t="n">
        <v>10</v>
      </c>
      <c r="J16" s="7" t="n">
        <v>4</v>
      </c>
      <c r="K16" s="7" t="n">
        <v>2</v>
      </c>
      <c r="L16" s="7" t="inlineStr">
        <is>
          <t>Complete</t>
        </is>
      </c>
      <c r="M16" s="7" t="inlineStr">
        <is>
          <t>Carlos Diaz</t>
        </is>
      </c>
    </row>
    <row r="17" ht="15" customHeight="1" s="5">
      <c r="A17" s="7" t="inlineStr">
        <is>
          <t>SP0016</t>
        </is>
      </c>
      <c r="B17" s="7" t="inlineStr">
        <is>
          <t>PRJ002</t>
        </is>
      </c>
      <c r="C17" s="7">
        <f>IFERROR(VLOOKUP(B17,Projects!$A:$AK,2,FALSE()),"")</f>
        <v/>
      </c>
      <c r="D17" s="7" t="n">
        <v>8</v>
      </c>
      <c r="E17" s="7" t="inlineStr">
        <is>
          <t>PRJ002 Sprint 8</t>
        </is>
      </c>
      <c r="F17" s="8">
        <f>IFERROR(VLOOKUP(B17,Projects!$A:$AK,16,FALSE()),"")</f>
        <v/>
      </c>
      <c r="G17" s="8">
        <f>IFERROR(VLOOKUP(B17,Projects!$A:$AK,17,FALSE()),"")</f>
        <v/>
      </c>
      <c r="H17" s="7" t="n">
        <v>20</v>
      </c>
      <c r="I17" s="7" t="n">
        <v>12</v>
      </c>
      <c r="J17" s="7" t="n">
        <v>4</v>
      </c>
      <c r="K17" s="7" t="n">
        <v>2</v>
      </c>
      <c r="L17" s="7" t="inlineStr">
        <is>
          <t>Complete</t>
        </is>
      </c>
      <c r="M17" s="7" t="inlineStr">
        <is>
          <t>Carlos Diaz</t>
        </is>
      </c>
    </row>
    <row r="18" ht="15" customHeight="1" s="5">
      <c r="A18" s="7" t="inlineStr">
        <is>
          <t>SP0017</t>
        </is>
      </c>
      <c r="B18" s="7" t="inlineStr">
        <is>
          <t>PRJ003</t>
        </is>
      </c>
      <c r="C18" s="7">
        <f>IFERROR(VLOOKUP(B18,Projects!$A:$AK,2,FALSE()),"")</f>
        <v/>
      </c>
      <c r="D18" s="7" t="n">
        <v>1</v>
      </c>
      <c r="E18" s="7" t="inlineStr">
        <is>
          <t>PRJ003 Sprint 1</t>
        </is>
      </c>
      <c r="F18" s="8">
        <f>IFERROR(VLOOKUP(B18,Projects!$A:$AK,16,FALSE()),"")</f>
        <v/>
      </c>
      <c r="G18" s="8">
        <f>IFERROR(VLOOKUP(B18,Projects!$A:$AK,17,FALSE()),"")</f>
        <v/>
      </c>
      <c r="H18" s="7" t="n">
        <v>26</v>
      </c>
      <c r="I18" s="7" t="n">
        <v>22</v>
      </c>
      <c r="J18" s="7" t="n">
        <v>5</v>
      </c>
      <c r="K18" s="7" t="n">
        <v>4</v>
      </c>
      <c r="L18" s="7" t="inlineStr">
        <is>
          <t>Complete</t>
        </is>
      </c>
      <c r="M18" s="7" t="inlineStr">
        <is>
          <t>Carlos Diaz</t>
        </is>
      </c>
    </row>
    <row r="19" ht="15" customHeight="1" s="5">
      <c r="A19" s="7" t="inlineStr">
        <is>
          <t>SP0018</t>
        </is>
      </c>
      <c r="B19" s="7" t="inlineStr">
        <is>
          <t>PRJ003</t>
        </is>
      </c>
      <c r="C19" s="7">
        <f>IFERROR(VLOOKUP(B19,Projects!$A:$AK,2,FALSE()),"")</f>
        <v/>
      </c>
      <c r="D19" s="7" t="n">
        <v>2</v>
      </c>
      <c r="E19" s="7" t="inlineStr">
        <is>
          <t>PRJ003 Sprint 2</t>
        </is>
      </c>
      <c r="F19" s="8">
        <f>IFERROR(VLOOKUP(B19,Projects!$A:$AK,16,FALSE()),"")</f>
        <v/>
      </c>
      <c r="G19" s="8">
        <f>IFERROR(VLOOKUP(B19,Projects!$A:$AK,17,FALSE()),"")</f>
        <v/>
      </c>
      <c r="H19" s="7" t="n">
        <v>28</v>
      </c>
      <c r="I19" s="7" t="n">
        <v>16</v>
      </c>
      <c r="J19" s="7" t="n">
        <v>5</v>
      </c>
      <c r="K19" s="7" t="n">
        <v>3</v>
      </c>
      <c r="L19" s="7" t="inlineStr">
        <is>
          <t>Complete</t>
        </is>
      </c>
      <c r="M19" s="7" t="inlineStr">
        <is>
          <t>Carlos Diaz</t>
        </is>
      </c>
    </row>
    <row r="20" ht="15" customHeight="1" s="5">
      <c r="A20" s="7" t="inlineStr">
        <is>
          <t>SP0019</t>
        </is>
      </c>
      <c r="B20" s="7" t="inlineStr">
        <is>
          <t>PRJ003</t>
        </is>
      </c>
      <c r="C20" s="7">
        <f>IFERROR(VLOOKUP(B20,Projects!$A:$AK,2,FALSE()),"")</f>
        <v/>
      </c>
      <c r="D20" s="7" t="n">
        <v>3</v>
      </c>
      <c r="E20" s="7" t="inlineStr">
        <is>
          <t>PRJ003 Sprint 3</t>
        </is>
      </c>
      <c r="F20" s="8">
        <f>IFERROR(VLOOKUP(B20,Projects!$A:$AK,16,FALSE()),"")</f>
        <v/>
      </c>
      <c r="G20" s="8">
        <f>IFERROR(VLOOKUP(B20,Projects!$A:$AK,17,FALSE()),"")</f>
        <v/>
      </c>
      <c r="H20" s="7" t="n">
        <v>24</v>
      </c>
      <c r="I20" s="7" t="n">
        <v>15</v>
      </c>
      <c r="J20" s="7" t="n">
        <v>4</v>
      </c>
      <c r="K20" s="7" t="n">
        <v>3</v>
      </c>
      <c r="L20" s="7" t="inlineStr">
        <is>
          <t>Complete</t>
        </is>
      </c>
      <c r="M20" s="7" t="inlineStr">
        <is>
          <t>Carlos Diaz</t>
        </is>
      </c>
    </row>
    <row r="21" ht="15" customHeight="1" s="5">
      <c r="A21" s="7" t="inlineStr">
        <is>
          <t>SP0020</t>
        </is>
      </c>
      <c r="B21" s="7" t="inlineStr">
        <is>
          <t>PRJ003</t>
        </is>
      </c>
      <c r="C21" s="7">
        <f>IFERROR(VLOOKUP(B21,Projects!$A:$AK,2,FALSE()),"")</f>
        <v/>
      </c>
      <c r="D21" s="7" t="n">
        <v>4</v>
      </c>
      <c r="E21" s="7" t="inlineStr">
        <is>
          <t>PRJ003 Sprint 4</t>
        </is>
      </c>
      <c r="F21" s="8">
        <f>IFERROR(VLOOKUP(B21,Projects!$A:$AK,16,FALSE()),"")</f>
        <v/>
      </c>
      <c r="G21" s="8">
        <f>IFERROR(VLOOKUP(B21,Projects!$A:$AK,17,FALSE()),"")</f>
        <v/>
      </c>
      <c r="H21" s="7" t="n">
        <v>41</v>
      </c>
      <c r="I21" s="7" t="n">
        <v>39</v>
      </c>
      <c r="J21" s="7" t="n">
        <v>8</v>
      </c>
      <c r="K21" s="7" t="n">
        <v>7</v>
      </c>
      <c r="L21" s="7" t="inlineStr">
        <is>
          <t>Complete</t>
        </is>
      </c>
      <c r="M21" s="7" t="inlineStr">
        <is>
          <t>Carlos Diaz</t>
        </is>
      </c>
    </row>
    <row r="22" ht="15" customHeight="1" s="5">
      <c r="A22" s="7" t="inlineStr">
        <is>
          <t>SP0021</t>
        </is>
      </c>
      <c r="B22" s="7" t="inlineStr">
        <is>
          <t>PRJ003</t>
        </is>
      </c>
      <c r="C22" s="7">
        <f>IFERROR(VLOOKUP(B22,Projects!$A:$AK,2,FALSE()),"")</f>
        <v/>
      </c>
      <c r="D22" s="7" t="n">
        <v>5</v>
      </c>
      <c r="E22" s="7" t="inlineStr">
        <is>
          <t>PRJ003 Sprint 5</t>
        </is>
      </c>
      <c r="F22" s="8">
        <f>IFERROR(VLOOKUP(B22,Projects!$A:$AK,16,FALSE()),"")</f>
        <v/>
      </c>
      <c r="G22" s="8">
        <f>IFERROR(VLOOKUP(B22,Projects!$A:$AK,17,FALSE()),"")</f>
        <v/>
      </c>
      <c r="H22" s="7" t="n">
        <v>26</v>
      </c>
      <c r="I22" s="7" t="n">
        <v>20</v>
      </c>
      <c r="J22" s="7" t="n">
        <v>5</v>
      </c>
      <c r="K22" s="7" t="n">
        <v>4</v>
      </c>
      <c r="L22" s="7" t="inlineStr">
        <is>
          <t>Complete</t>
        </is>
      </c>
      <c r="M22" s="7" t="inlineStr">
        <is>
          <t>Carlos Diaz</t>
        </is>
      </c>
    </row>
    <row r="23" ht="15" customHeight="1" s="5">
      <c r="A23" s="7" t="inlineStr">
        <is>
          <t>SP0022</t>
        </is>
      </c>
      <c r="B23" s="7" t="inlineStr">
        <is>
          <t>PRJ003</t>
        </is>
      </c>
      <c r="C23" s="7">
        <f>IFERROR(VLOOKUP(B23,Projects!$A:$AK,2,FALSE()),"")</f>
        <v/>
      </c>
      <c r="D23" s="7" t="n">
        <v>6</v>
      </c>
      <c r="E23" s="7" t="inlineStr">
        <is>
          <t>PRJ003 Sprint 6</t>
        </is>
      </c>
      <c r="F23" s="8">
        <f>IFERROR(VLOOKUP(B23,Projects!$A:$AK,16,FALSE()),"")</f>
        <v/>
      </c>
      <c r="G23" s="8">
        <f>IFERROR(VLOOKUP(B23,Projects!$A:$AK,17,FALSE()),"")</f>
        <v/>
      </c>
      <c r="H23" s="7" t="n">
        <v>28</v>
      </c>
      <c r="I23" s="7" t="n">
        <v>31</v>
      </c>
      <c r="J23" s="7" t="n">
        <v>5</v>
      </c>
      <c r="K23" s="7" t="n">
        <v>6</v>
      </c>
      <c r="L23" s="7" t="inlineStr">
        <is>
          <t>Complete</t>
        </is>
      </c>
      <c r="M23" s="7" t="inlineStr">
        <is>
          <t>Carlos Diaz</t>
        </is>
      </c>
    </row>
    <row r="24" ht="15" customHeight="1" s="5">
      <c r="A24" s="7" t="inlineStr">
        <is>
          <t>SP0023</t>
        </is>
      </c>
      <c r="B24" s="7" t="inlineStr">
        <is>
          <t>PRJ003</t>
        </is>
      </c>
      <c r="C24" s="7">
        <f>IFERROR(VLOOKUP(B24,Projects!$A:$AK,2,FALSE()),"")</f>
        <v/>
      </c>
      <c r="D24" s="7" t="n">
        <v>7</v>
      </c>
      <c r="E24" s="7" t="inlineStr">
        <is>
          <t>PRJ003 Sprint 7</t>
        </is>
      </c>
      <c r="F24" s="8">
        <f>IFERROR(VLOOKUP(B24,Projects!$A:$AK,16,FALSE()),"")</f>
        <v/>
      </c>
      <c r="G24" s="8">
        <f>IFERROR(VLOOKUP(B24,Projects!$A:$AK,17,FALSE()),"")</f>
        <v/>
      </c>
      <c r="H24" s="7" t="n">
        <v>42</v>
      </c>
      <c r="I24" s="7" t="n">
        <v>44</v>
      </c>
      <c r="J24" s="7" t="n">
        <v>8</v>
      </c>
      <c r="K24" s="7" t="n">
        <v>8</v>
      </c>
      <c r="L24" s="7" t="inlineStr">
        <is>
          <t>Complete</t>
        </is>
      </c>
      <c r="M24" s="7" t="inlineStr">
        <is>
          <t>Carlos Diaz</t>
        </is>
      </c>
    </row>
    <row r="25" ht="15" customHeight="1" s="5">
      <c r="A25" s="7" t="inlineStr">
        <is>
          <t>SP0024</t>
        </is>
      </c>
      <c r="B25" s="7" t="inlineStr">
        <is>
          <t>PRJ003</t>
        </is>
      </c>
      <c r="C25" s="7">
        <f>IFERROR(VLOOKUP(B25,Projects!$A:$AK,2,FALSE()),"")</f>
        <v/>
      </c>
      <c r="D25" s="7" t="n">
        <v>8</v>
      </c>
      <c r="E25" s="7" t="inlineStr">
        <is>
          <t>PRJ003 Sprint 8</t>
        </is>
      </c>
      <c r="F25" s="8">
        <f>IFERROR(VLOOKUP(B25,Projects!$A:$AK,16,FALSE()),"")</f>
        <v/>
      </c>
      <c r="G25" s="8">
        <f>IFERROR(VLOOKUP(B25,Projects!$A:$AK,17,FALSE()),"")</f>
        <v/>
      </c>
      <c r="H25" s="7" t="n">
        <v>29</v>
      </c>
      <c r="I25" s="7" t="n">
        <v>26</v>
      </c>
      <c r="J25" s="7" t="n">
        <v>5</v>
      </c>
      <c r="K25" s="7" t="n">
        <v>5</v>
      </c>
      <c r="L25" s="7" t="inlineStr">
        <is>
          <t>Complete</t>
        </is>
      </c>
      <c r="M25" s="7" t="inlineStr">
        <is>
          <t>Carlos Diaz</t>
        </is>
      </c>
    </row>
    <row r="26" ht="15" customHeight="1" s="5">
      <c r="A26" s="7" t="inlineStr">
        <is>
          <t>SP0025</t>
        </is>
      </c>
      <c r="B26" s="7" t="inlineStr">
        <is>
          <t>PRJ005</t>
        </is>
      </c>
      <c r="C26" s="7">
        <f>IFERROR(VLOOKUP(B26,Projects!$A:$AK,2,FALSE()),"")</f>
        <v/>
      </c>
      <c r="D26" s="7" t="n">
        <v>1</v>
      </c>
      <c r="E26" s="7" t="inlineStr">
        <is>
          <t>PRJ005 Sprint 1</t>
        </is>
      </c>
      <c r="F26" s="8">
        <f>IFERROR(VLOOKUP(B26,Projects!$A:$AK,16,FALSE()),"")</f>
        <v/>
      </c>
      <c r="G26" s="8">
        <f>IFERROR(VLOOKUP(B26,Projects!$A:$AK,17,FALSE()),"")</f>
        <v/>
      </c>
      <c r="H26" s="7" t="n">
        <v>42</v>
      </c>
      <c r="I26" s="7" t="n">
        <v>34</v>
      </c>
      <c r="J26" s="7" t="n">
        <v>8</v>
      </c>
      <c r="K26" s="7" t="n">
        <v>6</v>
      </c>
      <c r="L26" s="7" t="inlineStr">
        <is>
          <t>Complete</t>
        </is>
      </c>
      <c r="M26" s="7" t="inlineStr">
        <is>
          <t>Priya Patel</t>
        </is>
      </c>
    </row>
    <row r="27" ht="15" customHeight="1" s="5">
      <c r="A27" s="7" t="inlineStr">
        <is>
          <t>SP0026</t>
        </is>
      </c>
      <c r="B27" s="7" t="inlineStr">
        <is>
          <t>PRJ005</t>
        </is>
      </c>
      <c r="C27" s="7">
        <f>IFERROR(VLOOKUP(B27,Projects!$A:$AK,2,FALSE()),"")</f>
        <v/>
      </c>
      <c r="D27" s="7" t="n">
        <v>2</v>
      </c>
      <c r="E27" s="7" t="inlineStr">
        <is>
          <t>PRJ005 Sprint 2</t>
        </is>
      </c>
      <c r="F27" s="8">
        <f>IFERROR(VLOOKUP(B27,Projects!$A:$AK,16,FALSE()),"")</f>
        <v/>
      </c>
      <c r="G27" s="8">
        <f>IFERROR(VLOOKUP(B27,Projects!$A:$AK,17,FALSE()),"")</f>
        <v/>
      </c>
      <c r="H27" s="7" t="n">
        <v>34</v>
      </c>
      <c r="I27" s="7" t="n">
        <v>23</v>
      </c>
      <c r="J27" s="7" t="n">
        <v>6</v>
      </c>
      <c r="K27" s="7" t="n">
        <v>4</v>
      </c>
      <c r="L27" s="7" t="inlineStr">
        <is>
          <t>Complete</t>
        </is>
      </c>
      <c r="M27" s="7" t="inlineStr">
        <is>
          <t>Priya Patel</t>
        </is>
      </c>
    </row>
    <row r="28" ht="15" customHeight="1" s="5">
      <c r="A28" s="7" t="inlineStr">
        <is>
          <t>SP0027</t>
        </is>
      </c>
      <c r="B28" s="7" t="inlineStr">
        <is>
          <t>PRJ005</t>
        </is>
      </c>
      <c r="C28" s="7">
        <f>IFERROR(VLOOKUP(B28,Projects!$A:$AK,2,FALSE()),"")</f>
        <v/>
      </c>
      <c r="D28" s="7" t="n">
        <v>3</v>
      </c>
      <c r="E28" s="7" t="inlineStr">
        <is>
          <t>PRJ005 Sprint 3</t>
        </is>
      </c>
      <c r="F28" s="8">
        <f>IFERROR(VLOOKUP(B28,Projects!$A:$AK,16,FALSE()),"")</f>
        <v/>
      </c>
      <c r="G28" s="8">
        <f>IFERROR(VLOOKUP(B28,Projects!$A:$AK,17,FALSE()),"")</f>
        <v/>
      </c>
      <c r="H28" s="7" t="n">
        <v>44</v>
      </c>
      <c r="I28" s="7" t="n">
        <v>40</v>
      </c>
      <c r="J28" s="7" t="n">
        <v>8</v>
      </c>
      <c r="K28" s="7" t="n">
        <v>8</v>
      </c>
      <c r="L28" s="7" t="inlineStr">
        <is>
          <t>Complete</t>
        </is>
      </c>
      <c r="M28" s="7" t="inlineStr">
        <is>
          <t>Priya Patel</t>
        </is>
      </c>
    </row>
    <row r="29" ht="15" customHeight="1" s="5">
      <c r="A29" s="7" t="inlineStr">
        <is>
          <t>SP0028</t>
        </is>
      </c>
      <c r="B29" s="7" t="inlineStr">
        <is>
          <t>PRJ005</t>
        </is>
      </c>
      <c r="C29" s="7">
        <f>IFERROR(VLOOKUP(B29,Projects!$A:$AK,2,FALSE()),"")</f>
        <v/>
      </c>
      <c r="D29" s="7" t="n">
        <v>4</v>
      </c>
      <c r="E29" s="7" t="inlineStr">
        <is>
          <t>PRJ005 Sprint 4</t>
        </is>
      </c>
      <c r="F29" s="8">
        <f>IFERROR(VLOOKUP(B29,Projects!$A:$AK,16,FALSE()),"")</f>
        <v/>
      </c>
      <c r="G29" s="8">
        <f>IFERROR(VLOOKUP(B29,Projects!$A:$AK,17,FALSE()),"")</f>
        <v/>
      </c>
      <c r="H29" s="7" t="n">
        <v>44</v>
      </c>
      <c r="I29" s="7" t="n">
        <v>35</v>
      </c>
      <c r="J29" s="7" t="n">
        <v>8</v>
      </c>
      <c r="K29" s="7" t="n">
        <v>7</v>
      </c>
      <c r="L29" s="7" t="inlineStr">
        <is>
          <t>Complete</t>
        </is>
      </c>
      <c r="M29" s="7" t="inlineStr">
        <is>
          <t>Priya Patel</t>
        </is>
      </c>
    </row>
    <row r="30" ht="15" customHeight="1" s="5">
      <c r="A30" s="7" t="inlineStr">
        <is>
          <t>SP0029</t>
        </is>
      </c>
      <c r="B30" s="7" t="inlineStr">
        <is>
          <t>PRJ005</t>
        </is>
      </c>
      <c r="C30" s="7">
        <f>IFERROR(VLOOKUP(B30,Projects!$A:$AK,2,FALSE()),"")</f>
        <v/>
      </c>
      <c r="D30" s="7" t="n">
        <v>5</v>
      </c>
      <c r="E30" s="7" t="inlineStr">
        <is>
          <t>PRJ005 Sprint 5</t>
        </is>
      </c>
      <c r="F30" s="8">
        <f>IFERROR(VLOOKUP(B30,Projects!$A:$AK,16,FALSE()),"")</f>
        <v/>
      </c>
      <c r="G30" s="8">
        <f>IFERROR(VLOOKUP(B30,Projects!$A:$AK,17,FALSE()),"")</f>
        <v/>
      </c>
      <c r="H30" s="7" t="n">
        <v>27</v>
      </c>
      <c r="I30" s="7" t="n">
        <v>16</v>
      </c>
      <c r="J30" s="7" t="n">
        <v>5</v>
      </c>
      <c r="K30" s="7" t="n">
        <v>3</v>
      </c>
      <c r="L30" s="7" t="inlineStr">
        <is>
          <t>Complete</t>
        </is>
      </c>
      <c r="M30" s="7" t="inlineStr">
        <is>
          <t>Priya Patel</t>
        </is>
      </c>
    </row>
    <row r="31" ht="15" customHeight="1" s="5">
      <c r="A31" s="7" t="inlineStr">
        <is>
          <t>SP0030</t>
        </is>
      </c>
      <c r="B31" s="7" t="inlineStr">
        <is>
          <t>PRJ005</t>
        </is>
      </c>
      <c r="C31" s="7">
        <f>IFERROR(VLOOKUP(B31,Projects!$A:$AK,2,FALSE()),"")</f>
        <v/>
      </c>
      <c r="D31" s="7" t="n">
        <v>6</v>
      </c>
      <c r="E31" s="7" t="inlineStr">
        <is>
          <t>PRJ005 Sprint 6</t>
        </is>
      </c>
      <c r="F31" s="8">
        <f>IFERROR(VLOOKUP(B31,Projects!$A:$AK,16,FALSE()),"")</f>
        <v/>
      </c>
      <c r="G31" s="8">
        <f>IFERROR(VLOOKUP(B31,Projects!$A:$AK,17,FALSE()),"")</f>
        <v/>
      </c>
      <c r="H31" s="7" t="n">
        <v>30</v>
      </c>
      <c r="I31" s="7" t="n">
        <v>35</v>
      </c>
      <c r="J31" s="7" t="n">
        <v>6</v>
      </c>
      <c r="K31" s="7" t="n">
        <v>7</v>
      </c>
      <c r="L31" s="7" t="inlineStr">
        <is>
          <t>Complete</t>
        </is>
      </c>
      <c r="M31" s="7" t="inlineStr">
        <is>
          <t>Priya Patel</t>
        </is>
      </c>
    </row>
    <row r="32" ht="15" customHeight="1" s="5">
      <c r="A32" s="7" t="inlineStr">
        <is>
          <t>SP0031</t>
        </is>
      </c>
      <c r="B32" s="7" t="inlineStr">
        <is>
          <t>PRJ005</t>
        </is>
      </c>
      <c r="C32" s="7">
        <f>IFERROR(VLOOKUP(B32,Projects!$A:$AK,2,FALSE()),"")</f>
        <v/>
      </c>
      <c r="D32" s="7" t="n">
        <v>7</v>
      </c>
      <c r="E32" s="7" t="inlineStr">
        <is>
          <t>PRJ005 Sprint 7</t>
        </is>
      </c>
      <c r="F32" s="8">
        <f>IFERROR(VLOOKUP(B32,Projects!$A:$AK,16,FALSE()),"")</f>
        <v/>
      </c>
      <c r="G32" s="8">
        <f>IFERROR(VLOOKUP(B32,Projects!$A:$AK,17,FALSE()),"")</f>
        <v/>
      </c>
      <c r="H32" s="7" t="n">
        <v>36</v>
      </c>
      <c r="I32" s="7" t="n">
        <v>27</v>
      </c>
      <c r="J32" s="7" t="n">
        <v>7</v>
      </c>
      <c r="K32" s="7" t="n">
        <v>5</v>
      </c>
      <c r="L32" s="7" t="inlineStr">
        <is>
          <t>Complete</t>
        </is>
      </c>
      <c r="M32" s="7" t="inlineStr">
        <is>
          <t>Priya Patel</t>
        </is>
      </c>
    </row>
    <row r="33" ht="15" customHeight="1" s="5">
      <c r="A33" s="7" t="inlineStr">
        <is>
          <t>SP0032</t>
        </is>
      </c>
      <c r="B33" s="7" t="inlineStr">
        <is>
          <t>PRJ005</t>
        </is>
      </c>
      <c r="C33" s="7">
        <f>IFERROR(VLOOKUP(B33,Projects!$A:$AK,2,FALSE()),"")</f>
        <v/>
      </c>
      <c r="D33" s="7" t="n">
        <v>8</v>
      </c>
      <c r="E33" s="7" t="inlineStr">
        <is>
          <t>PRJ005 Sprint 8</t>
        </is>
      </c>
      <c r="F33" s="8">
        <f>IFERROR(VLOOKUP(B33,Projects!$A:$AK,16,FALSE()),"")</f>
        <v/>
      </c>
      <c r="G33" s="8">
        <f>IFERROR(VLOOKUP(B33,Projects!$A:$AK,17,FALSE()),"")</f>
        <v/>
      </c>
      <c r="H33" s="7" t="n">
        <v>43</v>
      </c>
      <c r="I33" s="7" t="n">
        <v>44</v>
      </c>
      <c r="J33" s="7" t="n">
        <v>8</v>
      </c>
      <c r="K33" s="7" t="n">
        <v>8</v>
      </c>
      <c r="L33" s="7" t="inlineStr">
        <is>
          <t>Complete</t>
        </is>
      </c>
      <c r="M33" s="7" t="inlineStr">
        <is>
          <t>Priya Patel</t>
        </is>
      </c>
    </row>
    <row r="34" ht="15" customHeight="1" s="5">
      <c r="A34" s="7" t="inlineStr">
        <is>
          <t>SP0033</t>
        </is>
      </c>
      <c r="B34" s="7" t="inlineStr">
        <is>
          <t>PRJ008</t>
        </is>
      </c>
      <c r="C34" s="7">
        <f>IFERROR(VLOOKUP(B34,Projects!$A:$AK,2,FALSE()),"")</f>
        <v/>
      </c>
      <c r="D34" s="7" t="n">
        <v>1</v>
      </c>
      <c r="E34" s="7" t="inlineStr">
        <is>
          <t>PRJ008 Sprint 1</t>
        </is>
      </c>
      <c r="F34" s="8">
        <f>IFERROR(VLOOKUP(B34,Projects!$A:$AK,16,FALSE()),"")</f>
        <v/>
      </c>
      <c r="G34" s="8">
        <f>IFERROR(VLOOKUP(B34,Projects!$A:$AK,17,FALSE()),"")</f>
        <v/>
      </c>
      <c r="H34" s="7" t="n">
        <v>21</v>
      </c>
      <c r="I34" s="7" t="n">
        <v>16</v>
      </c>
      <c r="J34" s="7" t="n">
        <v>4</v>
      </c>
      <c r="K34" s="7" t="n">
        <v>3</v>
      </c>
      <c r="L34" s="7" t="inlineStr">
        <is>
          <t>Complete</t>
        </is>
      </c>
      <c r="M34" s="7" t="inlineStr">
        <is>
          <t>Carlos Diaz</t>
        </is>
      </c>
    </row>
    <row r="35" ht="15" customHeight="1" s="5">
      <c r="A35" s="7" t="inlineStr">
        <is>
          <t>SP0034</t>
        </is>
      </c>
      <c r="B35" s="7" t="inlineStr">
        <is>
          <t>PRJ008</t>
        </is>
      </c>
      <c r="C35" s="7">
        <f>IFERROR(VLOOKUP(B35,Projects!$A:$AK,2,FALSE()),"")</f>
        <v/>
      </c>
      <c r="D35" s="7" t="n">
        <v>2</v>
      </c>
      <c r="E35" s="7" t="inlineStr">
        <is>
          <t>PRJ008 Sprint 2</t>
        </is>
      </c>
      <c r="F35" s="8">
        <f>IFERROR(VLOOKUP(B35,Projects!$A:$AK,16,FALSE()),"")</f>
        <v/>
      </c>
      <c r="G35" s="8">
        <f>IFERROR(VLOOKUP(B35,Projects!$A:$AK,17,FALSE()),"")</f>
        <v/>
      </c>
      <c r="H35" s="7" t="n">
        <v>21</v>
      </c>
      <c r="I35" s="7" t="n">
        <v>16</v>
      </c>
      <c r="J35" s="7" t="n">
        <v>4</v>
      </c>
      <c r="K35" s="7" t="n">
        <v>3</v>
      </c>
      <c r="L35" s="7" t="inlineStr">
        <is>
          <t>Complete</t>
        </is>
      </c>
      <c r="M35" s="7" t="inlineStr">
        <is>
          <t>Carlos Diaz</t>
        </is>
      </c>
    </row>
    <row r="36" ht="15" customHeight="1" s="5">
      <c r="A36" s="7" t="inlineStr">
        <is>
          <t>SP0035</t>
        </is>
      </c>
      <c r="B36" s="7" t="inlineStr">
        <is>
          <t>PRJ008</t>
        </is>
      </c>
      <c r="C36" s="7">
        <f>IFERROR(VLOOKUP(B36,Projects!$A:$AK,2,FALSE()),"")</f>
        <v/>
      </c>
      <c r="D36" s="7" t="n">
        <v>3</v>
      </c>
      <c r="E36" s="7" t="inlineStr">
        <is>
          <t>PRJ008 Sprint 3</t>
        </is>
      </c>
      <c r="F36" s="8">
        <f>IFERROR(VLOOKUP(B36,Projects!$A:$AK,16,FALSE()),"")</f>
        <v/>
      </c>
      <c r="G36" s="8">
        <f>IFERROR(VLOOKUP(B36,Projects!$A:$AK,17,FALSE()),"")</f>
        <v/>
      </c>
      <c r="H36" s="7" t="n">
        <v>34</v>
      </c>
      <c r="I36" s="7" t="n">
        <v>34</v>
      </c>
      <c r="J36" s="7" t="n">
        <v>6</v>
      </c>
      <c r="K36" s="7" t="n">
        <v>6</v>
      </c>
      <c r="L36" s="7" t="inlineStr">
        <is>
          <t>Complete</t>
        </is>
      </c>
      <c r="M36" s="7" t="inlineStr">
        <is>
          <t>Carlos Diaz</t>
        </is>
      </c>
    </row>
    <row r="37" ht="15" customHeight="1" s="5">
      <c r="A37" s="7" t="inlineStr">
        <is>
          <t>SP0036</t>
        </is>
      </c>
      <c r="B37" s="7" t="inlineStr">
        <is>
          <t>PRJ008</t>
        </is>
      </c>
      <c r="C37" s="7">
        <f>IFERROR(VLOOKUP(B37,Projects!$A:$AK,2,FALSE()),"")</f>
        <v/>
      </c>
      <c r="D37" s="7" t="n">
        <v>4</v>
      </c>
      <c r="E37" s="7" t="inlineStr">
        <is>
          <t>PRJ008 Sprint 4</t>
        </is>
      </c>
      <c r="F37" s="8">
        <f>IFERROR(VLOOKUP(B37,Projects!$A:$AK,16,FALSE()),"")</f>
        <v/>
      </c>
      <c r="G37" s="8">
        <f>IFERROR(VLOOKUP(B37,Projects!$A:$AK,17,FALSE()),"")</f>
        <v/>
      </c>
      <c r="H37" s="7" t="n">
        <v>25</v>
      </c>
      <c r="I37" s="7" t="n">
        <v>24</v>
      </c>
      <c r="J37" s="7" t="n">
        <v>5</v>
      </c>
      <c r="K37" s="7" t="n">
        <v>4</v>
      </c>
      <c r="L37" s="7" t="inlineStr">
        <is>
          <t>Complete</t>
        </is>
      </c>
      <c r="M37" s="7" t="inlineStr">
        <is>
          <t>Carlos Diaz</t>
        </is>
      </c>
    </row>
    <row r="38" ht="15" customHeight="1" s="5">
      <c r="A38" s="7" t="inlineStr">
        <is>
          <t>SP0037</t>
        </is>
      </c>
      <c r="B38" s="7" t="inlineStr">
        <is>
          <t>PRJ008</t>
        </is>
      </c>
      <c r="C38" s="7">
        <f>IFERROR(VLOOKUP(B38,Projects!$A:$AK,2,FALSE()),"")</f>
        <v/>
      </c>
      <c r="D38" s="7" t="n">
        <v>5</v>
      </c>
      <c r="E38" s="7" t="inlineStr">
        <is>
          <t>PRJ008 Sprint 5</t>
        </is>
      </c>
      <c r="F38" s="8">
        <f>IFERROR(VLOOKUP(B38,Projects!$A:$AK,16,FALSE()),"")</f>
        <v/>
      </c>
      <c r="G38" s="8">
        <f>IFERROR(VLOOKUP(B38,Projects!$A:$AK,17,FALSE()),"")</f>
        <v/>
      </c>
      <c r="H38" s="7" t="n">
        <v>30</v>
      </c>
      <c r="I38" s="7" t="n">
        <v>25</v>
      </c>
      <c r="J38" s="7" t="n">
        <v>6</v>
      </c>
      <c r="K38" s="7" t="n">
        <v>5</v>
      </c>
      <c r="L38" s="7" t="inlineStr">
        <is>
          <t>Complete</t>
        </is>
      </c>
      <c r="M38" s="7" t="inlineStr">
        <is>
          <t>Carlos Diaz</t>
        </is>
      </c>
    </row>
    <row r="39" ht="15" customHeight="1" s="5">
      <c r="A39" s="7" t="inlineStr">
        <is>
          <t>SP0038</t>
        </is>
      </c>
      <c r="B39" s="7" t="inlineStr">
        <is>
          <t>PRJ008</t>
        </is>
      </c>
      <c r="C39" s="7">
        <f>IFERROR(VLOOKUP(B39,Projects!$A:$AK,2,FALSE()),"")</f>
        <v/>
      </c>
      <c r="D39" s="7" t="n">
        <v>6</v>
      </c>
      <c r="E39" s="7" t="inlineStr">
        <is>
          <t>PRJ008 Sprint 6</t>
        </is>
      </c>
      <c r="F39" s="8">
        <f>IFERROR(VLOOKUP(B39,Projects!$A:$AK,16,FALSE()),"")</f>
        <v/>
      </c>
      <c r="G39" s="8">
        <f>IFERROR(VLOOKUP(B39,Projects!$A:$AK,17,FALSE()),"")</f>
        <v/>
      </c>
      <c r="H39" s="7" t="n">
        <v>33</v>
      </c>
      <c r="I39" s="7" t="n">
        <v>24</v>
      </c>
      <c r="J39" s="7" t="n">
        <v>6</v>
      </c>
      <c r="K39" s="7" t="n">
        <v>4</v>
      </c>
      <c r="L39" s="7" t="inlineStr">
        <is>
          <t>Complete</t>
        </is>
      </c>
      <c r="M39" s="7" t="inlineStr">
        <is>
          <t>Carlos Diaz</t>
        </is>
      </c>
    </row>
    <row r="40" ht="15" customHeight="1" s="5">
      <c r="A40" s="7" t="inlineStr">
        <is>
          <t>SP0039</t>
        </is>
      </c>
      <c r="B40" s="7" t="inlineStr">
        <is>
          <t>PRJ008</t>
        </is>
      </c>
      <c r="C40" s="7">
        <f>IFERROR(VLOOKUP(B40,Projects!$A:$AK,2,FALSE()),"")</f>
        <v/>
      </c>
      <c r="D40" s="7" t="n">
        <v>7</v>
      </c>
      <c r="E40" s="7" t="inlineStr">
        <is>
          <t>PRJ008 Sprint 7</t>
        </is>
      </c>
      <c r="F40" s="8">
        <f>IFERROR(VLOOKUP(B40,Projects!$A:$AK,16,FALSE()),"")</f>
        <v/>
      </c>
      <c r="G40" s="8">
        <f>IFERROR(VLOOKUP(B40,Projects!$A:$AK,17,FALSE()),"")</f>
        <v/>
      </c>
      <c r="H40" s="7" t="n">
        <v>36</v>
      </c>
      <c r="I40" s="7" t="n">
        <v>29</v>
      </c>
      <c r="J40" s="7" t="n">
        <v>7</v>
      </c>
      <c r="K40" s="7" t="n">
        <v>5</v>
      </c>
      <c r="L40" s="7" t="inlineStr">
        <is>
          <t>Complete</t>
        </is>
      </c>
      <c r="M40" s="7" t="inlineStr">
        <is>
          <t>Carlos Diaz</t>
        </is>
      </c>
    </row>
    <row r="41" ht="15" customHeight="1" s="5">
      <c r="A41" s="7" t="inlineStr">
        <is>
          <t>SP0040</t>
        </is>
      </c>
      <c r="B41" s="7" t="inlineStr">
        <is>
          <t>PRJ008</t>
        </is>
      </c>
      <c r="C41" s="7">
        <f>IFERROR(VLOOKUP(B41,Projects!$A:$AK,2,FALSE()),"")</f>
        <v/>
      </c>
      <c r="D41" s="7" t="n">
        <v>8</v>
      </c>
      <c r="E41" s="7" t="inlineStr">
        <is>
          <t>PRJ008 Sprint 8</t>
        </is>
      </c>
      <c r="F41" s="8">
        <f>IFERROR(VLOOKUP(B41,Projects!$A:$AK,16,FALSE()),"")</f>
        <v/>
      </c>
      <c r="G41" s="8">
        <f>IFERROR(VLOOKUP(B41,Projects!$A:$AK,17,FALSE()),"")</f>
        <v/>
      </c>
      <c r="H41" s="7" t="n">
        <v>24</v>
      </c>
      <c r="I41" s="7" t="n">
        <v>19</v>
      </c>
      <c r="J41" s="7" t="n">
        <v>4</v>
      </c>
      <c r="K41" s="7" t="n">
        <v>3</v>
      </c>
      <c r="L41" s="7" t="inlineStr">
        <is>
          <t>Complete</t>
        </is>
      </c>
      <c r="M41" s="7" t="inlineStr">
        <is>
          <t>Carlos Diaz</t>
        </is>
      </c>
    </row>
    <row r="42" ht="15" customHeight="1" s="5">
      <c r="A42" s="7" t="inlineStr">
        <is>
          <t>SP0041</t>
        </is>
      </c>
      <c r="B42" s="7" t="inlineStr">
        <is>
          <t>PRJ009</t>
        </is>
      </c>
      <c r="C42" s="7">
        <f>IFERROR(VLOOKUP(B42,Projects!$A:$AK,2,FALSE()),"")</f>
        <v/>
      </c>
      <c r="D42" s="7" t="n">
        <v>1</v>
      </c>
      <c r="E42" s="7" t="inlineStr">
        <is>
          <t>PRJ009 Sprint 1</t>
        </is>
      </c>
      <c r="F42" s="8">
        <f>IFERROR(VLOOKUP(B42,Projects!$A:$AK,16,FALSE()),"")</f>
        <v/>
      </c>
      <c r="G42" s="8">
        <f>IFERROR(VLOOKUP(B42,Projects!$A:$AK,17,FALSE()),"")</f>
        <v/>
      </c>
      <c r="H42" s="7" t="n">
        <v>29</v>
      </c>
      <c r="I42" s="7" t="n">
        <v>28</v>
      </c>
      <c r="J42" s="7" t="n">
        <v>5</v>
      </c>
      <c r="K42" s="7" t="n">
        <v>5</v>
      </c>
      <c r="L42" s="7" t="inlineStr">
        <is>
          <t>Complete</t>
        </is>
      </c>
      <c r="M42" s="7" t="inlineStr">
        <is>
          <t>Jane Doe</t>
        </is>
      </c>
    </row>
    <row r="43" ht="15" customHeight="1" s="5">
      <c r="A43" s="7" t="inlineStr">
        <is>
          <t>SP0042</t>
        </is>
      </c>
      <c r="B43" s="7" t="inlineStr">
        <is>
          <t>PRJ009</t>
        </is>
      </c>
      <c r="C43" s="7">
        <f>IFERROR(VLOOKUP(B43,Projects!$A:$AK,2,FALSE()),"")</f>
        <v/>
      </c>
      <c r="D43" s="7" t="n">
        <v>2</v>
      </c>
      <c r="E43" s="7" t="inlineStr">
        <is>
          <t>PRJ009 Sprint 2</t>
        </is>
      </c>
      <c r="F43" s="8">
        <f>IFERROR(VLOOKUP(B43,Projects!$A:$AK,16,FALSE()),"")</f>
        <v/>
      </c>
      <c r="G43" s="8">
        <f>IFERROR(VLOOKUP(B43,Projects!$A:$AK,17,FALSE()),"")</f>
        <v/>
      </c>
      <c r="H43" s="7" t="n">
        <v>22</v>
      </c>
      <c r="I43" s="7" t="n">
        <v>20</v>
      </c>
      <c r="J43" s="7" t="n">
        <v>4</v>
      </c>
      <c r="K43" s="7" t="n">
        <v>4</v>
      </c>
      <c r="L43" s="7" t="inlineStr">
        <is>
          <t>Complete</t>
        </is>
      </c>
      <c r="M43" s="7" t="inlineStr">
        <is>
          <t>Jane Doe</t>
        </is>
      </c>
    </row>
    <row r="44" ht="15" customHeight="1" s="5">
      <c r="A44" s="7" t="inlineStr">
        <is>
          <t>SP0043</t>
        </is>
      </c>
      <c r="B44" s="7" t="inlineStr">
        <is>
          <t>PRJ009</t>
        </is>
      </c>
      <c r="C44" s="7">
        <f>IFERROR(VLOOKUP(B44,Projects!$A:$AK,2,FALSE()),"")</f>
        <v/>
      </c>
      <c r="D44" s="7" t="n">
        <v>3</v>
      </c>
      <c r="E44" s="7" t="inlineStr">
        <is>
          <t>PRJ009 Sprint 3</t>
        </is>
      </c>
      <c r="F44" s="8">
        <f>IFERROR(VLOOKUP(B44,Projects!$A:$AK,16,FALSE()),"")</f>
        <v/>
      </c>
      <c r="G44" s="8">
        <f>IFERROR(VLOOKUP(B44,Projects!$A:$AK,17,FALSE()),"")</f>
        <v/>
      </c>
      <c r="H44" s="7" t="n">
        <v>23</v>
      </c>
      <c r="I44" s="7" t="n">
        <v>22</v>
      </c>
      <c r="J44" s="7" t="n">
        <v>4</v>
      </c>
      <c r="K44" s="7" t="n">
        <v>4</v>
      </c>
      <c r="L44" s="7" t="inlineStr">
        <is>
          <t>Complete</t>
        </is>
      </c>
      <c r="M44" s="7" t="inlineStr">
        <is>
          <t>Jane Doe</t>
        </is>
      </c>
    </row>
    <row r="45" ht="15" customHeight="1" s="5">
      <c r="A45" s="7" t="inlineStr">
        <is>
          <t>SP0044</t>
        </is>
      </c>
      <c r="B45" s="7" t="inlineStr">
        <is>
          <t>PRJ009</t>
        </is>
      </c>
      <c r="C45" s="7">
        <f>IFERROR(VLOOKUP(B45,Projects!$A:$AK,2,FALSE()),"")</f>
        <v/>
      </c>
      <c r="D45" s="7" t="n">
        <v>4</v>
      </c>
      <c r="E45" s="7" t="inlineStr">
        <is>
          <t>PRJ009 Sprint 4</t>
        </is>
      </c>
      <c r="F45" s="8">
        <f>IFERROR(VLOOKUP(B45,Projects!$A:$AK,16,FALSE()),"")</f>
        <v/>
      </c>
      <c r="G45" s="8">
        <f>IFERROR(VLOOKUP(B45,Projects!$A:$AK,17,FALSE()),"")</f>
        <v/>
      </c>
      <c r="H45" s="7" t="n">
        <v>22</v>
      </c>
      <c r="I45" s="7" t="n">
        <v>11</v>
      </c>
      <c r="J45" s="7" t="n">
        <v>4</v>
      </c>
      <c r="K45" s="7" t="n">
        <v>2</v>
      </c>
      <c r="L45" s="7" t="inlineStr">
        <is>
          <t>Complete</t>
        </is>
      </c>
      <c r="M45" s="7" t="inlineStr">
        <is>
          <t>Jane Doe</t>
        </is>
      </c>
    </row>
    <row r="46" ht="15" customHeight="1" s="5">
      <c r="A46" s="7" t="inlineStr">
        <is>
          <t>SP0045</t>
        </is>
      </c>
      <c r="B46" s="7" t="inlineStr">
        <is>
          <t>PRJ009</t>
        </is>
      </c>
      <c r="C46" s="7">
        <f>IFERROR(VLOOKUP(B46,Projects!$A:$AK,2,FALSE()),"")</f>
        <v/>
      </c>
      <c r="D46" s="7" t="n">
        <v>5</v>
      </c>
      <c r="E46" s="7" t="inlineStr">
        <is>
          <t>PRJ009 Sprint 5</t>
        </is>
      </c>
      <c r="F46" s="8">
        <f>IFERROR(VLOOKUP(B46,Projects!$A:$AK,16,FALSE()),"")</f>
        <v/>
      </c>
      <c r="G46" s="8">
        <f>IFERROR(VLOOKUP(B46,Projects!$A:$AK,17,FALSE()),"")</f>
        <v/>
      </c>
      <c r="H46" s="7" t="n">
        <v>24</v>
      </c>
      <c r="I46" s="7" t="n">
        <v>17</v>
      </c>
      <c r="J46" s="7" t="n">
        <v>4</v>
      </c>
      <c r="K46" s="7" t="n">
        <v>3</v>
      </c>
      <c r="L46" s="7" t="inlineStr">
        <is>
          <t>Complete</t>
        </is>
      </c>
      <c r="M46" s="7" t="inlineStr">
        <is>
          <t>Jane Doe</t>
        </is>
      </c>
    </row>
    <row r="47" ht="15" customHeight="1" s="5">
      <c r="A47" s="7" t="inlineStr">
        <is>
          <t>SP0046</t>
        </is>
      </c>
      <c r="B47" s="7" t="inlineStr">
        <is>
          <t>PRJ009</t>
        </is>
      </c>
      <c r="C47" s="7">
        <f>IFERROR(VLOOKUP(B47,Projects!$A:$AK,2,FALSE()),"")</f>
        <v/>
      </c>
      <c r="D47" s="7" t="n">
        <v>6</v>
      </c>
      <c r="E47" s="7" t="inlineStr">
        <is>
          <t>PRJ009 Sprint 6</t>
        </is>
      </c>
      <c r="F47" s="8">
        <f>IFERROR(VLOOKUP(B47,Projects!$A:$AK,16,FALSE()),"")</f>
        <v/>
      </c>
      <c r="G47" s="8">
        <f>IFERROR(VLOOKUP(B47,Projects!$A:$AK,17,FALSE()),"")</f>
        <v/>
      </c>
      <c r="H47" s="7" t="n">
        <v>33</v>
      </c>
      <c r="I47" s="7" t="n">
        <v>37</v>
      </c>
      <c r="J47" s="7" t="n">
        <v>6</v>
      </c>
      <c r="K47" s="7" t="n">
        <v>7</v>
      </c>
      <c r="L47" s="7" t="inlineStr">
        <is>
          <t>Complete</t>
        </is>
      </c>
      <c r="M47" s="7" t="inlineStr">
        <is>
          <t>Jane Doe</t>
        </is>
      </c>
    </row>
    <row r="48" ht="15" customHeight="1" s="5">
      <c r="A48" s="7" t="inlineStr">
        <is>
          <t>SP0047</t>
        </is>
      </c>
      <c r="B48" s="7" t="inlineStr">
        <is>
          <t>PRJ009</t>
        </is>
      </c>
      <c r="C48" s="7">
        <f>IFERROR(VLOOKUP(B48,Projects!$A:$AK,2,FALSE()),"")</f>
        <v/>
      </c>
      <c r="D48" s="7" t="n">
        <v>7</v>
      </c>
      <c r="E48" s="7" t="inlineStr">
        <is>
          <t>PRJ009 Sprint 7</t>
        </is>
      </c>
      <c r="F48" s="8">
        <f>IFERROR(VLOOKUP(B48,Projects!$A:$AK,16,FALSE()),"")</f>
        <v/>
      </c>
      <c r="G48" s="8">
        <f>IFERROR(VLOOKUP(B48,Projects!$A:$AK,17,FALSE()),"")</f>
        <v/>
      </c>
      <c r="H48" s="7" t="n">
        <v>30</v>
      </c>
      <c r="I48" s="7" t="n">
        <v>23</v>
      </c>
      <c r="J48" s="7" t="n">
        <v>6</v>
      </c>
      <c r="K48" s="7" t="n">
        <v>4</v>
      </c>
      <c r="L48" s="7" t="inlineStr">
        <is>
          <t>Complete</t>
        </is>
      </c>
      <c r="M48" s="7" t="inlineStr">
        <is>
          <t>Jane Doe</t>
        </is>
      </c>
    </row>
    <row r="49" ht="15" customHeight="1" s="5">
      <c r="A49" s="7" t="inlineStr">
        <is>
          <t>SP0048</t>
        </is>
      </c>
      <c r="B49" s="7" t="inlineStr">
        <is>
          <t>PRJ009</t>
        </is>
      </c>
      <c r="C49" s="7">
        <f>IFERROR(VLOOKUP(B49,Projects!$A:$AK,2,FALSE()),"")</f>
        <v/>
      </c>
      <c r="D49" s="7" t="n">
        <v>8</v>
      </c>
      <c r="E49" s="7" t="inlineStr">
        <is>
          <t>PRJ009 Sprint 8</t>
        </is>
      </c>
      <c r="F49" s="8">
        <f>IFERROR(VLOOKUP(B49,Projects!$A:$AK,16,FALSE()),"")</f>
        <v/>
      </c>
      <c r="G49" s="8">
        <f>IFERROR(VLOOKUP(B49,Projects!$A:$AK,17,FALSE()),"")</f>
        <v/>
      </c>
      <c r="H49" s="7" t="n">
        <v>33</v>
      </c>
      <c r="I49" s="7" t="n">
        <v>25</v>
      </c>
      <c r="J49" s="7" t="n">
        <v>6</v>
      </c>
      <c r="K49" s="7" t="n">
        <v>5</v>
      </c>
      <c r="L49" s="7" t="inlineStr">
        <is>
          <t>Complete</t>
        </is>
      </c>
      <c r="M49" s="7" t="inlineStr">
        <is>
          <t>Jane Doe</t>
        </is>
      </c>
    </row>
    <row r="50" ht="15" customHeight="1" s="5">
      <c r="A50" s="7" t="inlineStr">
        <is>
          <t>SP0049</t>
        </is>
      </c>
      <c r="B50" s="7" t="inlineStr">
        <is>
          <t>PRJ010</t>
        </is>
      </c>
      <c r="C50" s="7">
        <f>IFERROR(VLOOKUP(B50,Projects!$A:$AK,2,FALSE()),"")</f>
        <v/>
      </c>
      <c r="D50" s="7" t="n">
        <v>1</v>
      </c>
      <c r="E50" s="7" t="inlineStr">
        <is>
          <t>PRJ010 Sprint 1</t>
        </is>
      </c>
      <c r="F50" s="8">
        <f>IFERROR(VLOOKUP(B50,Projects!$A:$AK,16,FALSE()),"")</f>
        <v/>
      </c>
      <c r="G50" s="8">
        <f>IFERROR(VLOOKUP(B50,Projects!$A:$AK,17,FALSE()),"")</f>
        <v/>
      </c>
      <c r="H50" s="7" t="n">
        <v>54</v>
      </c>
      <c r="I50" s="7" t="n">
        <v>51</v>
      </c>
      <c r="J50" s="7" t="n">
        <v>10</v>
      </c>
      <c r="K50" s="7" t="n">
        <v>10</v>
      </c>
      <c r="L50" s="7" t="inlineStr">
        <is>
          <t>Complete</t>
        </is>
      </c>
      <c r="M50" s="7" t="inlineStr">
        <is>
          <t>Priya Patel</t>
        </is>
      </c>
    </row>
    <row r="51" ht="15" customHeight="1" s="5">
      <c r="A51" s="7" t="inlineStr">
        <is>
          <t>SP0050</t>
        </is>
      </c>
      <c r="B51" s="7" t="inlineStr">
        <is>
          <t>PRJ010</t>
        </is>
      </c>
      <c r="C51" s="7">
        <f>IFERROR(VLOOKUP(B51,Projects!$A:$AK,2,FALSE()),"")</f>
        <v/>
      </c>
      <c r="D51" s="7" t="n">
        <v>2</v>
      </c>
      <c r="E51" s="7" t="inlineStr">
        <is>
          <t>PRJ010 Sprint 2</t>
        </is>
      </c>
      <c r="F51" s="8">
        <f>IFERROR(VLOOKUP(B51,Projects!$A:$AK,16,FALSE()),"")</f>
        <v/>
      </c>
      <c r="G51" s="8">
        <f>IFERROR(VLOOKUP(B51,Projects!$A:$AK,17,FALSE()),"")</f>
        <v/>
      </c>
      <c r="H51" s="7" t="n">
        <v>56</v>
      </c>
      <c r="I51" s="7" t="n">
        <v>47</v>
      </c>
      <c r="J51" s="7" t="n">
        <v>11</v>
      </c>
      <c r="K51" s="7" t="n">
        <v>9</v>
      </c>
      <c r="L51" s="7" t="inlineStr">
        <is>
          <t>Complete</t>
        </is>
      </c>
      <c r="M51" s="7" t="inlineStr">
        <is>
          <t>Priya Patel</t>
        </is>
      </c>
    </row>
    <row r="52" ht="15" customHeight="1" s="5">
      <c r="A52" s="7" t="inlineStr">
        <is>
          <t>SP0051</t>
        </is>
      </c>
      <c r="B52" s="7" t="inlineStr">
        <is>
          <t>PRJ010</t>
        </is>
      </c>
      <c r="C52" s="7">
        <f>IFERROR(VLOOKUP(B52,Projects!$A:$AK,2,FALSE()),"")</f>
        <v/>
      </c>
      <c r="D52" s="7" t="n">
        <v>3</v>
      </c>
      <c r="E52" s="7" t="inlineStr">
        <is>
          <t>PRJ010 Sprint 3</t>
        </is>
      </c>
      <c r="F52" s="8">
        <f>IFERROR(VLOOKUP(B52,Projects!$A:$AK,16,FALSE()),"")</f>
        <v/>
      </c>
      <c r="G52" s="8">
        <f>IFERROR(VLOOKUP(B52,Projects!$A:$AK,17,FALSE()),"")</f>
        <v/>
      </c>
      <c r="H52" s="7" t="n">
        <v>53</v>
      </c>
      <c r="I52" s="7" t="n">
        <v>56</v>
      </c>
      <c r="J52" s="7" t="n">
        <v>10</v>
      </c>
      <c r="K52" s="7" t="n">
        <v>11</v>
      </c>
      <c r="L52" s="7" t="inlineStr">
        <is>
          <t>Complete</t>
        </is>
      </c>
      <c r="M52" s="7" t="inlineStr">
        <is>
          <t>Priya Patel</t>
        </is>
      </c>
    </row>
    <row r="53" ht="15" customHeight="1" s="5">
      <c r="A53" s="7" t="inlineStr">
        <is>
          <t>SP0052</t>
        </is>
      </c>
      <c r="B53" s="7" t="inlineStr">
        <is>
          <t>PRJ010</t>
        </is>
      </c>
      <c r="C53" s="7">
        <f>IFERROR(VLOOKUP(B53,Projects!$A:$AK,2,FALSE()),"")</f>
        <v/>
      </c>
      <c r="D53" s="7" t="n">
        <v>4</v>
      </c>
      <c r="E53" s="7" t="inlineStr">
        <is>
          <t>PRJ010 Sprint 4</t>
        </is>
      </c>
      <c r="F53" s="8">
        <f>IFERROR(VLOOKUP(B53,Projects!$A:$AK,16,FALSE()),"")</f>
        <v/>
      </c>
      <c r="G53" s="8">
        <f>IFERROR(VLOOKUP(B53,Projects!$A:$AK,17,FALSE()),"")</f>
        <v/>
      </c>
      <c r="H53" s="7" t="n">
        <v>56</v>
      </c>
      <c r="I53" s="7" t="n">
        <v>52</v>
      </c>
      <c r="J53" s="7" t="n">
        <v>11</v>
      </c>
      <c r="K53" s="7" t="n">
        <v>10</v>
      </c>
      <c r="L53" s="7" t="inlineStr">
        <is>
          <t>Complete</t>
        </is>
      </c>
      <c r="M53" s="7" t="inlineStr">
        <is>
          <t>Priya Patel</t>
        </is>
      </c>
    </row>
    <row r="54" ht="15" customHeight="1" s="5">
      <c r="A54" s="7" t="inlineStr">
        <is>
          <t>SP0053</t>
        </is>
      </c>
      <c r="B54" s="7" t="inlineStr">
        <is>
          <t>PRJ010</t>
        </is>
      </c>
      <c r="C54" s="7">
        <f>IFERROR(VLOOKUP(B54,Projects!$A:$AK,2,FALSE()),"")</f>
        <v/>
      </c>
      <c r="D54" s="7" t="n">
        <v>5</v>
      </c>
      <c r="E54" s="7" t="inlineStr">
        <is>
          <t>PRJ010 Sprint 5</t>
        </is>
      </c>
      <c r="F54" s="8">
        <f>IFERROR(VLOOKUP(B54,Projects!$A:$AK,16,FALSE()),"")</f>
        <v/>
      </c>
      <c r="G54" s="8">
        <f>IFERROR(VLOOKUP(B54,Projects!$A:$AK,17,FALSE()),"")</f>
        <v/>
      </c>
      <c r="H54" s="7" t="n">
        <v>47</v>
      </c>
      <c r="I54" s="7" t="n">
        <v>35</v>
      </c>
      <c r="J54" s="7" t="n">
        <v>9</v>
      </c>
      <c r="K54" s="7" t="n">
        <v>7</v>
      </c>
      <c r="L54" s="7" t="inlineStr">
        <is>
          <t>Complete</t>
        </is>
      </c>
      <c r="M54" s="7" t="inlineStr">
        <is>
          <t>Priya Patel</t>
        </is>
      </c>
    </row>
    <row r="55" ht="15" customHeight="1" s="5">
      <c r="A55" s="7" t="inlineStr">
        <is>
          <t>SP0054</t>
        </is>
      </c>
      <c r="B55" s="7" t="inlineStr">
        <is>
          <t>PRJ010</t>
        </is>
      </c>
      <c r="C55" s="7">
        <f>IFERROR(VLOOKUP(B55,Projects!$A:$AK,2,FALSE()),"")</f>
        <v/>
      </c>
      <c r="D55" s="7" t="n">
        <v>6</v>
      </c>
      <c r="E55" s="7" t="inlineStr">
        <is>
          <t>PRJ010 Sprint 6</t>
        </is>
      </c>
      <c r="F55" s="8">
        <f>IFERROR(VLOOKUP(B55,Projects!$A:$AK,16,FALSE()),"")</f>
        <v/>
      </c>
      <c r="G55" s="8">
        <f>IFERROR(VLOOKUP(B55,Projects!$A:$AK,17,FALSE()),"")</f>
        <v/>
      </c>
      <c r="H55" s="7" t="n">
        <v>49</v>
      </c>
      <c r="I55" s="7" t="n">
        <v>41</v>
      </c>
      <c r="J55" s="7" t="n">
        <v>9</v>
      </c>
      <c r="K55" s="7" t="n">
        <v>8</v>
      </c>
      <c r="L55" s="7" t="inlineStr">
        <is>
          <t>Complete</t>
        </is>
      </c>
      <c r="M55" s="7" t="inlineStr">
        <is>
          <t>Priya Patel</t>
        </is>
      </c>
    </row>
    <row r="56" ht="15" customHeight="1" s="5">
      <c r="A56" s="7" t="inlineStr">
        <is>
          <t>SP0055</t>
        </is>
      </c>
      <c r="B56" s="7" t="inlineStr">
        <is>
          <t>PRJ010</t>
        </is>
      </c>
      <c r="C56" s="7">
        <f>IFERROR(VLOOKUP(B56,Projects!$A:$AK,2,FALSE()),"")</f>
        <v/>
      </c>
      <c r="D56" s="7" t="n">
        <v>7</v>
      </c>
      <c r="E56" s="7" t="inlineStr">
        <is>
          <t>PRJ010 Sprint 7</t>
        </is>
      </c>
      <c r="F56" s="8">
        <f>IFERROR(VLOOKUP(B56,Projects!$A:$AK,16,FALSE()),"")</f>
        <v/>
      </c>
      <c r="G56" s="8">
        <f>IFERROR(VLOOKUP(B56,Projects!$A:$AK,17,FALSE()),"")</f>
        <v/>
      </c>
      <c r="H56" s="7" t="n">
        <v>55</v>
      </c>
      <c r="I56" s="7" t="n">
        <v>47</v>
      </c>
      <c r="J56" s="7" t="n">
        <v>11</v>
      </c>
      <c r="K56" s="7" t="n">
        <v>9</v>
      </c>
      <c r="L56" s="7" t="inlineStr">
        <is>
          <t>Complete</t>
        </is>
      </c>
      <c r="M56" s="7" t="inlineStr">
        <is>
          <t>Priya Patel</t>
        </is>
      </c>
    </row>
    <row r="57" ht="15" customHeight="1" s="5">
      <c r="A57" s="7" t="inlineStr">
        <is>
          <t>SP0056</t>
        </is>
      </c>
      <c r="B57" s="7" t="inlineStr">
        <is>
          <t>PRJ010</t>
        </is>
      </c>
      <c r="C57" s="7">
        <f>IFERROR(VLOOKUP(B57,Projects!$A:$AK,2,FALSE()),"")</f>
        <v/>
      </c>
      <c r="D57" s="7" t="n">
        <v>8</v>
      </c>
      <c r="E57" s="7" t="inlineStr">
        <is>
          <t>PRJ010 Sprint 8</t>
        </is>
      </c>
      <c r="F57" s="8">
        <f>IFERROR(VLOOKUP(B57,Projects!$A:$AK,16,FALSE()),"")</f>
        <v/>
      </c>
      <c r="G57" s="8">
        <f>IFERROR(VLOOKUP(B57,Projects!$A:$AK,17,FALSE()),"")</f>
        <v/>
      </c>
      <c r="H57" s="7" t="n">
        <v>57</v>
      </c>
      <c r="I57" s="7" t="n">
        <v>59</v>
      </c>
      <c r="J57" s="7" t="n">
        <v>11</v>
      </c>
      <c r="K57" s="7" t="n">
        <v>11</v>
      </c>
      <c r="L57" s="7" t="inlineStr">
        <is>
          <t>Complete</t>
        </is>
      </c>
      <c r="M57" s="7" t="inlineStr">
        <is>
          <t>Priya Patel</t>
        </is>
      </c>
    </row>
    <row r="58" ht="15" customHeight="1" s="5">
      <c r="A58" s="7" t="inlineStr">
        <is>
          <t>SP0057</t>
        </is>
      </c>
      <c r="B58" s="7" t="inlineStr">
        <is>
          <t>PRJ011</t>
        </is>
      </c>
      <c r="C58" s="7">
        <f>IFERROR(VLOOKUP(B58,Projects!$A:$AK,2,FALSE()),"")</f>
        <v/>
      </c>
      <c r="D58" s="7" t="n">
        <v>1</v>
      </c>
      <c r="E58" s="7" t="inlineStr">
        <is>
          <t>PRJ011 Sprint 1</t>
        </is>
      </c>
      <c r="F58" s="8">
        <f>IFERROR(VLOOKUP(B58,Projects!$A:$AK,16,FALSE()),"")</f>
        <v/>
      </c>
      <c r="G58" s="8">
        <f>IFERROR(VLOOKUP(B58,Projects!$A:$AK,17,FALSE()),"")</f>
        <v/>
      </c>
      <c r="H58" s="7" t="n">
        <v>55</v>
      </c>
      <c r="I58" s="7" t="n">
        <v>45</v>
      </c>
      <c r="J58" s="7" t="n">
        <v>11</v>
      </c>
      <c r="K58" s="7" t="n">
        <v>9</v>
      </c>
      <c r="L58" s="7" t="inlineStr">
        <is>
          <t>Complete</t>
        </is>
      </c>
      <c r="M58" s="7" t="inlineStr">
        <is>
          <t>Jane Doe</t>
        </is>
      </c>
    </row>
    <row r="59" ht="15" customHeight="1" s="5">
      <c r="A59" s="7" t="inlineStr">
        <is>
          <t>SP0058</t>
        </is>
      </c>
      <c r="B59" s="7" t="inlineStr">
        <is>
          <t>PRJ011</t>
        </is>
      </c>
      <c r="C59" s="7">
        <f>IFERROR(VLOOKUP(B59,Projects!$A:$AK,2,FALSE()),"")</f>
        <v/>
      </c>
      <c r="D59" s="7" t="n">
        <v>2</v>
      </c>
      <c r="E59" s="7" t="inlineStr">
        <is>
          <t>PRJ011 Sprint 2</t>
        </is>
      </c>
      <c r="F59" s="8">
        <f>IFERROR(VLOOKUP(B59,Projects!$A:$AK,16,FALSE()),"")</f>
        <v/>
      </c>
      <c r="G59" s="8">
        <f>IFERROR(VLOOKUP(B59,Projects!$A:$AK,17,FALSE()),"")</f>
        <v/>
      </c>
      <c r="H59" s="7" t="n">
        <v>43</v>
      </c>
      <c r="I59" s="7" t="n">
        <v>44</v>
      </c>
      <c r="J59" s="7" t="n">
        <v>8</v>
      </c>
      <c r="K59" s="7" t="n">
        <v>8</v>
      </c>
      <c r="L59" s="7" t="inlineStr">
        <is>
          <t>Complete</t>
        </is>
      </c>
      <c r="M59" s="7" t="inlineStr">
        <is>
          <t>Jane Doe</t>
        </is>
      </c>
    </row>
    <row r="60" ht="15" customHeight="1" s="5">
      <c r="A60" s="7" t="inlineStr">
        <is>
          <t>SP0059</t>
        </is>
      </c>
      <c r="B60" s="7" t="inlineStr">
        <is>
          <t>PRJ011</t>
        </is>
      </c>
      <c r="C60" s="7">
        <f>IFERROR(VLOOKUP(B60,Projects!$A:$AK,2,FALSE()),"")</f>
        <v/>
      </c>
      <c r="D60" s="7" t="n">
        <v>3</v>
      </c>
      <c r="E60" s="7" t="inlineStr">
        <is>
          <t>PRJ011 Sprint 3</t>
        </is>
      </c>
      <c r="F60" s="8">
        <f>IFERROR(VLOOKUP(B60,Projects!$A:$AK,16,FALSE()),"")</f>
        <v/>
      </c>
      <c r="G60" s="8">
        <f>IFERROR(VLOOKUP(B60,Projects!$A:$AK,17,FALSE()),"")</f>
        <v/>
      </c>
      <c r="H60" s="7" t="n">
        <v>48</v>
      </c>
      <c r="I60" s="7" t="n">
        <v>40</v>
      </c>
      <c r="J60" s="7" t="n">
        <v>9</v>
      </c>
      <c r="K60" s="7" t="n">
        <v>8</v>
      </c>
      <c r="L60" s="7" t="inlineStr">
        <is>
          <t>Complete</t>
        </is>
      </c>
      <c r="M60" s="7" t="inlineStr">
        <is>
          <t>Jane Doe</t>
        </is>
      </c>
    </row>
    <row r="61" ht="15" customHeight="1" s="5">
      <c r="A61" s="7" t="inlineStr">
        <is>
          <t>SP0060</t>
        </is>
      </c>
      <c r="B61" s="7" t="inlineStr">
        <is>
          <t>PRJ011</t>
        </is>
      </c>
      <c r="C61" s="7">
        <f>IFERROR(VLOOKUP(B61,Projects!$A:$AK,2,FALSE()),"")</f>
        <v/>
      </c>
      <c r="D61" s="7" t="n">
        <v>4</v>
      </c>
      <c r="E61" s="7" t="inlineStr">
        <is>
          <t>PRJ011 Sprint 4</t>
        </is>
      </c>
      <c r="F61" s="8">
        <f>IFERROR(VLOOKUP(B61,Projects!$A:$AK,16,FALSE()),"")</f>
        <v/>
      </c>
      <c r="G61" s="8">
        <f>IFERROR(VLOOKUP(B61,Projects!$A:$AK,17,FALSE()),"")</f>
        <v/>
      </c>
      <c r="H61" s="7" t="n">
        <v>42</v>
      </c>
      <c r="I61" s="7" t="n">
        <v>40</v>
      </c>
      <c r="J61" s="7" t="n">
        <v>8</v>
      </c>
      <c r="K61" s="7" t="n">
        <v>8</v>
      </c>
      <c r="L61" s="7" t="inlineStr">
        <is>
          <t>Complete</t>
        </is>
      </c>
      <c r="M61" s="7" t="inlineStr">
        <is>
          <t>Jane Doe</t>
        </is>
      </c>
    </row>
    <row r="62" ht="15" customHeight="1" s="5">
      <c r="A62" s="7" t="inlineStr">
        <is>
          <t>SP0061</t>
        </is>
      </c>
      <c r="B62" s="7" t="inlineStr">
        <is>
          <t>PRJ011</t>
        </is>
      </c>
      <c r="C62" s="7">
        <f>IFERROR(VLOOKUP(B62,Projects!$A:$AK,2,FALSE()),"")</f>
        <v/>
      </c>
      <c r="D62" s="7" t="n">
        <v>5</v>
      </c>
      <c r="E62" s="7" t="inlineStr">
        <is>
          <t>PRJ011 Sprint 5</t>
        </is>
      </c>
      <c r="F62" s="8">
        <f>IFERROR(VLOOKUP(B62,Projects!$A:$AK,16,FALSE()),"")</f>
        <v/>
      </c>
      <c r="G62" s="8">
        <f>IFERROR(VLOOKUP(B62,Projects!$A:$AK,17,FALSE()),"")</f>
        <v/>
      </c>
      <c r="H62" s="7" t="n">
        <v>44</v>
      </c>
      <c r="I62" s="7" t="n">
        <v>37</v>
      </c>
      <c r="J62" s="7" t="n">
        <v>8</v>
      </c>
      <c r="K62" s="7" t="n">
        <v>7</v>
      </c>
      <c r="L62" s="7" t="inlineStr">
        <is>
          <t>Complete</t>
        </is>
      </c>
      <c r="M62" s="7" t="inlineStr">
        <is>
          <t>Jane Doe</t>
        </is>
      </c>
    </row>
    <row r="63" ht="15" customHeight="1" s="5">
      <c r="A63" s="7" t="inlineStr">
        <is>
          <t>SP0062</t>
        </is>
      </c>
      <c r="B63" s="7" t="inlineStr">
        <is>
          <t>PRJ011</t>
        </is>
      </c>
      <c r="C63" s="7">
        <f>IFERROR(VLOOKUP(B63,Projects!$A:$AK,2,FALSE()),"")</f>
        <v/>
      </c>
      <c r="D63" s="7" t="n">
        <v>6</v>
      </c>
      <c r="E63" s="7" t="inlineStr">
        <is>
          <t>PRJ011 Sprint 6</t>
        </is>
      </c>
      <c r="F63" s="8">
        <f>IFERROR(VLOOKUP(B63,Projects!$A:$AK,16,FALSE()),"")</f>
        <v/>
      </c>
      <c r="G63" s="8">
        <f>IFERROR(VLOOKUP(B63,Projects!$A:$AK,17,FALSE()),"")</f>
        <v/>
      </c>
      <c r="H63" s="7" t="n">
        <v>52</v>
      </c>
      <c r="I63" s="7" t="n">
        <v>51</v>
      </c>
      <c r="J63" s="7" t="n">
        <v>10</v>
      </c>
      <c r="K63" s="7" t="n">
        <v>10</v>
      </c>
      <c r="L63" s="7" t="inlineStr">
        <is>
          <t>Complete</t>
        </is>
      </c>
      <c r="M63" s="7" t="inlineStr">
        <is>
          <t>Jane Doe</t>
        </is>
      </c>
    </row>
    <row r="64" ht="15" customHeight="1" s="5">
      <c r="A64" s="7" t="inlineStr">
        <is>
          <t>SP0063</t>
        </is>
      </c>
      <c r="B64" s="7" t="inlineStr">
        <is>
          <t>PRJ011</t>
        </is>
      </c>
      <c r="C64" s="7">
        <f>IFERROR(VLOOKUP(B64,Projects!$A:$AK,2,FALSE()),"")</f>
        <v/>
      </c>
      <c r="D64" s="7" t="n">
        <v>7</v>
      </c>
      <c r="E64" s="7" t="inlineStr">
        <is>
          <t>PRJ011 Sprint 7</t>
        </is>
      </c>
      <c r="F64" s="8">
        <f>IFERROR(VLOOKUP(B64,Projects!$A:$AK,16,FALSE()),"")</f>
        <v/>
      </c>
      <c r="G64" s="8">
        <f>IFERROR(VLOOKUP(B64,Projects!$A:$AK,17,FALSE()),"")</f>
        <v/>
      </c>
      <c r="H64" s="7" t="n">
        <v>50</v>
      </c>
      <c r="I64" s="7" t="n">
        <v>53</v>
      </c>
      <c r="J64" s="7" t="n">
        <v>10</v>
      </c>
      <c r="K64" s="7" t="n">
        <v>10</v>
      </c>
      <c r="L64" s="7" t="inlineStr">
        <is>
          <t>Complete</t>
        </is>
      </c>
      <c r="M64" s="7" t="inlineStr">
        <is>
          <t>Jane Doe</t>
        </is>
      </c>
    </row>
    <row r="65" ht="15" customHeight="1" s="5">
      <c r="A65" s="7" t="inlineStr">
        <is>
          <t>SP0064</t>
        </is>
      </c>
      <c r="B65" s="7" t="inlineStr">
        <is>
          <t>PRJ011</t>
        </is>
      </c>
      <c r="C65" s="7">
        <f>IFERROR(VLOOKUP(B65,Projects!$A:$AK,2,FALSE()),"")</f>
        <v/>
      </c>
      <c r="D65" s="7" t="n">
        <v>8</v>
      </c>
      <c r="E65" s="7" t="inlineStr">
        <is>
          <t>PRJ011 Sprint 8</t>
        </is>
      </c>
      <c r="F65" s="8">
        <f>IFERROR(VLOOKUP(B65,Projects!$A:$AK,16,FALSE()),"")</f>
        <v/>
      </c>
      <c r="G65" s="8">
        <f>IFERROR(VLOOKUP(B65,Projects!$A:$AK,17,FALSE()),"")</f>
        <v/>
      </c>
      <c r="H65" s="7" t="n">
        <v>53</v>
      </c>
      <c r="I65" s="7" t="n">
        <v>56</v>
      </c>
      <c r="J65" s="7" t="n">
        <v>10</v>
      </c>
      <c r="K65" s="7" t="n">
        <v>11</v>
      </c>
      <c r="L65" s="7" t="inlineStr">
        <is>
          <t>Complete</t>
        </is>
      </c>
      <c r="M65" s="7" t="inlineStr">
        <is>
          <t>Jane Doe</t>
        </is>
      </c>
    </row>
    <row r="66" ht="15" customHeight="1" s="5">
      <c r="A66" s="7" t="inlineStr">
        <is>
          <t>SP0065</t>
        </is>
      </c>
      <c r="B66" s="7" t="inlineStr">
        <is>
          <t>PRJ013</t>
        </is>
      </c>
      <c r="C66" s="7">
        <f>IFERROR(VLOOKUP(B66,Projects!$A:$AK,2,FALSE()),"")</f>
        <v/>
      </c>
      <c r="D66" s="7" t="n">
        <v>1</v>
      </c>
      <c r="E66" s="7" t="inlineStr">
        <is>
          <t>PRJ013 Sprint 1</t>
        </is>
      </c>
      <c r="F66" s="8">
        <f>IFERROR(VLOOKUP(B66,Projects!$A:$AK,16,FALSE()),"")</f>
        <v/>
      </c>
      <c r="G66" s="8">
        <f>IFERROR(VLOOKUP(B66,Projects!$A:$AK,17,FALSE()),"")</f>
        <v/>
      </c>
      <c r="H66" s="7" t="n">
        <v>52</v>
      </c>
      <c r="I66" s="7" t="n">
        <v>50</v>
      </c>
      <c r="J66" s="7" t="n">
        <v>10</v>
      </c>
      <c r="K66" s="7" t="n">
        <v>10</v>
      </c>
      <c r="L66" s="7" t="inlineStr">
        <is>
          <t>Complete</t>
        </is>
      </c>
      <c r="M66" s="7" t="inlineStr">
        <is>
          <t>Priya Patel</t>
        </is>
      </c>
    </row>
    <row r="67" ht="15" customHeight="1" s="5">
      <c r="A67" s="7" t="inlineStr">
        <is>
          <t>SP0066</t>
        </is>
      </c>
      <c r="B67" s="7" t="inlineStr">
        <is>
          <t>PRJ013</t>
        </is>
      </c>
      <c r="C67" s="7">
        <f>IFERROR(VLOOKUP(B67,Projects!$A:$AK,2,FALSE()),"")</f>
        <v/>
      </c>
      <c r="D67" s="7" t="n">
        <v>2</v>
      </c>
      <c r="E67" s="7" t="inlineStr">
        <is>
          <t>PRJ013 Sprint 2</t>
        </is>
      </c>
      <c r="F67" s="8">
        <f>IFERROR(VLOOKUP(B67,Projects!$A:$AK,16,FALSE()),"")</f>
        <v/>
      </c>
      <c r="G67" s="8">
        <f>IFERROR(VLOOKUP(B67,Projects!$A:$AK,17,FALSE()),"")</f>
        <v/>
      </c>
      <c r="H67" s="7" t="n">
        <v>43</v>
      </c>
      <c r="I67" s="7" t="n">
        <v>38</v>
      </c>
      <c r="J67" s="7" t="n">
        <v>8</v>
      </c>
      <c r="K67" s="7" t="n">
        <v>7</v>
      </c>
      <c r="L67" s="7" t="inlineStr">
        <is>
          <t>Complete</t>
        </is>
      </c>
      <c r="M67" s="7" t="inlineStr">
        <is>
          <t>Priya Patel</t>
        </is>
      </c>
    </row>
    <row r="68" ht="15" customHeight="1" s="5">
      <c r="A68" s="7" t="inlineStr">
        <is>
          <t>SP0067</t>
        </is>
      </c>
      <c r="B68" s="7" t="inlineStr">
        <is>
          <t>PRJ013</t>
        </is>
      </c>
      <c r="C68" s="7">
        <f>IFERROR(VLOOKUP(B68,Projects!$A:$AK,2,FALSE()),"")</f>
        <v/>
      </c>
      <c r="D68" s="7" t="n">
        <v>3</v>
      </c>
      <c r="E68" s="7" t="inlineStr">
        <is>
          <t>PRJ013 Sprint 3</t>
        </is>
      </c>
      <c r="F68" s="8">
        <f>IFERROR(VLOOKUP(B68,Projects!$A:$AK,16,FALSE()),"")</f>
        <v/>
      </c>
      <c r="G68" s="8">
        <f>IFERROR(VLOOKUP(B68,Projects!$A:$AK,17,FALSE()),"")</f>
        <v/>
      </c>
      <c r="H68" s="7" t="n">
        <v>51</v>
      </c>
      <c r="I68" s="7" t="n">
        <v>52</v>
      </c>
      <c r="J68" s="7" t="n">
        <v>10</v>
      </c>
      <c r="K68" s="7" t="n">
        <v>10</v>
      </c>
      <c r="L68" s="7" t="inlineStr">
        <is>
          <t>Complete</t>
        </is>
      </c>
      <c r="M68" s="7" t="inlineStr">
        <is>
          <t>Priya Patel</t>
        </is>
      </c>
    </row>
    <row r="69" ht="15" customHeight="1" s="5">
      <c r="A69" s="7" t="inlineStr">
        <is>
          <t>SP0068</t>
        </is>
      </c>
      <c r="B69" s="7" t="inlineStr">
        <is>
          <t>PRJ013</t>
        </is>
      </c>
      <c r="C69" s="7">
        <f>IFERROR(VLOOKUP(B69,Projects!$A:$AK,2,FALSE()),"")</f>
        <v/>
      </c>
      <c r="D69" s="7" t="n">
        <v>4</v>
      </c>
      <c r="E69" s="7" t="inlineStr">
        <is>
          <t>PRJ013 Sprint 4</t>
        </is>
      </c>
      <c r="F69" s="8">
        <f>IFERROR(VLOOKUP(B69,Projects!$A:$AK,16,FALSE()),"")</f>
        <v/>
      </c>
      <c r="G69" s="8">
        <f>IFERROR(VLOOKUP(B69,Projects!$A:$AK,17,FALSE()),"")</f>
        <v/>
      </c>
      <c r="H69" s="7" t="n">
        <v>56</v>
      </c>
      <c r="I69" s="7" t="n">
        <v>59</v>
      </c>
      <c r="J69" s="7" t="n">
        <v>11</v>
      </c>
      <c r="K69" s="7" t="n">
        <v>11</v>
      </c>
      <c r="L69" s="7" t="inlineStr">
        <is>
          <t>Complete</t>
        </is>
      </c>
      <c r="M69" s="7" t="inlineStr">
        <is>
          <t>Priya Patel</t>
        </is>
      </c>
    </row>
    <row r="70" ht="15" customHeight="1" s="5">
      <c r="A70" s="7" t="inlineStr">
        <is>
          <t>SP0069</t>
        </is>
      </c>
      <c r="B70" s="7" t="inlineStr">
        <is>
          <t>PRJ013</t>
        </is>
      </c>
      <c r="C70" s="7">
        <f>IFERROR(VLOOKUP(B70,Projects!$A:$AK,2,FALSE()),"")</f>
        <v/>
      </c>
      <c r="D70" s="7" t="n">
        <v>5</v>
      </c>
      <c r="E70" s="7" t="inlineStr">
        <is>
          <t>PRJ013 Sprint 5</t>
        </is>
      </c>
      <c r="F70" s="8">
        <f>IFERROR(VLOOKUP(B70,Projects!$A:$AK,16,FALSE()),"")</f>
        <v/>
      </c>
      <c r="G70" s="8">
        <f>IFERROR(VLOOKUP(B70,Projects!$A:$AK,17,FALSE()),"")</f>
        <v/>
      </c>
      <c r="H70" s="7" t="n">
        <v>56</v>
      </c>
      <c r="I70" s="7" t="n">
        <v>61</v>
      </c>
      <c r="J70" s="7" t="n">
        <v>11</v>
      </c>
      <c r="K70" s="7" t="n">
        <v>12</v>
      </c>
      <c r="L70" s="7" t="inlineStr">
        <is>
          <t>Complete</t>
        </is>
      </c>
      <c r="M70" s="7" t="inlineStr">
        <is>
          <t>Priya Patel</t>
        </is>
      </c>
    </row>
    <row r="71" ht="15" customHeight="1" s="5">
      <c r="A71" s="7" t="inlineStr">
        <is>
          <t>SP0070</t>
        </is>
      </c>
      <c r="B71" s="7" t="inlineStr">
        <is>
          <t>PRJ013</t>
        </is>
      </c>
      <c r="C71" s="7">
        <f>IFERROR(VLOOKUP(B71,Projects!$A:$AK,2,FALSE()),"")</f>
        <v/>
      </c>
      <c r="D71" s="7" t="n">
        <v>6</v>
      </c>
      <c r="E71" s="7" t="inlineStr">
        <is>
          <t>PRJ013 Sprint 6</t>
        </is>
      </c>
      <c r="F71" s="8">
        <f>IFERROR(VLOOKUP(B71,Projects!$A:$AK,16,FALSE()),"")</f>
        <v/>
      </c>
      <c r="G71" s="8">
        <f>IFERROR(VLOOKUP(B71,Projects!$A:$AK,17,FALSE()),"")</f>
        <v/>
      </c>
      <c r="H71" s="7" t="n">
        <v>54</v>
      </c>
      <c r="I71" s="7" t="n">
        <v>59</v>
      </c>
      <c r="J71" s="7" t="n">
        <v>10</v>
      </c>
      <c r="K71" s="7" t="n">
        <v>11</v>
      </c>
      <c r="L71" s="7" t="inlineStr">
        <is>
          <t>Complete</t>
        </is>
      </c>
      <c r="M71" s="7" t="inlineStr">
        <is>
          <t>Priya Patel</t>
        </is>
      </c>
    </row>
    <row r="72" ht="15" customHeight="1" s="5">
      <c r="A72" s="7" t="inlineStr">
        <is>
          <t>SP0071</t>
        </is>
      </c>
      <c r="B72" s="7" t="inlineStr">
        <is>
          <t>PRJ013</t>
        </is>
      </c>
      <c r="C72" s="7">
        <f>IFERROR(VLOOKUP(B72,Projects!$A:$AK,2,FALSE()),"")</f>
        <v/>
      </c>
      <c r="D72" s="7" t="n">
        <v>7</v>
      </c>
      <c r="E72" s="7" t="inlineStr">
        <is>
          <t>PRJ013 Sprint 7</t>
        </is>
      </c>
      <c r="F72" s="8">
        <f>IFERROR(VLOOKUP(B72,Projects!$A:$AK,16,FALSE()),"")</f>
        <v/>
      </c>
      <c r="G72" s="8">
        <f>IFERROR(VLOOKUP(B72,Projects!$A:$AK,17,FALSE()),"")</f>
        <v/>
      </c>
      <c r="H72" s="7" t="n">
        <v>56</v>
      </c>
      <c r="I72" s="7" t="n">
        <v>51</v>
      </c>
      <c r="J72" s="7" t="n">
        <v>11</v>
      </c>
      <c r="K72" s="7" t="n">
        <v>10</v>
      </c>
      <c r="L72" s="7" t="inlineStr">
        <is>
          <t>Complete</t>
        </is>
      </c>
      <c r="M72" s="7" t="inlineStr">
        <is>
          <t>Priya Patel</t>
        </is>
      </c>
    </row>
    <row r="73" ht="15" customHeight="1" s="5">
      <c r="A73" s="7" t="inlineStr">
        <is>
          <t>SP0072</t>
        </is>
      </c>
      <c r="B73" s="7" t="inlineStr">
        <is>
          <t>PRJ013</t>
        </is>
      </c>
      <c r="C73" s="7">
        <f>IFERROR(VLOOKUP(B73,Projects!$A:$AK,2,FALSE()),"")</f>
        <v/>
      </c>
      <c r="D73" s="7" t="n">
        <v>8</v>
      </c>
      <c r="E73" s="7" t="inlineStr">
        <is>
          <t>PRJ013 Sprint 8</t>
        </is>
      </c>
      <c r="F73" s="8">
        <f>IFERROR(VLOOKUP(B73,Projects!$A:$AK,16,FALSE()),"")</f>
        <v/>
      </c>
      <c r="G73" s="8">
        <f>IFERROR(VLOOKUP(B73,Projects!$A:$AK,17,FALSE()),"")</f>
        <v/>
      </c>
      <c r="H73" s="7" t="n">
        <v>51</v>
      </c>
      <c r="I73" s="7" t="n">
        <v>41</v>
      </c>
      <c r="J73" s="7" t="n">
        <v>10</v>
      </c>
      <c r="K73" s="7" t="n">
        <v>8</v>
      </c>
      <c r="L73" s="7" t="inlineStr">
        <is>
          <t>Complete</t>
        </is>
      </c>
      <c r="M73" s="7" t="inlineStr">
        <is>
          <t>Priya Patel</t>
        </is>
      </c>
    </row>
    <row r="74" ht="15" customHeight="1" s="5">
      <c r="A74" s="7" t="inlineStr">
        <is>
          <t>SP0073</t>
        </is>
      </c>
      <c r="B74" s="7" t="inlineStr">
        <is>
          <t>PRJ014</t>
        </is>
      </c>
      <c r="C74" s="7">
        <f>IFERROR(VLOOKUP(B74,Projects!$A:$AK,2,FALSE()),"")</f>
        <v/>
      </c>
      <c r="D74" s="7" t="n">
        <v>1</v>
      </c>
      <c r="E74" s="7" t="inlineStr">
        <is>
          <t>PRJ014 Sprint 1</t>
        </is>
      </c>
      <c r="F74" s="8">
        <f>IFERROR(VLOOKUP(B74,Projects!$A:$AK,16,FALSE()),"")</f>
        <v/>
      </c>
      <c r="G74" s="8">
        <f>IFERROR(VLOOKUP(B74,Projects!$A:$AK,17,FALSE()),"")</f>
        <v/>
      </c>
      <c r="H74" s="7" t="n">
        <v>48</v>
      </c>
      <c r="I74" s="7" t="n">
        <v>52</v>
      </c>
      <c r="J74" s="7" t="n">
        <v>9</v>
      </c>
      <c r="K74" s="7" t="n">
        <v>10</v>
      </c>
      <c r="L74" s="7" t="inlineStr">
        <is>
          <t>Complete</t>
        </is>
      </c>
      <c r="M74" s="7" t="inlineStr">
        <is>
          <t>Alex Brown</t>
        </is>
      </c>
    </row>
    <row r="75" ht="15" customHeight="1" s="5">
      <c r="A75" s="7" t="inlineStr">
        <is>
          <t>SP0074</t>
        </is>
      </c>
      <c r="B75" s="7" t="inlineStr">
        <is>
          <t>PRJ014</t>
        </is>
      </c>
      <c r="C75" s="7">
        <f>IFERROR(VLOOKUP(B75,Projects!$A:$AK,2,FALSE()),"")</f>
        <v/>
      </c>
      <c r="D75" s="7" t="n">
        <v>2</v>
      </c>
      <c r="E75" s="7" t="inlineStr">
        <is>
          <t>PRJ014 Sprint 2</t>
        </is>
      </c>
      <c r="F75" s="8">
        <f>IFERROR(VLOOKUP(B75,Projects!$A:$AK,16,FALSE()),"")</f>
        <v/>
      </c>
      <c r="G75" s="8">
        <f>IFERROR(VLOOKUP(B75,Projects!$A:$AK,17,FALSE()),"")</f>
        <v/>
      </c>
      <c r="H75" s="7" t="n">
        <v>53</v>
      </c>
      <c r="I75" s="7" t="n">
        <v>48</v>
      </c>
      <c r="J75" s="7" t="n">
        <v>10</v>
      </c>
      <c r="K75" s="7" t="n">
        <v>9</v>
      </c>
      <c r="L75" s="7" t="inlineStr">
        <is>
          <t>Complete</t>
        </is>
      </c>
      <c r="M75" s="7" t="inlineStr">
        <is>
          <t>Alex Brown</t>
        </is>
      </c>
    </row>
    <row r="76" ht="15" customHeight="1" s="5">
      <c r="A76" s="7" t="inlineStr">
        <is>
          <t>SP0075</t>
        </is>
      </c>
      <c r="B76" s="7" t="inlineStr">
        <is>
          <t>PRJ014</t>
        </is>
      </c>
      <c r="C76" s="7">
        <f>IFERROR(VLOOKUP(B76,Projects!$A:$AK,2,FALSE()),"")</f>
        <v/>
      </c>
      <c r="D76" s="7" t="n">
        <v>3</v>
      </c>
      <c r="E76" s="7" t="inlineStr">
        <is>
          <t>PRJ014 Sprint 3</t>
        </is>
      </c>
      <c r="F76" s="8">
        <f>IFERROR(VLOOKUP(B76,Projects!$A:$AK,16,FALSE()),"")</f>
        <v/>
      </c>
      <c r="G76" s="8">
        <f>IFERROR(VLOOKUP(B76,Projects!$A:$AK,17,FALSE()),"")</f>
        <v/>
      </c>
      <c r="H76" s="7" t="n">
        <v>37</v>
      </c>
      <c r="I76" s="7" t="n">
        <v>32</v>
      </c>
      <c r="J76" s="7" t="n">
        <v>7</v>
      </c>
      <c r="K76" s="7" t="n">
        <v>6</v>
      </c>
      <c r="L76" s="7" t="inlineStr">
        <is>
          <t>Complete</t>
        </is>
      </c>
      <c r="M76" s="7" t="inlineStr">
        <is>
          <t>Alex Brown</t>
        </is>
      </c>
    </row>
    <row r="77" ht="15" customHeight="1" s="5">
      <c r="A77" s="7" t="inlineStr">
        <is>
          <t>SP0076</t>
        </is>
      </c>
      <c r="B77" s="7" t="inlineStr">
        <is>
          <t>PRJ014</t>
        </is>
      </c>
      <c r="C77" s="7">
        <f>IFERROR(VLOOKUP(B77,Projects!$A:$AK,2,FALSE()),"")</f>
        <v/>
      </c>
      <c r="D77" s="7" t="n">
        <v>4</v>
      </c>
      <c r="E77" s="7" t="inlineStr">
        <is>
          <t>PRJ014 Sprint 4</t>
        </is>
      </c>
      <c r="F77" s="8">
        <f>IFERROR(VLOOKUP(B77,Projects!$A:$AK,16,FALSE()),"")</f>
        <v/>
      </c>
      <c r="G77" s="8">
        <f>IFERROR(VLOOKUP(B77,Projects!$A:$AK,17,FALSE()),"")</f>
        <v/>
      </c>
      <c r="H77" s="7" t="n">
        <v>46</v>
      </c>
      <c r="I77" s="7" t="n">
        <v>34</v>
      </c>
      <c r="J77" s="7" t="n">
        <v>9</v>
      </c>
      <c r="K77" s="7" t="n">
        <v>6</v>
      </c>
      <c r="L77" s="7" t="inlineStr">
        <is>
          <t>Complete</t>
        </is>
      </c>
      <c r="M77" s="7" t="inlineStr">
        <is>
          <t>Alex Brown</t>
        </is>
      </c>
    </row>
    <row r="78" ht="15" customHeight="1" s="5">
      <c r="A78" s="7" t="inlineStr">
        <is>
          <t>SP0077</t>
        </is>
      </c>
      <c r="B78" s="7" t="inlineStr">
        <is>
          <t>PRJ014</t>
        </is>
      </c>
      <c r="C78" s="7">
        <f>IFERROR(VLOOKUP(B78,Projects!$A:$AK,2,FALSE()),"")</f>
        <v/>
      </c>
      <c r="D78" s="7" t="n">
        <v>5</v>
      </c>
      <c r="E78" s="7" t="inlineStr">
        <is>
          <t>PRJ014 Sprint 5</t>
        </is>
      </c>
      <c r="F78" s="8">
        <f>IFERROR(VLOOKUP(B78,Projects!$A:$AK,16,FALSE()),"")</f>
        <v/>
      </c>
      <c r="G78" s="8">
        <f>IFERROR(VLOOKUP(B78,Projects!$A:$AK,17,FALSE()),"")</f>
        <v/>
      </c>
      <c r="H78" s="7" t="n">
        <v>41</v>
      </c>
      <c r="I78" s="7" t="n">
        <v>29</v>
      </c>
      <c r="J78" s="7" t="n">
        <v>8</v>
      </c>
      <c r="K78" s="7" t="n">
        <v>5</v>
      </c>
      <c r="L78" s="7" t="inlineStr">
        <is>
          <t>Complete</t>
        </is>
      </c>
      <c r="M78" s="7" t="inlineStr">
        <is>
          <t>Alex Brown</t>
        </is>
      </c>
    </row>
    <row r="79" ht="15" customHeight="1" s="5">
      <c r="A79" s="7" t="inlineStr">
        <is>
          <t>SP0078</t>
        </is>
      </c>
      <c r="B79" s="7" t="inlineStr">
        <is>
          <t>PRJ014</t>
        </is>
      </c>
      <c r="C79" s="7">
        <f>IFERROR(VLOOKUP(B79,Projects!$A:$AK,2,FALSE()),"")</f>
        <v/>
      </c>
      <c r="D79" s="7" t="n">
        <v>6</v>
      </c>
      <c r="E79" s="7" t="inlineStr">
        <is>
          <t>PRJ014 Sprint 6</t>
        </is>
      </c>
      <c r="F79" s="8">
        <f>IFERROR(VLOOKUP(B79,Projects!$A:$AK,16,FALSE()),"")</f>
        <v/>
      </c>
      <c r="G79" s="8">
        <f>IFERROR(VLOOKUP(B79,Projects!$A:$AK,17,FALSE()),"")</f>
        <v/>
      </c>
      <c r="H79" s="7" t="n">
        <v>46</v>
      </c>
      <c r="I79" s="7" t="n">
        <v>51</v>
      </c>
      <c r="J79" s="7" t="n">
        <v>9</v>
      </c>
      <c r="K79" s="7" t="n">
        <v>10</v>
      </c>
      <c r="L79" s="7" t="inlineStr">
        <is>
          <t>Complete</t>
        </is>
      </c>
      <c r="M79" s="7" t="inlineStr">
        <is>
          <t>Alex Brown</t>
        </is>
      </c>
    </row>
    <row r="80" ht="15" customHeight="1" s="5">
      <c r="A80" s="7" t="inlineStr">
        <is>
          <t>SP0079</t>
        </is>
      </c>
      <c r="B80" s="7" t="inlineStr">
        <is>
          <t>PRJ014</t>
        </is>
      </c>
      <c r="C80" s="7">
        <f>IFERROR(VLOOKUP(B80,Projects!$A:$AK,2,FALSE()),"")</f>
        <v/>
      </c>
      <c r="D80" s="7" t="n">
        <v>7</v>
      </c>
      <c r="E80" s="7" t="inlineStr">
        <is>
          <t>PRJ014 Sprint 7</t>
        </is>
      </c>
      <c r="F80" s="8">
        <f>IFERROR(VLOOKUP(B80,Projects!$A:$AK,16,FALSE()),"")</f>
        <v/>
      </c>
      <c r="G80" s="8">
        <f>IFERROR(VLOOKUP(B80,Projects!$A:$AK,17,FALSE()),"")</f>
        <v/>
      </c>
      <c r="H80" s="7" t="n">
        <v>50</v>
      </c>
      <c r="I80" s="7" t="n">
        <v>42</v>
      </c>
      <c r="J80" s="7" t="n">
        <v>10</v>
      </c>
      <c r="K80" s="7" t="n">
        <v>8</v>
      </c>
      <c r="L80" s="7" t="inlineStr">
        <is>
          <t>Complete</t>
        </is>
      </c>
      <c r="M80" s="7" t="inlineStr">
        <is>
          <t>Alex Brown</t>
        </is>
      </c>
    </row>
    <row r="81" ht="15" customHeight="1" s="5">
      <c r="A81" s="7" t="inlineStr">
        <is>
          <t>SP0080</t>
        </is>
      </c>
      <c r="B81" s="7" t="inlineStr">
        <is>
          <t>PRJ014</t>
        </is>
      </c>
      <c r="C81" s="7">
        <f>IFERROR(VLOOKUP(B81,Projects!$A:$AK,2,FALSE()),"")</f>
        <v/>
      </c>
      <c r="D81" s="7" t="n">
        <v>8</v>
      </c>
      <c r="E81" s="7" t="inlineStr">
        <is>
          <t>PRJ014 Sprint 8</t>
        </is>
      </c>
      <c r="F81" s="8">
        <f>IFERROR(VLOOKUP(B81,Projects!$A:$AK,16,FALSE()),"")</f>
        <v/>
      </c>
      <c r="G81" s="8">
        <f>IFERROR(VLOOKUP(B81,Projects!$A:$AK,17,FALSE()),"")</f>
        <v/>
      </c>
      <c r="H81" s="7" t="n">
        <v>38</v>
      </c>
      <c r="I81" s="7" t="n">
        <v>27</v>
      </c>
      <c r="J81" s="7" t="n">
        <v>7</v>
      </c>
      <c r="K81" s="7" t="n">
        <v>5</v>
      </c>
      <c r="L81" s="7" t="inlineStr">
        <is>
          <t>Complete</t>
        </is>
      </c>
      <c r="M81" s="7" t="inlineStr">
        <is>
          <t>Alex Brown</t>
        </is>
      </c>
    </row>
    <row r="82" ht="15" customHeight="1" s="5">
      <c r="A82" s="7" t="inlineStr">
        <is>
          <t>SP0081</t>
        </is>
      </c>
      <c r="B82" s="7" t="inlineStr">
        <is>
          <t>PRJ015</t>
        </is>
      </c>
      <c r="C82" s="7">
        <f>IFERROR(VLOOKUP(B82,Projects!$A:$AK,2,FALSE()),"")</f>
        <v/>
      </c>
      <c r="D82" s="7" t="n">
        <v>1</v>
      </c>
      <c r="E82" s="7" t="inlineStr">
        <is>
          <t>PRJ015 Sprint 1</t>
        </is>
      </c>
      <c r="F82" s="8">
        <f>IFERROR(VLOOKUP(B82,Projects!$A:$AK,16,FALSE()),"")</f>
        <v/>
      </c>
      <c r="G82" s="8">
        <f>IFERROR(VLOOKUP(B82,Projects!$A:$AK,17,FALSE()),"")</f>
        <v/>
      </c>
      <c r="H82" s="7" t="n">
        <v>57</v>
      </c>
      <c r="I82" s="7" t="n">
        <v>56</v>
      </c>
      <c r="J82" s="7" t="n">
        <v>11</v>
      </c>
      <c r="K82" s="7" t="n">
        <v>11</v>
      </c>
      <c r="L82" s="7" t="inlineStr">
        <is>
          <t>Complete</t>
        </is>
      </c>
      <c r="M82" s="7" t="inlineStr">
        <is>
          <t>John Smith</t>
        </is>
      </c>
    </row>
    <row r="83" ht="15" customHeight="1" s="5">
      <c r="A83" s="7" t="inlineStr">
        <is>
          <t>SP0082</t>
        </is>
      </c>
      <c r="B83" s="7" t="inlineStr">
        <is>
          <t>PRJ015</t>
        </is>
      </c>
      <c r="C83" s="7">
        <f>IFERROR(VLOOKUP(B83,Projects!$A:$AK,2,FALSE()),"")</f>
        <v/>
      </c>
      <c r="D83" s="7" t="n">
        <v>2</v>
      </c>
      <c r="E83" s="7" t="inlineStr">
        <is>
          <t>PRJ015 Sprint 2</t>
        </is>
      </c>
      <c r="F83" s="8">
        <f>IFERROR(VLOOKUP(B83,Projects!$A:$AK,16,FALSE()),"")</f>
        <v/>
      </c>
      <c r="G83" s="8">
        <f>IFERROR(VLOOKUP(B83,Projects!$A:$AK,17,FALSE()),"")</f>
        <v/>
      </c>
      <c r="H83" s="7" t="n">
        <v>50</v>
      </c>
      <c r="I83" s="7" t="n">
        <v>47</v>
      </c>
      <c r="J83" s="7" t="n">
        <v>10</v>
      </c>
      <c r="K83" s="7" t="n">
        <v>9</v>
      </c>
      <c r="L83" s="7" t="inlineStr">
        <is>
          <t>Complete</t>
        </is>
      </c>
      <c r="M83" s="7" t="inlineStr">
        <is>
          <t>John Smith</t>
        </is>
      </c>
    </row>
    <row r="84" ht="15" customHeight="1" s="5">
      <c r="A84" s="7" t="inlineStr">
        <is>
          <t>SP0083</t>
        </is>
      </c>
      <c r="B84" s="7" t="inlineStr">
        <is>
          <t>PRJ015</t>
        </is>
      </c>
      <c r="C84" s="7">
        <f>IFERROR(VLOOKUP(B84,Projects!$A:$AK,2,FALSE()),"")</f>
        <v/>
      </c>
      <c r="D84" s="7" t="n">
        <v>3</v>
      </c>
      <c r="E84" s="7" t="inlineStr">
        <is>
          <t>PRJ015 Sprint 3</t>
        </is>
      </c>
      <c r="F84" s="8">
        <f>IFERROR(VLOOKUP(B84,Projects!$A:$AK,16,FALSE()),"")</f>
        <v/>
      </c>
      <c r="G84" s="8">
        <f>IFERROR(VLOOKUP(B84,Projects!$A:$AK,17,FALSE()),"")</f>
        <v/>
      </c>
      <c r="H84" s="7" t="n">
        <v>60</v>
      </c>
      <c r="I84" s="7" t="n">
        <v>52</v>
      </c>
      <c r="J84" s="7" t="n">
        <v>12</v>
      </c>
      <c r="K84" s="7" t="n">
        <v>10</v>
      </c>
      <c r="L84" s="7" t="inlineStr">
        <is>
          <t>Complete</t>
        </is>
      </c>
      <c r="M84" s="7" t="inlineStr">
        <is>
          <t>John Smith</t>
        </is>
      </c>
    </row>
    <row r="85" ht="15" customHeight="1" s="5">
      <c r="A85" s="7" t="inlineStr">
        <is>
          <t>SP0084</t>
        </is>
      </c>
      <c r="B85" s="7" t="inlineStr">
        <is>
          <t>PRJ015</t>
        </is>
      </c>
      <c r="C85" s="7">
        <f>IFERROR(VLOOKUP(B85,Projects!$A:$AK,2,FALSE()),"")</f>
        <v/>
      </c>
      <c r="D85" s="7" t="n">
        <v>4</v>
      </c>
      <c r="E85" s="7" t="inlineStr">
        <is>
          <t>PRJ015 Sprint 4</t>
        </is>
      </c>
      <c r="F85" s="8">
        <f>IFERROR(VLOOKUP(B85,Projects!$A:$AK,16,FALSE()),"")</f>
        <v/>
      </c>
      <c r="G85" s="8">
        <f>IFERROR(VLOOKUP(B85,Projects!$A:$AK,17,FALSE()),"")</f>
        <v/>
      </c>
      <c r="H85" s="7" t="n">
        <v>63</v>
      </c>
      <c r="I85" s="7" t="n">
        <v>64</v>
      </c>
      <c r="J85" s="7" t="n">
        <v>12</v>
      </c>
      <c r="K85" s="7" t="n">
        <v>12</v>
      </c>
      <c r="L85" s="7" t="inlineStr">
        <is>
          <t>Complete</t>
        </is>
      </c>
      <c r="M85" s="7" t="inlineStr">
        <is>
          <t>John Smith</t>
        </is>
      </c>
    </row>
    <row r="86" ht="15" customHeight="1" s="5">
      <c r="A86" s="7" t="inlineStr">
        <is>
          <t>SP0085</t>
        </is>
      </c>
      <c r="B86" s="7" t="inlineStr">
        <is>
          <t>PRJ015</t>
        </is>
      </c>
      <c r="C86" s="7">
        <f>IFERROR(VLOOKUP(B86,Projects!$A:$AK,2,FALSE()),"")</f>
        <v/>
      </c>
      <c r="D86" s="7" t="n">
        <v>5</v>
      </c>
      <c r="E86" s="7" t="inlineStr">
        <is>
          <t>PRJ015 Sprint 5</t>
        </is>
      </c>
      <c r="F86" s="8">
        <f>IFERROR(VLOOKUP(B86,Projects!$A:$AK,16,FALSE()),"")</f>
        <v/>
      </c>
      <c r="G86" s="8">
        <f>IFERROR(VLOOKUP(B86,Projects!$A:$AK,17,FALSE()),"")</f>
        <v/>
      </c>
      <c r="H86" s="7" t="n">
        <v>53</v>
      </c>
      <c r="I86" s="7" t="n">
        <v>47</v>
      </c>
      <c r="J86" s="7" t="n">
        <v>10</v>
      </c>
      <c r="K86" s="7" t="n">
        <v>9</v>
      </c>
      <c r="L86" s="7" t="inlineStr">
        <is>
          <t>Complete</t>
        </is>
      </c>
      <c r="M86" s="7" t="inlineStr">
        <is>
          <t>John Smith</t>
        </is>
      </c>
    </row>
    <row r="87" ht="15" customHeight="1" s="5">
      <c r="A87" s="7" t="inlineStr">
        <is>
          <t>SP0086</t>
        </is>
      </c>
      <c r="B87" s="7" t="inlineStr">
        <is>
          <t>PRJ015</t>
        </is>
      </c>
      <c r="C87" s="7">
        <f>IFERROR(VLOOKUP(B87,Projects!$A:$AK,2,FALSE()),"")</f>
        <v/>
      </c>
      <c r="D87" s="7" t="n">
        <v>6</v>
      </c>
      <c r="E87" s="7" t="inlineStr">
        <is>
          <t>PRJ015 Sprint 6</t>
        </is>
      </c>
      <c r="F87" s="8">
        <f>IFERROR(VLOOKUP(B87,Projects!$A:$AK,16,FALSE()),"")</f>
        <v/>
      </c>
      <c r="G87" s="8">
        <f>IFERROR(VLOOKUP(B87,Projects!$A:$AK,17,FALSE()),"")</f>
        <v/>
      </c>
      <c r="H87" s="7" t="n">
        <v>53</v>
      </c>
      <c r="I87" s="7" t="n">
        <v>42</v>
      </c>
      <c r="J87" s="7" t="n">
        <v>10</v>
      </c>
      <c r="K87" s="7" t="n">
        <v>8</v>
      </c>
      <c r="L87" s="7" t="inlineStr">
        <is>
          <t>Complete</t>
        </is>
      </c>
      <c r="M87" s="7" t="inlineStr">
        <is>
          <t>John Smith</t>
        </is>
      </c>
    </row>
    <row r="88" ht="15" customHeight="1" s="5">
      <c r="A88" s="7" t="inlineStr">
        <is>
          <t>SP0087</t>
        </is>
      </c>
      <c r="B88" s="7" t="inlineStr">
        <is>
          <t>PRJ015</t>
        </is>
      </c>
      <c r="C88" s="7">
        <f>IFERROR(VLOOKUP(B88,Projects!$A:$AK,2,FALSE()),"")</f>
        <v/>
      </c>
      <c r="D88" s="7" t="n">
        <v>7</v>
      </c>
      <c r="E88" s="7" t="inlineStr">
        <is>
          <t>PRJ015 Sprint 7</t>
        </is>
      </c>
      <c r="F88" s="8">
        <f>IFERROR(VLOOKUP(B88,Projects!$A:$AK,16,FALSE()),"")</f>
        <v/>
      </c>
      <c r="G88" s="8">
        <f>IFERROR(VLOOKUP(B88,Projects!$A:$AK,17,FALSE()),"")</f>
        <v/>
      </c>
      <c r="H88" s="7" t="n">
        <v>50</v>
      </c>
      <c r="I88" s="7" t="n">
        <v>41</v>
      </c>
      <c r="J88" s="7" t="n">
        <v>10</v>
      </c>
      <c r="K88" s="7" t="n">
        <v>8</v>
      </c>
      <c r="L88" s="7" t="inlineStr">
        <is>
          <t>Complete</t>
        </is>
      </c>
      <c r="M88" s="7" t="inlineStr">
        <is>
          <t>John Smith</t>
        </is>
      </c>
    </row>
    <row r="89" ht="15" customHeight="1" s="5">
      <c r="A89" s="7" t="inlineStr">
        <is>
          <t>SP0088</t>
        </is>
      </c>
      <c r="B89" s="7" t="inlineStr">
        <is>
          <t>PRJ015</t>
        </is>
      </c>
      <c r="C89" s="7">
        <f>IFERROR(VLOOKUP(B89,Projects!$A:$AK,2,FALSE()),"")</f>
        <v/>
      </c>
      <c r="D89" s="7" t="n">
        <v>8</v>
      </c>
      <c r="E89" s="7" t="inlineStr">
        <is>
          <t>PRJ015 Sprint 8</t>
        </is>
      </c>
      <c r="F89" s="8">
        <f>IFERROR(VLOOKUP(B89,Projects!$A:$AK,16,FALSE()),"")</f>
        <v/>
      </c>
      <c r="G89" s="8">
        <f>IFERROR(VLOOKUP(B89,Projects!$A:$AK,17,FALSE()),"")</f>
        <v/>
      </c>
      <c r="H89" s="7" t="n">
        <v>50</v>
      </c>
      <c r="I89" s="7" t="n">
        <v>50</v>
      </c>
      <c r="J89" s="7" t="n">
        <v>10</v>
      </c>
      <c r="K89" s="7" t="n">
        <v>10</v>
      </c>
      <c r="L89" s="7" t="inlineStr">
        <is>
          <t>Complete</t>
        </is>
      </c>
      <c r="M89" s="7" t="inlineStr">
        <is>
          <t>John Smith</t>
        </is>
      </c>
    </row>
    <row r="90" ht="15" customHeight="1" s="5">
      <c r="A90" s="7" t="inlineStr">
        <is>
          <t>SP0089</t>
        </is>
      </c>
      <c r="B90" s="7" t="inlineStr">
        <is>
          <t>PRJ016</t>
        </is>
      </c>
      <c r="C90" s="7">
        <f>IFERROR(VLOOKUP(B90,Projects!$A:$AK,2,FALSE()),"")</f>
        <v/>
      </c>
      <c r="D90" s="7" t="n">
        <v>1</v>
      </c>
      <c r="E90" s="7" t="inlineStr">
        <is>
          <t>PRJ016 Sprint 1</t>
        </is>
      </c>
      <c r="F90" s="8">
        <f>IFERROR(VLOOKUP(B90,Projects!$A:$AK,16,FALSE()),"")</f>
        <v/>
      </c>
      <c r="G90" s="8">
        <f>IFERROR(VLOOKUP(B90,Projects!$A:$AK,17,FALSE()),"")</f>
        <v/>
      </c>
      <c r="H90" s="7" t="n">
        <v>40</v>
      </c>
      <c r="I90" s="7" t="n">
        <v>41</v>
      </c>
      <c r="J90" s="7" t="n">
        <v>8</v>
      </c>
      <c r="K90" s="7" t="n">
        <v>8</v>
      </c>
      <c r="L90" s="7" t="inlineStr">
        <is>
          <t>Complete</t>
        </is>
      </c>
      <c r="M90" s="7" t="inlineStr">
        <is>
          <t>John Smith</t>
        </is>
      </c>
    </row>
    <row r="91" ht="15" customHeight="1" s="5">
      <c r="A91" s="7" t="inlineStr">
        <is>
          <t>SP0090</t>
        </is>
      </c>
      <c r="B91" s="7" t="inlineStr">
        <is>
          <t>PRJ016</t>
        </is>
      </c>
      <c r="C91" s="7">
        <f>IFERROR(VLOOKUP(B91,Projects!$A:$AK,2,FALSE()),"")</f>
        <v/>
      </c>
      <c r="D91" s="7" t="n">
        <v>2</v>
      </c>
      <c r="E91" s="7" t="inlineStr">
        <is>
          <t>PRJ016 Sprint 2</t>
        </is>
      </c>
      <c r="F91" s="8">
        <f>IFERROR(VLOOKUP(B91,Projects!$A:$AK,16,FALSE()),"")</f>
        <v/>
      </c>
      <c r="G91" s="8">
        <f>IFERROR(VLOOKUP(B91,Projects!$A:$AK,17,FALSE()),"")</f>
        <v/>
      </c>
      <c r="H91" s="7" t="n">
        <v>51</v>
      </c>
      <c r="I91" s="7" t="n">
        <v>40</v>
      </c>
      <c r="J91" s="7" t="n">
        <v>10</v>
      </c>
      <c r="K91" s="7" t="n">
        <v>8</v>
      </c>
      <c r="L91" s="7" t="inlineStr">
        <is>
          <t>Complete</t>
        </is>
      </c>
      <c r="M91" s="7" t="inlineStr">
        <is>
          <t>John Smith</t>
        </is>
      </c>
    </row>
    <row r="92" ht="15" customHeight="1" s="5">
      <c r="A92" s="7" t="inlineStr">
        <is>
          <t>SP0091</t>
        </is>
      </c>
      <c r="B92" s="7" t="inlineStr">
        <is>
          <t>PRJ016</t>
        </is>
      </c>
      <c r="C92" s="7">
        <f>IFERROR(VLOOKUP(B92,Projects!$A:$AK,2,FALSE()),"")</f>
        <v/>
      </c>
      <c r="D92" s="7" t="n">
        <v>3</v>
      </c>
      <c r="E92" s="7" t="inlineStr">
        <is>
          <t>PRJ016 Sprint 3</t>
        </is>
      </c>
      <c r="F92" s="8">
        <f>IFERROR(VLOOKUP(B92,Projects!$A:$AK,16,FALSE()),"")</f>
        <v/>
      </c>
      <c r="G92" s="8">
        <f>IFERROR(VLOOKUP(B92,Projects!$A:$AK,17,FALSE()),"")</f>
        <v/>
      </c>
      <c r="H92" s="7" t="n">
        <v>43</v>
      </c>
      <c r="I92" s="7" t="n">
        <v>33</v>
      </c>
      <c r="J92" s="7" t="n">
        <v>8</v>
      </c>
      <c r="K92" s="7" t="n">
        <v>6</v>
      </c>
      <c r="L92" s="7" t="inlineStr">
        <is>
          <t>Complete</t>
        </is>
      </c>
      <c r="M92" s="7" t="inlineStr">
        <is>
          <t>John Smith</t>
        </is>
      </c>
    </row>
    <row r="93" ht="15" customHeight="1" s="5">
      <c r="A93" s="7" t="inlineStr">
        <is>
          <t>SP0092</t>
        </is>
      </c>
      <c r="B93" s="7" t="inlineStr">
        <is>
          <t>PRJ016</t>
        </is>
      </c>
      <c r="C93" s="7">
        <f>IFERROR(VLOOKUP(B93,Projects!$A:$AK,2,FALSE()),"")</f>
        <v/>
      </c>
      <c r="D93" s="7" t="n">
        <v>4</v>
      </c>
      <c r="E93" s="7" t="inlineStr">
        <is>
          <t>PRJ016 Sprint 4</t>
        </is>
      </c>
      <c r="F93" s="8">
        <f>IFERROR(VLOOKUP(B93,Projects!$A:$AK,16,FALSE()),"")</f>
        <v/>
      </c>
      <c r="G93" s="8">
        <f>IFERROR(VLOOKUP(B93,Projects!$A:$AK,17,FALSE()),"")</f>
        <v/>
      </c>
      <c r="H93" s="7" t="n">
        <v>55</v>
      </c>
      <c r="I93" s="7" t="n">
        <v>48</v>
      </c>
      <c r="J93" s="7" t="n">
        <v>11</v>
      </c>
      <c r="K93" s="7" t="n">
        <v>9</v>
      </c>
      <c r="L93" s="7" t="inlineStr">
        <is>
          <t>Complete</t>
        </is>
      </c>
      <c r="M93" s="7" t="inlineStr">
        <is>
          <t>John Smith</t>
        </is>
      </c>
    </row>
    <row r="94" ht="15" customHeight="1" s="5">
      <c r="A94" s="7" t="inlineStr">
        <is>
          <t>SP0093</t>
        </is>
      </c>
      <c r="B94" s="7" t="inlineStr">
        <is>
          <t>PRJ016</t>
        </is>
      </c>
      <c r="C94" s="7">
        <f>IFERROR(VLOOKUP(B94,Projects!$A:$AK,2,FALSE()),"")</f>
        <v/>
      </c>
      <c r="D94" s="7" t="n">
        <v>5</v>
      </c>
      <c r="E94" s="7" t="inlineStr">
        <is>
          <t>PRJ016 Sprint 5</t>
        </is>
      </c>
      <c r="F94" s="8">
        <f>IFERROR(VLOOKUP(B94,Projects!$A:$AK,16,FALSE()),"")</f>
        <v/>
      </c>
      <c r="G94" s="8">
        <f>IFERROR(VLOOKUP(B94,Projects!$A:$AK,17,FALSE()),"")</f>
        <v/>
      </c>
      <c r="H94" s="7" t="n">
        <v>40</v>
      </c>
      <c r="I94" s="7" t="n">
        <v>32</v>
      </c>
      <c r="J94" s="7" t="n">
        <v>8</v>
      </c>
      <c r="K94" s="7" t="n">
        <v>6</v>
      </c>
      <c r="L94" s="7" t="inlineStr">
        <is>
          <t>Complete</t>
        </is>
      </c>
      <c r="M94" s="7" t="inlineStr">
        <is>
          <t>John Smith</t>
        </is>
      </c>
    </row>
    <row r="95" ht="15" customHeight="1" s="5">
      <c r="A95" s="7" t="inlineStr">
        <is>
          <t>SP0094</t>
        </is>
      </c>
      <c r="B95" s="7" t="inlineStr">
        <is>
          <t>PRJ016</t>
        </is>
      </c>
      <c r="C95" s="7">
        <f>IFERROR(VLOOKUP(B95,Projects!$A:$AK,2,FALSE()),"")</f>
        <v/>
      </c>
      <c r="D95" s="7" t="n">
        <v>6</v>
      </c>
      <c r="E95" s="7" t="inlineStr">
        <is>
          <t>PRJ016 Sprint 6</t>
        </is>
      </c>
      <c r="F95" s="8">
        <f>IFERROR(VLOOKUP(B95,Projects!$A:$AK,16,FALSE()),"")</f>
        <v/>
      </c>
      <c r="G95" s="8">
        <f>IFERROR(VLOOKUP(B95,Projects!$A:$AK,17,FALSE()),"")</f>
        <v/>
      </c>
      <c r="H95" s="7" t="n">
        <v>51</v>
      </c>
      <c r="I95" s="7" t="n">
        <v>43</v>
      </c>
      <c r="J95" s="7" t="n">
        <v>10</v>
      </c>
      <c r="K95" s="7" t="n">
        <v>8</v>
      </c>
      <c r="L95" s="7" t="inlineStr">
        <is>
          <t>Complete</t>
        </is>
      </c>
      <c r="M95" s="7" t="inlineStr">
        <is>
          <t>John Smith</t>
        </is>
      </c>
    </row>
    <row r="96" ht="15" customHeight="1" s="5">
      <c r="A96" s="7" t="inlineStr">
        <is>
          <t>SP0095</t>
        </is>
      </c>
      <c r="B96" s="7" t="inlineStr">
        <is>
          <t>PRJ016</t>
        </is>
      </c>
      <c r="C96" s="7">
        <f>IFERROR(VLOOKUP(B96,Projects!$A:$AK,2,FALSE()),"")</f>
        <v/>
      </c>
      <c r="D96" s="7" t="n">
        <v>7</v>
      </c>
      <c r="E96" s="7" t="inlineStr">
        <is>
          <t>PRJ016 Sprint 7</t>
        </is>
      </c>
      <c r="F96" s="8">
        <f>IFERROR(VLOOKUP(B96,Projects!$A:$AK,16,FALSE()),"")</f>
        <v/>
      </c>
      <c r="G96" s="8">
        <f>IFERROR(VLOOKUP(B96,Projects!$A:$AK,17,FALSE()),"")</f>
        <v/>
      </c>
      <c r="H96" s="7" t="n">
        <v>42</v>
      </c>
      <c r="I96" s="7" t="n">
        <v>37</v>
      </c>
      <c r="J96" s="7" t="n">
        <v>8</v>
      </c>
      <c r="K96" s="7" t="n">
        <v>7</v>
      </c>
      <c r="L96" s="7" t="inlineStr">
        <is>
          <t>Complete</t>
        </is>
      </c>
      <c r="M96" s="7" t="inlineStr">
        <is>
          <t>John Smith</t>
        </is>
      </c>
    </row>
    <row r="97" ht="15" customHeight="1" s="5">
      <c r="A97" s="7" t="inlineStr">
        <is>
          <t>SP0096</t>
        </is>
      </c>
      <c r="B97" s="7" t="inlineStr">
        <is>
          <t>PRJ016</t>
        </is>
      </c>
      <c r="C97" s="7">
        <f>IFERROR(VLOOKUP(B97,Projects!$A:$AK,2,FALSE()),"")</f>
        <v/>
      </c>
      <c r="D97" s="7" t="n">
        <v>8</v>
      </c>
      <c r="E97" s="7" t="inlineStr">
        <is>
          <t>PRJ016 Sprint 8</t>
        </is>
      </c>
      <c r="F97" s="8">
        <f>IFERROR(VLOOKUP(B97,Projects!$A:$AK,16,FALSE()),"")</f>
        <v/>
      </c>
      <c r="G97" s="8">
        <f>IFERROR(VLOOKUP(B97,Projects!$A:$AK,17,FALSE()),"")</f>
        <v/>
      </c>
      <c r="H97" s="7" t="n">
        <v>42</v>
      </c>
      <c r="I97" s="7" t="n">
        <v>30</v>
      </c>
      <c r="J97" s="7" t="n">
        <v>8</v>
      </c>
      <c r="K97" s="7" t="n">
        <v>6</v>
      </c>
      <c r="L97" s="7" t="inlineStr">
        <is>
          <t>Complete</t>
        </is>
      </c>
      <c r="M97" s="7" t="inlineStr">
        <is>
          <t>John Smith</t>
        </is>
      </c>
    </row>
    <row r="98" ht="15" customHeight="1" s="5">
      <c r="A98" s="7" t="inlineStr">
        <is>
          <t>SP0097</t>
        </is>
      </c>
      <c r="B98" s="7" t="inlineStr">
        <is>
          <t>PRJ017</t>
        </is>
      </c>
      <c r="C98" s="7">
        <f>IFERROR(VLOOKUP(B98,Projects!$A:$AK,2,FALSE()),"")</f>
        <v/>
      </c>
      <c r="D98" s="7" t="n">
        <v>1</v>
      </c>
      <c r="E98" s="7" t="inlineStr">
        <is>
          <t>PRJ017 Sprint 1</t>
        </is>
      </c>
      <c r="F98" s="8">
        <f>IFERROR(VLOOKUP(B98,Projects!$A:$AK,16,FALSE()),"")</f>
        <v/>
      </c>
      <c r="G98" s="8">
        <f>IFERROR(VLOOKUP(B98,Projects!$A:$AK,17,FALSE()),"")</f>
        <v/>
      </c>
      <c r="H98" s="7" t="n">
        <v>48</v>
      </c>
      <c r="I98" s="7" t="n">
        <v>40</v>
      </c>
      <c r="J98" s="7" t="n">
        <v>9</v>
      </c>
      <c r="K98" s="7" t="n">
        <v>8</v>
      </c>
      <c r="L98" s="7" t="inlineStr">
        <is>
          <t>Complete</t>
        </is>
      </c>
      <c r="M98" s="7" t="inlineStr">
        <is>
          <t>Priya Patel</t>
        </is>
      </c>
    </row>
    <row r="99" ht="15" customHeight="1" s="5">
      <c r="A99" s="7" t="inlineStr">
        <is>
          <t>SP0098</t>
        </is>
      </c>
      <c r="B99" s="7" t="inlineStr">
        <is>
          <t>PRJ017</t>
        </is>
      </c>
      <c r="C99" s="7">
        <f>IFERROR(VLOOKUP(B99,Projects!$A:$AK,2,FALSE()),"")</f>
        <v/>
      </c>
      <c r="D99" s="7" t="n">
        <v>2</v>
      </c>
      <c r="E99" s="7" t="inlineStr">
        <is>
          <t>PRJ017 Sprint 2</t>
        </is>
      </c>
      <c r="F99" s="8">
        <f>IFERROR(VLOOKUP(B99,Projects!$A:$AK,16,FALSE()),"")</f>
        <v/>
      </c>
      <c r="G99" s="8">
        <f>IFERROR(VLOOKUP(B99,Projects!$A:$AK,17,FALSE()),"")</f>
        <v/>
      </c>
      <c r="H99" s="7" t="n">
        <v>40</v>
      </c>
      <c r="I99" s="7" t="n">
        <v>43</v>
      </c>
      <c r="J99" s="7" t="n">
        <v>8</v>
      </c>
      <c r="K99" s="7" t="n">
        <v>8</v>
      </c>
      <c r="L99" s="7" t="inlineStr">
        <is>
          <t>Complete</t>
        </is>
      </c>
      <c r="M99" s="7" t="inlineStr">
        <is>
          <t>Priya Patel</t>
        </is>
      </c>
    </row>
    <row r="100" ht="15" customHeight="1" s="5">
      <c r="A100" s="7" t="inlineStr">
        <is>
          <t>SP0099</t>
        </is>
      </c>
      <c r="B100" s="7" t="inlineStr">
        <is>
          <t>PRJ017</t>
        </is>
      </c>
      <c r="C100" s="7">
        <f>IFERROR(VLOOKUP(B100,Projects!$A:$AK,2,FALSE()),"")</f>
        <v/>
      </c>
      <c r="D100" s="7" t="n">
        <v>3</v>
      </c>
      <c r="E100" s="7" t="inlineStr">
        <is>
          <t>PRJ017 Sprint 3</t>
        </is>
      </c>
      <c r="F100" s="8">
        <f>IFERROR(VLOOKUP(B100,Projects!$A:$AK,16,FALSE()),"")</f>
        <v/>
      </c>
      <c r="G100" s="8">
        <f>IFERROR(VLOOKUP(B100,Projects!$A:$AK,17,FALSE()),"")</f>
        <v/>
      </c>
      <c r="H100" s="7" t="n">
        <v>39</v>
      </c>
      <c r="I100" s="7" t="n">
        <v>43</v>
      </c>
      <c r="J100" s="7" t="n">
        <v>7</v>
      </c>
      <c r="K100" s="7" t="n">
        <v>8</v>
      </c>
      <c r="L100" s="7" t="inlineStr">
        <is>
          <t>Complete</t>
        </is>
      </c>
      <c r="M100" s="7" t="inlineStr">
        <is>
          <t>Priya Patel</t>
        </is>
      </c>
    </row>
    <row r="101" ht="15" customHeight="1" s="5">
      <c r="A101" s="7" t="inlineStr">
        <is>
          <t>SP0100</t>
        </is>
      </c>
      <c r="B101" s="7" t="inlineStr">
        <is>
          <t>PRJ017</t>
        </is>
      </c>
      <c r="C101" s="7">
        <f>IFERROR(VLOOKUP(B101,Projects!$A:$AK,2,FALSE()),"")</f>
        <v/>
      </c>
      <c r="D101" s="7" t="n">
        <v>4</v>
      </c>
      <c r="E101" s="7" t="inlineStr">
        <is>
          <t>PRJ017 Sprint 4</t>
        </is>
      </c>
      <c r="F101" s="8">
        <f>IFERROR(VLOOKUP(B101,Projects!$A:$AK,16,FALSE()),"")</f>
        <v/>
      </c>
      <c r="G101" s="8">
        <f>IFERROR(VLOOKUP(B101,Projects!$A:$AK,17,FALSE()),"")</f>
        <v/>
      </c>
      <c r="H101" s="7" t="n">
        <v>44</v>
      </c>
      <c r="I101" s="7" t="n">
        <v>47</v>
      </c>
      <c r="J101" s="7" t="n">
        <v>8</v>
      </c>
      <c r="K101" s="7" t="n">
        <v>9</v>
      </c>
      <c r="L101" s="7" t="inlineStr">
        <is>
          <t>Complete</t>
        </is>
      </c>
      <c r="M101" s="7" t="inlineStr">
        <is>
          <t>Priya Patel</t>
        </is>
      </c>
    </row>
    <row r="102" ht="15" customHeight="1" s="5">
      <c r="A102" s="7" t="inlineStr">
        <is>
          <t>SP0101</t>
        </is>
      </c>
      <c r="B102" s="7" t="inlineStr">
        <is>
          <t>PRJ017</t>
        </is>
      </c>
      <c r="C102" s="7">
        <f>IFERROR(VLOOKUP(B102,Projects!$A:$AK,2,FALSE()),"")</f>
        <v/>
      </c>
      <c r="D102" s="7" t="n">
        <v>5</v>
      </c>
      <c r="E102" s="7" t="inlineStr">
        <is>
          <t>PRJ017 Sprint 5</t>
        </is>
      </c>
      <c r="F102" s="8">
        <f>IFERROR(VLOOKUP(B102,Projects!$A:$AK,16,FALSE()),"")</f>
        <v/>
      </c>
      <c r="G102" s="8">
        <f>IFERROR(VLOOKUP(B102,Projects!$A:$AK,17,FALSE()),"")</f>
        <v/>
      </c>
      <c r="H102" s="7" t="n">
        <v>48</v>
      </c>
      <c r="I102" s="7" t="n">
        <v>46</v>
      </c>
      <c r="J102" s="7" t="n">
        <v>9</v>
      </c>
      <c r="K102" s="7" t="n">
        <v>9</v>
      </c>
      <c r="L102" s="7" t="inlineStr">
        <is>
          <t>Complete</t>
        </is>
      </c>
      <c r="M102" s="7" t="inlineStr">
        <is>
          <t>Priya Patel</t>
        </is>
      </c>
    </row>
    <row r="103" ht="15" customHeight="1" s="5">
      <c r="A103" s="7" t="inlineStr">
        <is>
          <t>SP0102</t>
        </is>
      </c>
      <c r="B103" s="7" t="inlineStr">
        <is>
          <t>PRJ017</t>
        </is>
      </c>
      <c r="C103" s="7">
        <f>IFERROR(VLOOKUP(B103,Projects!$A:$AK,2,FALSE()),"")</f>
        <v/>
      </c>
      <c r="D103" s="7" t="n">
        <v>6</v>
      </c>
      <c r="E103" s="7" t="inlineStr">
        <is>
          <t>PRJ017 Sprint 6</t>
        </is>
      </c>
      <c r="F103" s="8">
        <f>IFERROR(VLOOKUP(B103,Projects!$A:$AK,16,FALSE()),"")</f>
        <v/>
      </c>
      <c r="G103" s="8">
        <f>IFERROR(VLOOKUP(B103,Projects!$A:$AK,17,FALSE()),"")</f>
        <v/>
      </c>
      <c r="H103" s="7" t="n">
        <v>49</v>
      </c>
      <c r="I103" s="7" t="n">
        <v>37</v>
      </c>
      <c r="J103" s="7" t="n">
        <v>9</v>
      </c>
      <c r="K103" s="7" t="n">
        <v>7</v>
      </c>
      <c r="L103" s="7" t="inlineStr">
        <is>
          <t>Complete</t>
        </is>
      </c>
      <c r="M103" s="7" t="inlineStr">
        <is>
          <t>Priya Patel</t>
        </is>
      </c>
    </row>
    <row r="104" ht="15" customHeight="1" s="5">
      <c r="A104" s="7" t="inlineStr">
        <is>
          <t>SP0103</t>
        </is>
      </c>
      <c r="B104" s="7" t="inlineStr">
        <is>
          <t>PRJ017</t>
        </is>
      </c>
      <c r="C104" s="7">
        <f>IFERROR(VLOOKUP(B104,Projects!$A:$AK,2,FALSE()),"")</f>
        <v/>
      </c>
      <c r="D104" s="7" t="n">
        <v>7</v>
      </c>
      <c r="E104" s="7" t="inlineStr">
        <is>
          <t>PRJ017 Sprint 7</t>
        </is>
      </c>
      <c r="F104" s="8">
        <f>IFERROR(VLOOKUP(B104,Projects!$A:$AK,16,FALSE()),"")</f>
        <v/>
      </c>
      <c r="G104" s="8">
        <f>IFERROR(VLOOKUP(B104,Projects!$A:$AK,17,FALSE()),"")</f>
        <v/>
      </c>
      <c r="H104" s="7" t="n">
        <v>44</v>
      </c>
      <c r="I104" s="7" t="n">
        <v>35</v>
      </c>
      <c r="J104" s="7" t="n">
        <v>8</v>
      </c>
      <c r="K104" s="7" t="n">
        <v>7</v>
      </c>
      <c r="L104" s="7" t="inlineStr">
        <is>
          <t>Complete</t>
        </is>
      </c>
      <c r="M104" s="7" t="inlineStr">
        <is>
          <t>Priya Patel</t>
        </is>
      </c>
    </row>
    <row r="105" ht="15" customHeight="1" s="5">
      <c r="A105" s="7" t="inlineStr">
        <is>
          <t>SP0104</t>
        </is>
      </c>
      <c r="B105" s="7" t="inlineStr">
        <is>
          <t>PRJ017</t>
        </is>
      </c>
      <c r="C105" s="7">
        <f>IFERROR(VLOOKUP(B105,Projects!$A:$AK,2,FALSE()),"")</f>
        <v/>
      </c>
      <c r="D105" s="7" t="n">
        <v>8</v>
      </c>
      <c r="E105" s="7" t="inlineStr">
        <is>
          <t>PRJ017 Sprint 8</t>
        </is>
      </c>
      <c r="F105" s="8">
        <f>IFERROR(VLOOKUP(B105,Projects!$A:$AK,16,FALSE()),"")</f>
        <v/>
      </c>
      <c r="G105" s="8">
        <f>IFERROR(VLOOKUP(B105,Projects!$A:$AK,17,FALSE()),"")</f>
        <v/>
      </c>
      <c r="H105" s="7" t="n">
        <v>39</v>
      </c>
      <c r="I105" s="7" t="n">
        <v>28</v>
      </c>
      <c r="J105" s="7" t="n">
        <v>7</v>
      </c>
      <c r="K105" s="7" t="n">
        <v>5</v>
      </c>
      <c r="L105" s="7" t="inlineStr">
        <is>
          <t>Complete</t>
        </is>
      </c>
      <c r="M105" s="7" t="inlineStr">
        <is>
          <t>Priya Patel</t>
        </is>
      </c>
    </row>
    <row r="106" ht="15" customHeight="1" s="5">
      <c r="A106" s="7" t="inlineStr">
        <is>
          <t>SP0105</t>
        </is>
      </c>
      <c r="B106" s="7" t="inlineStr">
        <is>
          <t>PRJ020</t>
        </is>
      </c>
      <c r="C106" s="7">
        <f>IFERROR(VLOOKUP(B106,Projects!$A:$AK,2,FALSE()),"")</f>
        <v/>
      </c>
      <c r="D106" s="7" t="n">
        <v>1</v>
      </c>
      <c r="E106" s="7" t="inlineStr">
        <is>
          <t>PRJ020 Sprint 1</t>
        </is>
      </c>
      <c r="F106" s="8">
        <f>IFERROR(VLOOKUP(B106,Projects!$A:$AK,16,FALSE()),"")</f>
        <v/>
      </c>
      <c r="G106" s="8">
        <f>IFERROR(VLOOKUP(B106,Projects!$A:$AK,17,FALSE()),"")</f>
        <v/>
      </c>
      <c r="H106" s="7" t="n">
        <v>46</v>
      </c>
      <c r="I106" s="7" t="n">
        <v>39</v>
      </c>
      <c r="J106" s="7" t="n">
        <v>9</v>
      </c>
      <c r="K106" s="7" t="n">
        <v>7</v>
      </c>
      <c r="L106" s="7" t="inlineStr">
        <is>
          <t>Complete</t>
        </is>
      </c>
      <c r="M106" s="7" t="inlineStr">
        <is>
          <t>Carlos Diaz</t>
        </is>
      </c>
    </row>
    <row r="107" ht="15" customHeight="1" s="5">
      <c r="A107" s="7" t="inlineStr">
        <is>
          <t>SP0106</t>
        </is>
      </c>
      <c r="B107" s="7" t="inlineStr">
        <is>
          <t>PRJ020</t>
        </is>
      </c>
      <c r="C107" s="7">
        <f>IFERROR(VLOOKUP(B107,Projects!$A:$AK,2,FALSE()),"")</f>
        <v/>
      </c>
      <c r="D107" s="7" t="n">
        <v>2</v>
      </c>
      <c r="E107" s="7" t="inlineStr">
        <is>
          <t>PRJ020 Sprint 2</t>
        </is>
      </c>
      <c r="F107" s="8">
        <f>IFERROR(VLOOKUP(B107,Projects!$A:$AK,16,FALSE()),"")</f>
        <v/>
      </c>
      <c r="G107" s="8">
        <f>IFERROR(VLOOKUP(B107,Projects!$A:$AK,17,FALSE()),"")</f>
        <v/>
      </c>
      <c r="H107" s="7" t="n">
        <v>61</v>
      </c>
      <c r="I107" s="7" t="n">
        <v>54</v>
      </c>
      <c r="J107" s="7" t="n">
        <v>12</v>
      </c>
      <c r="K107" s="7" t="n">
        <v>10</v>
      </c>
      <c r="L107" s="7" t="inlineStr">
        <is>
          <t>Complete</t>
        </is>
      </c>
      <c r="M107" s="7" t="inlineStr">
        <is>
          <t>Carlos Diaz</t>
        </is>
      </c>
    </row>
    <row r="108" ht="15" customHeight="1" s="5">
      <c r="A108" s="7" t="inlineStr">
        <is>
          <t>SP0107</t>
        </is>
      </c>
      <c r="B108" s="7" t="inlineStr">
        <is>
          <t>PRJ020</t>
        </is>
      </c>
      <c r="C108" s="7">
        <f>IFERROR(VLOOKUP(B108,Projects!$A:$AK,2,FALSE()),"")</f>
        <v/>
      </c>
      <c r="D108" s="7" t="n">
        <v>3</v>
      </c>
      <c r="E108" s="7" t="inlineStr">
        <is>
          <t>PRJ020 Sprint 3</t>
        </is>
      </c>
      <c r="F108" s="8">
        <f>IFERROR(VLOOKUP(B108,Projects!$A:$AK,16,FALSE()),"")</f>
        <v/>
      </c>
      <c r="G108" s="8">
        <f>IFERROR(VLOOKUP(B108,Projects!$A:$AK,17,FALSE()),"")</f>
        <v/>
      </c>
      <c r="H108" s="7" t="n">
        <v>45</v>
      </c>
      <c r="I108" s="7" t="n">
        <v>45</v>
      </c>
      <c r="J108" s="7" t="n">
        <v>9</v>
      </c>
      <c r="K108" s="7" t="n">
        <v>9</v>
      </c>
      <c r="L108" s="7" t="inlineStr">
        <is>
          <t>Complete</t>
        </is>
      </c>
      <c r="M108" s="7" t="inlineStr">
        <is>
          <t>Carlos Diaz</t>
        </is>
      </c>
    </row>
    <row r="109" ht="15" customHeight="1" s="5">
      <c r="A109" s="7" t="inlineStr">
        <is>
          <t>SP0108</t>
        </is>
      </c>
      <c r="B109" s="7" t="inlineStr">
        <is>
          <t>PRJ020</t>
        </is>
      </c>
      <c r="C109" s="7">
        <f>IFERROR(VLOOKUP(B109,Projects!$A:$AK,2,FALSE()),"")</f>
        <v/>
      </c>
      <c r="D109" s="7" t="n">
        <v>4</v>
      </c>
      <c r="E109" s="7" t="inlineStr">
        <is>
          <t>PRJ020 Sprint 4</t>
        </is>
      </c>
      <c r="F109" s="8">
        <f>IFERROR(VLOOKUP(B109,Projects!$A:$AK,16,FALSE()),"")</f>
        <v/>
      </c>
      <c r="G109" s="8">
        <f>IFERROR(VLOOKUP(B109,Projects!$A:$AK,17,FALSE()),"")</f>
        <v/>
      </c>
      <c r="H109" s="7" t="n">
        <v>58</v>
      </c>
      <c r="I109" s="7" t="n">
        <v>60</v>
      </c>
      <c r="J109" s="7" t="n">
        <v>11</v>
      </c>
      <c r="K109" s="7" t="n">
        <v>12</v>
      </c>
      <c r="L109" s="7" t="inlineStr">
        <is>
          <t>Complete</t>
        </is>
      </c>
      <c r="M109" s="7" t="inlineStr">
        <is>
          <t>Carlos Diaz</t>
        </is>
      </c>
    </row>
    <row r="110" ht="15" customHeight="1" s="5">
      <c r="A110" s="7" t="inlineStr">
        <is>
          <t>SP0109</t>
        </is>
      </c>
      <c r="B110" s="7" t="inlineStr">
        <is>
          <t>PRJ020</t>
        </is>
      </c>
      <c r="C110" s="7">
        <f>IFERROR(VLOOKUP(B110,Projects!$A:$AK,2,FALSE()),"")</f>
        <v/>
      </c>
      <c r="D110" s="7" t="n">
        <v>5</v>
      </c>
      <c r="E110" s="7" t="inlineStr">
        <is>
          <t>PRJ020 Sprint 5</t>
        </is>
      </c>
      <c r="F110" s="8">
        <f>IFERROR(VLOOKUP(B110,Projects!$A:$AK,16,FALSE()),"")</f>
        <v/>
      </c>
      <c r="G110" s="8">
        <f>IFERROR(VLOOKUP(B110,Projects!$A:$AK,17,FALSE()),"")</f>
        <v/>
      </c>
      <c r="H110" s="7" t="n">
        <v>62</v>
      </c>
      <c r="I110" s="7" t="n">
        <v>58</v>
      </c>
      <c r="J110" s="7" t="n">
        <v>12</v>
      </c>
      <c r="K110" s="7" t="n">
        <v>11</v>
      </c>
      <c r="L110" s="7" t="inlineStr">
        <is>
          <t>Complete</t>
        </is>
      </c>
      <c r="M110" s="7" t="inlineStr">
        <is>
          <t>Carlos Diaz</t>
        </is>
      </c>
    </row>
    <row r="111" ht="15" customHeight="1" s="5">
      <c r="A111" s="7" t="inlineStr">
        <is>
          <t>SP0110</t>
        </is>
      </c>
      <c r="B111" s="7" t="inlineStr">
        <is>
          <t>PRJ020</t>
        </is>
      </c>
      <c r="C111" s="7">
        <f>IFERROR(VLOOKUP(B111,Projects!$A:$AK,2,FALSE()),"")</f>
        <v/>
      </c>
      <c r="D111" s="7" t="n">
        <v>6</v>
      </c>
      <c r="E111" s="7" t="inlineStr">
        <is>
          <t>PRJ020 Sprint 6</t>
        </is>
      </c>
      <c r="F111" s="8">
        <f>IFERROR(VLOOKUP(B111,Projects!$A:$AK,16,FALSE()),"")</f>
        <v/>
      </c>
      <c r="G111" s="8">
        <f>IFERROR(VLOOKUP(B111,Projects!$A:$AK,17,FALSE()),"")</f>
        <v/>
      </c>
      <c r="H111" s="7" t="n">
        <v>63</v>
      </c>
      <c r="I111" s="7" t="n">
        <v>67</v>
      </c>
      <c r="J111" s="7" t="n">
        <v>12</v>
      </c>
      <c r="K111" s="7" t="n">
        <v>13</v>
      </c>
      <c r="L111" s="7" t="inlineStr">
        <is>
          <t>Complete</t>
        </is>
      </c>
      <c r="M111" s="7" t="inlineStr">
        <is>
          <t>Carlos Diaz</t>
        </is>
      </c>
    </row>
    <row r="112" ht="15" customHeight="1" s="5">
      <c r="A112" s="7" t="inlineStr">
        <is>
          <t>SP0111</t>
        </is>
      </c>
      <c r="B112" s="7" t="inlineStr">
        <is>
          <t>PRJ020</t>
        </is>
      </c>
      <c r="C112" s="7">
        <f>IFERROR(VLOOKUP(B112,Projects!$A:$AK,2,FALSE()),"")</f>
        <v/>
      </c>
      <c r="D112" s="7" t="n">
        <v>7</v>
      </c>
      <c r="E112" s="7" t="inlineStr">
        <is>
          <t>PRJ020 Sprint 7</t>
        </is>
      </c>
      <c r="F112" s="8">
        <f>IFERROR(VLOOKUP(B112,Projects!$A:$AK,16,FALSE()),"")</f>
        <v/>
      </c>
      <c r="G112" s="8">
        <f>IFERROR(VLOOKUP(B112,Projects!$A:$AK,17,FALSE()),"")</f>
        <v/>
      </c>
      <c r="H112" s="7" t="n">
        <v>54</v>
      </c>
      <c r="I112" s="7" t="n">
        <v>49</v>
      </c>
      <c r="J112" s="7" t="n">
        <v>10</v>
      </c>
      <c r="K112" s="7" t="n">
        <v>9</v>
      </c>
      <c r="L112" s="7" t="inlineStr">
        <is>
          <t>Complete</t>
        </is>
      </c>
      <c r="M112" s="7" t="inlineStr">
        <is>
          <t>Carlos Diaz</t>
        </is>
      </c>
    </row>
    <row r="113" ht="15" customHeight="1" s="5">
      <c r="A113" s="7" t="inlineStr">
        <is>
          <t>SP0112</t>
        </is>
      </c>
      <c r="B113" s="7" t="inlineStr">
        <is>
          <t>PRJ020</t>
        </is>
      </c>
      <c r="C113" s="7">
        <f>IFERROR(VLOOKUP(B113,Projects!$A:$AK,2,FALSE()),"")</f>
        <v/>
      </c>
      <c r="D113" s="7" t="n">
        <v>8</v>
      </c>
      <c r="E113" s="7" t="inlineStr">
        <is>
          <t>PRJ020 Sprint 8</t>
        </is>
      </c>
      <c r="F113" s="8">
        <f>IFERROR(VLOOKUP(B113,Projects!$A:$AK,16,FALSE()),"")</f>
        <v/>
      </c>
      <c r="G113" s="8">
        <f>IFERROR(VLOOKUP(B113,Projects!$A:$AK,17,FALSE()),"")</f>
        <v/>
      </c>
      <c r="H113" s="7" t="n">
        <v>58</v>
      </c>
      <c r="I113" s="7" t="n">
        <v>51</v>
      </c>
      <c r="J113" s="7" t="n">
        <v>11</v>
      </c>
      <c r="K113" s="7" t="n">
        <v>10</v>
      </c>
      <c r="L113" s="7" t="inlineStr">
        <is>
          <t>Complete</t>
        </is>
      </c>
      <c r="M113" s="7" t="inlineStr">
        <is>
          <t>Carlos Diaz</t>
        </is>
      </c>
    </row>
    <row r="114" ht="15" customHeight="1" s="5">
      <c r="A114" s="7" t="inlineStr">
        <is>
          <t>SP0113</t>
        </is>
      </c>
      <c r="B114" s="7" t="inlineStr">
        <is>
          <t>PRJ022</t>
        </is>
      </c>
      <c r="C114" s="7">
        <f>IFERROR(VLOOKUP(B114,Projects!$A:$AK,2,FALSE()),"")</f>
        <v/>
      </c>
      <c r="D114" s="7" t="n">
        <v>1</v>
      </c>
      <c r="E114" s="7" t="inlineStr">
        <is>
          <t>PRJ022 Sprint 1</t>
        </is>
      </c>
      <c r="F114" s="8">
        <f>IFERROR(VLOOKUP(B114,Projects!$A:$AK,16,FALSE()),"")</f>
        <v/>
      </c>
      <c r="G114" s="8">
        <f>IFERROR(VLOOKUP(B114,Projects!$A:$AK,17,FALSE()),"")</f>
        <v/>
      </c>
      <c r="H114" s="7" t="n">
        <v>27</v>
      </c>
      <c r="I114" s="7" t="n">
        <v>31</v>
      </c>
      <c r="J114" s="7" t="n">
        <v>5</v>
      </c>
      <c r="K114" s="7" t="n">
        <v>6</v>
      </c>
      <c r="L114" s="7" t="inlineStr">
        <is>
          <t>Complete</t>
        </is>
      </c>
      <c r="M114" s="7" t="inlineStr">
        <is>
          <t>Priya Patel</t>
        </is>
      </c>
    </row>
    <row r="115" ht="15" customHeight="1" s="5">
      <c r="A115" s="7" t="inlineStr">
        <is>
          <t>SP0114</t>
        </is>
      </c>
      <c r="B115" s="7" t="inlineStr">
        <is>
          <t>PRJ022</t>
        </is>
      </c>
      <c r="C115" s="7">
        <f>IFERROR(VLOOKUP(B115,Projects!$A:$AK,2,FALSE()),"")</f>
        <v/>
      </c>
      <c r="D115" s="7" t="n">
        <v>2</v>
      </c>
      <c r="E115" s="7" t="inlineStr">
        <is>
          <t>PRJ022 Sprint 2</t>
        </is>
      </c>
      <c r="F115" s="8">
        <f>IFERROR(VLOOKUP(B115,Projects!$A:$AK,16,FALSE()),"")</f>
        <v/>
      </c>
      <c r="G115" s="8">
        <f>IFERROR(VLOOKUP(B115,Projects!$A:$AK,17,FALSE()),"")</f>
        <v/>
      </c>
      <c r="H115" s="7" t="n">
        <v>37</v>
      </c>
      <c r="I115" s="7" t="n">
        <v>29</v>
      </c>
      <c r="J115" s="7" t="n">
        <v>7</v>
      </c>
      <c r="K115" s="7" t="n">
        <v>5</v>
      </c>
      <c r="L115" s="7" t="inlineStr">
        <is>
          <t>Complete</t>
        </is>
      </c>
      <c r="M115" s="7" t="inlineStr">
        <is>
          <t>Priya Patel</t>
        </is>
      </c>
    </row>
    <row r="116" ht="15" customHeight="1" s="5">
      <c r="A116" s="7" t="inlineStr">
        <is>
          <t>SP0115</t>
        </is>
      </c>
      <c r="B116" s="7" t="inlineStr">
        <is>
          <t>PRJ022</t>
        </is>
      </c>
      <c r="C116" s="7">
        <f>IFERROR(VLOOKUP(B116,Projects!$A:$AK,2,FALSE()),"")</f>
        <v/>
      </c>
      <c r="D116" s="7" t="n">
        <v>3</v>
      </c>
      <c r="E116" s="7" t="inlineStr">
        <is>
          <t>PRJ022 Sprint 3</t>
        </is>
      </c>
      <c r="F116" s="8">
        <f>IFERROR(VLOOKUP(B116,Projects!$A:$AK,16,FALSE()),"")</f>
        <v/>
      </c>
      <c r="G116" s="8">
        <f>IFERROR(VLOOKUP(B116,Projects!$A:$AK,17,FALSE()),"")</f>
        <v/>
      </c>
      <c r="H116" s="7" t="n">
        <v>31</v>
      </c>
      <c r="I116" s="7" t="n">
        <v>31</v>
      </c>
      <c r="J116" s="7" t="n">
        <v>6</v>
      </c>
      <c r="K116" s="7" t="n">
        <v>6</v>
      </c>
      <c r="L116" s="7" t="inlineStr">
        <is>
          <t>Complete</t>
        </is>
      </c>
      <c r="M116" s="7" t="inlineStr">
        <is>
          <t>Priya Patel</t>
        </is>
      </c>
    </row>
    <row r="117" ht="15" customHeight="1" s="5">
      <c r="A117" s="7" t="inlineStr">
        <is>
          <t>SP0116</t>
        </is>
      </c>
      <c r="B117" s="7" t="inlineStr">
        <is>
          <t>PRJ022</t>
        </is>
      </c>
      <c r="C117" s="7">
        <f>IFERROR(VLOOKUP(B117,Projects!$A:$AK,2,FALSE()),"")</f>
        <v/>
      </c>
      <c r="D117" s="7" t="n">
        <v>4</v>
      </c>
      <c r="E117" s="7" t="inlineStr">
        <is>
          <t>PRJ022 Sprint 4</t>
        </is>
      </c>
      <c r="F117" s="8">
        <f>IFERROR(VLOOKUP(B117,Projects!$A:$AK,16,FALSE()),"")</f>
        <v/>
      </c>
      <c r="G117" s="8">
        <f>IFERROR(VLOOKUP(B117,Projects!$A:$AK,17,FALSE()),"")</f>
        <v/>
      </c>
      <c r="H117" s="7" t="n">
        <v>26</v>
      </c>
      <c r="I117" s="7" t="n">
        <v>21</v>
      </c>
      <c r="J117" s="7" t="n">
        <v>5</v>
      </c>
      <c r="K117" s="7" t="n">
        <v>4</v>
      </c>
      <c r="L117" s="7" t="inlineStr">
        <is>
          <t>Complete</t>
        </is>
      </c>
      <c r="M117" s="7" t="inlineStr">
        <is>
          <t>Priya Patel</t>
        </is>
      </c>
    </row>
    <row r="118" ht="15" customHeight="1" s="5">
      <c r="A118" s="7" t="inlineStr">
        <is>
          <t>SP0117</t>
        </is>
      </c>
      <c r="B118" s="7" t="inlineStr">
        <is>
          <t>PRJ022</t>
        </is>
      </c>
      <c r="C118" s="7">
        <f>IFERROR(VLOOKUP(B118,Projects!$A:$AK,2,FALSE()),"")</f>
        <v/>
      </c>
      <c r="D118" s="7" t="n">
        <v>5</v>
      </c>
      <c r="E118" s="7" t="inlineStr">
        <is>
          <t>PRJ022 Sprint 5</t>
        </is>
      </c>
      <c r="F118" s="8">
        <f>IFERROR(VLOOKUP(B118,Projects!$A:$AK,16,FALSE()),"")</f>
        <v/>
      </c>
      <c r="G118" s="8">
        <f>IFERROR(VLOOKUP(B118,Projects!$A:$AK,17,FALSE()),"")</f>
        <v/>
      </c>
      <c r="H118" s="7" t="n">
        <v>37</v>
      </c>
      <c r="I118" s="7" t="n">
        <v>30</v>
      </c>
      <c r="J118" s="7" t="n">
        <v>7</v>
      </c>
      <c r="K118" s="7" t="n">
        <v>6</v>
      </c>
      <c r="L118" s="7" t="inlineStr">
        <is>
          <t>Complete</t>
        </is>
      </c>
      <c r="M118" s="7" t="inlineStr">
        <is>
          <t>Priya Patel</t>
        </is>
      </c>
    </row>
    <row r="119" ht="15" customHeight="1" s="5">
      <c r="A119" s="7" t="inlineStr">
        <is>
          <t>SP0118</t>
        </is>
      </c>
      <c r="B119" s="7" t="inlineStr">
        <is>
          <t>PRJ022</t>
        </is>
      </c>
      <c r="C119" s="7">
        <f>IFERROR(VLOOKUP(B119,Projects!$A:$AK,2,FALSE()),"")</f>
        <v/>
      </c>
      <c r="D119" s="7" t="n">
        <v>6</v>
      </c>
      <c r="E119" s="7" t="inlineStr">
        <is>
          <t>PRJ022 Sprint 6</t>
        </is>
      </c>
      <c r="F119" s="8">
        <f>IFERROR(VLOOKUP(B119,Projects!$A:$AK,16,FALSE()),"")</f>
        <v/>
      </c>
      <c r="G119" s="8">
        <f>IFERROR(VLOOKUP(B119,Projects!$A:$AK,17,FALSE()),"")</f>
        <v/>
      </c>
      <c r="H119" s="7" t="n">
        <v>42</v>
      </c>
      <c r="I119" s="7" t="n">
        <v>32</v>
      </c>
      <c r="J119" s="7" t="n">
        <v>8</v>
      </c>
      <c r="K119" s="7" t="n">
        <v>6</v>
      </c>
      <c r="L119" s="7" t="inlineStr">
        <is>
          <t>Complete</t>
        </is>
      </c>
      <c r="M119" s="7" t="inlineStr">
        <is>
          <t>Priya Patel</t>
        </is>
      </c>
    </row>
    <row r="120" ht="15" customHeight="1" s="5">
      <c r="A120" s="7" t="inlineStr">
        <is>
          <t>SP0119</t>
        </is>
      </c>
      <c r="B120" s="7" t="inlineStr">
        <is>
          <t>PRJ022</t>
        </is>
      </c>
      <c r="C120" s="7">
        <f>IFERROR(VLOOKUP(B120,Projects!$A:$AK,2,FALSE()),"")</f>
        <v/>
      </c>
      <c r="D120" s="7" t="n">
        <v>7</v>
      </c>
      <c r="E120" s="7" t="inlineStr">
        <is>
          <t>PRJ022 Sprint 7</t>
        </is>
      </c>
      <c r="F120" s="8">
        <f>IFERROR(VLOOKUP(B120,Projects!$A:$AK,16,FALSE()),"")</f>
        <v/>
      </c>
      <c r="G120" s="8">
        <f>IFERROR(VLOOKUP(B120,Projects!$A:$AK,17,FALSE()),"")</f>
        <v/>
      </c>
      <c r="H120" s="7" t="n">
        <v>39</v>
      </c>
      <c r="I120" s="7" t="n">
        <v>42</v>
      </c>
      <c r="J120" s="7" t="n">
        <v>7</v>
      </c>
      <c r="K120" s="7" t="n">
        <v>8</v>
      </c>
      <c r="L120" s="7" t="inlineStr">
        <is>
          <t>Complete</t>
        </is>
      </c>
      <c r="M120" s="7" t="inlineStr">
        <is>
          <t>Priya Patel</t>
        </is>
      </c>
    </row>
    <row r="121" ht="15" customHeight="1" s="5">
      <c r="A121" s="7" t="inlineStr">
        <is>
          <t>SP0120</t>
        </is>
      </c>
      <c r="B121" s="7" t="inlineStr">
        <is>
          <t>PRJ022</t>
        </is>
      </c>
      <c r="C121" s="7">
        <f>IFERROR(VLOOKUP(B121,Projects!$A:$AK,2,FALSE()),"")</f>
        <v/>
      </c>
      <c r="D121" s="7" t="n">
        <v>8</v>
      </c>
      <c r="E121" s="7" t="inlineStr">
        <is>
          <t>PRJ022 Sprint 8</t>
        </is>
      </c>
      <c r="F121" s="8">
        <f>IFERROR(VLOOKUP(B121,Projects!$A:$AK,16,FALSE()),"")</f>
        <v/>
      </c>
      <c r="G121" s="8">
        <f>IFERROR(VLOOKUP(B121,Projects!$A:$AK,17,FALSE()),"")</f>
        <v/>
      </c>
      <c r="H121" s="7" t="n">
        <v>35</v>
      </c>
      <c r="I121" s="7" t="n">
        <v>35</v>
      </c>
      <c r="J121" s="7" t="n">
        <v>7</v>
      </c>
      <c r="K121" s="7" t="n">
        <v>7</v>
      </c>
      <c r="L121" s="7" t="inlineStr">
        <is>
          <t>Complete</t>
        </is>
      </c>
      <c r="M121" s="7" t="inlineStr">
        <is>
          <t>Priya Patel</t>
        </is>
      </c>
    </row>
    <row r="122" ht="15" customHeight="1" s="5">
      <c r="A122" s="7" t="inlineStr">
        <is>
          <t>SP0121</t>
        </is>
      </c>
      <c r="B122" s="7" t="inlineStr">
        <is>
          <t>PRJ023</t>
        </is>
      </c>
      <c r="C122" s="7">
        <f>IFERROR(VLOOKUP(B122,Projects!$A:$AK,2,FALSE()),"")</f>
        <v/>
      </c>
      <c r="D122" s="7" t="n">
        <v>1</v>
      </c>
      <c r="E122" s="7" t="inlineStr">
        <is>
          <t>PRJ023 Sprint 1</t>
        </is>
      </c>
      <c r="F122" s="8">
        <f>IFERROR(VLOOKUP(B122,Projects!$A:$AK,16,FALSE()),"")</f>
        <v/>
      </c>
      <c r="G122" s="8">
        <f>IFERROR(VLOOKUP(B122,Projects!$A:$AK,17,FALSE()),"")</f>
        <v/>
      </c>
      <c r="H122" s="7" t="n">
        <v>55</v>
      </c>
      <c r="I122" s="7" t="n">
        <v>48</v>
      </c>
      <c r="J122" s="7" t="n">
        <v>11</v>
      </c>
      <c r="K122" s="7" t="n">
        <v>9</v>
      </c>
      <c r="L122" s="7" t="inlineStr">
        <is>
          <t>Complete</t>
        </is>
      </c>
      <c r="M122" s="7" t="inlineStr">
        <is>
          <t>Jane Doe</t>
        </is>
      </c>
    </row>
    <row r="123" ht="15" customHeight="1" s="5">
      <c r="A123" s="7" t="inlineStr">
        <is>
          <t>SP0122</t>
        </is>
      </c>
      <c r="B123" s="7" t="inlineStr">
        <is>
          <t>PRJ023</t>
        </is>
      </c>
      <c r="C123" s="7">
        <f>IFERROR(VLOOKUP(B123,Projects!$A:$AK,2,FALSE()),"")</f>
        <v/>
      </c>
      <c r="D123" s="7" t="n">
        <v>2</v>
      </c>
      <c r="E123" s="7" t="inlineStr">
        <is>
          <t>PRJ023 Sprint 2</t>
        </is>
      </c>
      <c r="F123" s="8">
        <f>IFERROR(VLOOKUP(B123,Projects!$A:$AK,16,FALSE()),"")</f>
        <v/>
      </c>
      <c r="G123" s="8">
        <f>IFERROR(VLOOKUP(B123,Projects!$A:$AK,17,FALSE()),"")</f>
        <v/>
      </c>
      <c r="H123" s="7" t="n">
        <v>44</v>
      </c>
      <c r="I123" s="7" t="n">
        <v>43</v>
      </c>
      <c r="J123" s="7" t="n">
        <v>8</v>
      </c>
      <c r="K123" s="7" t="n">
        <v>8</v>
      </c>
      <c r="L123" s="7" t="inlineStr">
        <is>
          <t>Complete</t>
        </is>
      </c>
      <c r="M123" s="7" t="inlineStr">
        <is>
          <t>Jane Doe</t>
        </is>
      </c>
    </row>
    <row r="124" ht="15" customHeight="1" s="5">
      <c r="A124" s="7" t="inlineStr">
        <is>
          <t>SP0123</t>
        </is>
      </c>
      <c r="B124" s="7" t="inlineStr">
        <is>
          <t>PRJ023</t>
        </is>
      </c>
      <c r="C124" s="7">
        <f>IFERROR(VLOOKUP(B124,Projects!$A:$AK,2,FALSE()),"")</f>
        <v/>
      </c>
      <c r="D124" s="7" t="n">
        <v>3</v>
      </c>
      <c r="E124" s="7" t="inlineStr">
        <is>
          <t>PRJ023 Sprint 3</t>
        </is>
      </c>
      <c r="F124" s="8">
        <f>IFERROR(VLOOKUP(B124,Projects!$A:$AK,16,FALSE()),"")</f>
        <v/>
      </c>
      <c r="G124" s="8">
        <f>IFERROR(VLOOKUP(B124,Projects!$A:$AK,17,FALSE()),"")</f>
        <v/>
      </c>
      <c r="H124" s="7" t="n">
        <v>56</v>
      </c>
      <c r="I124" s="7" t="n">
        <v>50</v>
      </c>
      <c r="J124" s="7" t="n">
        <v>11</v>
      </c>
      <c r="K124" s="7" t="n">
        <v>10</v>
      </c>
      <c r="L124" s="7" t="inlineStr">
        <is>
          <t>Complete</t>
        </is>
      </c>
      <c r="M124" s="7" t="inlineStr">
        <is>
          <t>Jane Doe</t>
        </is>
      </c>
    </row>
    <row r="125" ht="15" customHeight="1" s="5">
      <c r="A125" s="7" t="inlineStr">
        <is>
          <t>SP0124</t>
        </is>
      </c>
      <c r="B125" s="7" t="inlineStr">
        <is>
          <t>PRJ023</t>
        </is>
      </c>
      <c r="C125" s="7">
        <f>IFERROR(VLOOKUP(B125,Projects!$A:$AK,2,FALSE()),"")</f>
        <v/>
      </c>
      <c r="D125" s="7" t="n">
        <v>4</v>
      </c>
      <c r="E125" s="7" t="inlineStr">
        <is>
          <t>PRJ023 Sprint 4</t>
        </is>
      </c>
      <c r="F125" s="8">
        <f>IFERROR(VLOOKUP(B125,Projects!$A:$AK,16,FALSE()),"")</f>
        <v/>
      </c>
      <c r="G125" s="8">
        <f>IFERROR(VLOOKUP(B125,Projects!$A:$AK,17,FALSE()),"")</f>
        <v/>
      </c>
      <c r="H125" s="7" t="n">
        <v>51</v>
      </c>
      <c r="I125" s="7" t="n">
        <v>42</v>
      </c>
      <c r="J125" s="7" t="n">
        <v>10</v>
      </c>
      <c r="K125" s="7" t="n">
        <v>8</v>
      </c>
      <c r="L125" s="7" t="inlineStr">
        <is>
          <t>Complete</t>
        </is>
      </c>
      <c r="M125" s="7" t="inlineStr">
        <is>
          <t>Jane Doe</t>
        </is>
      </c>
    </row>
    <row r="126" ht="15" customHeight="1" s="5">
      <c r="A126" s="7" t="inlineStr">
        <is>
          <t>SP0125</t>
        </is>
      </c>
      <c r="B126" s="7" t="inlineStr">
        <is>
          <t>PRJ023</t>
        </is>
      </c>
      <c r="C126" s="7">
        <f>IFERROR(VLOOKUP(B126,Projects!$A:$AK,2,FALSE()),"")</f>
        <v/>
      </c>
      <c r="D126" s="7" t="n">
        <v>5</v>
      </c>
      <c r="E126" s="7" t="inlineStr">
        <is>
          <t>PRJ023 Sprint 5</t>
        </is>
      </c>
      <c r="F126" s="8">
        <f>IFERROR(VLOOKUP(B126,Projects!$A:$AK,16,FALSE()),"")</f>
        <v/>
      </c>
      <c r="G126" s="8">
        <f>IFERROR(VLOOKUP(B126,Projects!$A:$AK,17,FALSE()),"")</f>
        <v/>
      </c>
      <c r="H126" s="7" t="n">
        <v>46</v>
      </c>
      <c r="I126" s="7" t="n">
        <v>36</v>
      </c>
      <c r="J126" s="7" t="n">
        <v>9</v>
      </c>
      <c r="K126" s="7" t="n">
        <v>7</v>
      </c>
      <c r="L126" s="7" t="inlineStr">
        <is>
          <t>Complete</t>
        </is>
      </c>
      <c r="M126" s="7" t="inlineStr">
        <is>
          <t>Jane Doe</t>
        </is>
      </c>
    </row>
    <row r="127" ht="15" customHeight="1" s="5">
      <c r="A127" s="7" t="inlineStr">
        <is>
          <t>SP0126</t>
        </is>
      </c>
      <c r="B127" s="7" t="inlineStr">
        <is>
          <t>PRJ023</t>
        </is>
      </c>
      <c r="C127" s="7">
        <f>IFERROR(VLOOKUP(B127,Projects!$A:$AK,2,FALSE()),"")</f>
        <v/>
      </c>
      <c r="D127" s="7" t="n">
        <v>6</v>
      </c>
      <c r="E127" s="7" t="inlineStr">
        <is>
          <t>PRJ023 Sprint 6</t>
        </is>
      </c>
      <c r="F127" s="8">
        <f>IFERROR(VLOOKUP(B127,Projects!$A:$AK,16,FALSE()),"")</f>
        <v/>
      </c>
      <c r="G127" s="8">
        <f>IFERROR(VLOOKUP(B127,Projects!$A:$AK,17,FALSE()),"")</f>
        <v/>
      </c>
      <c r="H127" s="7" t="n">
        <v>54</v>
      </c>
      <c r="I127" s="7" t="n">
        <v>52</v>
      </c>
      <c r="J127" s="7" t="n">
        <v>10</v>
      </c>
      <c r="K127" s="7" t="n">
        <v>10</v>
      </c>
      <c r="L127" s="7" t="inlineStr">
        <is>
          <t>Complete</t>
        </is>
      </c>
      <c r="M127" s="7" t="inlineStr">
        <is>
          <t>Jane Doe</t>
        </is>
      </c>
    </row>
    <row r="128" ht="15" customHeight="1" s="5">
      <c r="A128" s="7" t="inlineStr">
        <is>
          <t>SP0127</t>
        </is>
      </c>
      <c r="B128" s="7" t="inlineStr">
        <is>
          <t>PRJ023</t>
        </is>
      </c>
      <c r="C128" s="7">
        <f>IFERROR(VLOOKUP(B128,Projects!$A:$AK,2,FALSE()),"")</f>
        <v/>
      </c>
      <c r="D128" s="7" t="n">
        <v>7</v>
      </c>
      <c r="E128" s="7" t="inlineStr">
        <is>
          <t>PRJ023 Sprint 7</t>
        </is>
      </c>
      <c r="F128" s="8">
        <f>IFERROR(VLOOKUP(B128,Projects!$A:$AK,16,FALSE()),"")</f>
        <v/>
      </c>
      <c r="G128" s="8">
        <f>IFERROR(VLOOKUP(B128,Projects!$A:$AK,17,FALSE()),"")</f>
        <v/>
      </c>
      <c r="H128" s="7" t="n">
        <v>43</v>
      </c>
      <c r="I128" s="7" t="n">
        <v>38</v>
      </c>
      <c r="J128" s="7" t="n">
        <v>8</v>
      </c>
      <c r="K128" s="7" t="n">
        <v>7</v>
      </c>
      <c r="L128" s="7" t="inlineStr">
        <is>
          <t>Complete</t>
        </is>
      </c>
      <c r="M128" s="7" t="inlineStr">
        <is>
          <t>Jane Doe</t>
        </is>
      </c>
    </row>
    <row r="129" ht="15" customHeight="1" s="5">
      <c r="A129" s="7" t="inlineStr">
        <is>
          <t>SP0128</t>
        </is>
      </c>
      <c r="B129" s="7" t="inlineStr">
        <is>
          <t>PRJ023</t>
        </is>
      </c>
      <c r="C129" s="7">
        <f>IFERROR(VLOOKUP(B129,Projects!$A:$AK,2,FALSE()),"")</f>
        <v/>
      </c>
      <c r="D129" s="7" t="n">
        <v>8</v>
      </c>
      <c r="E129" s="7" t="inlineStr">
        <is>
          <t>PRJ023 Sprint 8</t>
        </is>
      </c>
      <c r="F129" s="8">
        <f>IFERROR(VLOOKUP(B129,Projects!$A:$AK,16,FALSE()),"")</f>
        <v/>
      </c>
      <c r="G129" s="8">
        <f>IFERROR(VLOOKUP(B129,Projects!$A:$AK,17,FALSE()),"")</f>
        <v/>
      </c>
      <c r="H129" s="7" t="n">
        <v>52</v>
      </c>
      <c r="I129" s="7" t="n">
        <v>45</v>
      </c>
      <c r="J129" s="7" t="n">
        <v>10</v>
      </c>
      <c r="K129" s="7" t="n">
        <v>9</v>
      </c>
      <c r="L129" s="7" t="inlineStr">
        <is>
          <t>Complete</t>
        </is>
      </c>
      <c r="M129" s="7" t="inlineStr">
        <is>
          <t>Jane Doe</t>
        </is>
      </c>
    </row>
    <row r="130" ht="15" customHeight="1" s="5">
      <c r="A130" s="7" t="inlineStr">
        <is>
          <t>SP0129</t>
        </is>
      </c>
      <c r="B130" s="7" t="inlineStr">
        <is>
          <t>PRJ024</t>
        </is>
      </c>
      <c r="C130" s="7">
        <f>IFERROR(VLOOKUP(B130,Projects!$A:$AK,2,FALSE()),"")</f>
        <v/>
      </c>
      <c r="D130" s="7" t="n">
        <v>1</v>
      </c>
      <c r="E130" s="7" t="inlineStr">
        <is>
          <t>PRJ024 Sprint 1</t>
        </is>
      </c>
      <c r="F130" s="8">
        <f>IFERROR(VLOOKUP(B130,Projects!$A:$AK,16,FALSE()),"")</f>
        <v/>
      </c>
      <c r="G130" s="8">
        <f>IFERROR(VLOOKUP(B130,Projects!$A:$AK,17,FALSE()),"")</f>
        <v/>
      </c>
      <c r="H130" s="7" t="n">
        <v>37</v>
      </c>
      <c r="I130" s="7" t="n">
        <v>27</v>
      </c>
      <c r="J130" s="7" t="n">
        <v>7</v>
      </c>
      <c r="K130" s="7" t="n">
        <v>5</v>
      </c>
      <c r="L130" s="7" t="inlineStr">
        <is>
          <t>Complete</t>
        </is>
      </c>
      <c r="M130" s="7" t="inlineStr">
        <is>
          <t>Jane Doe</t>
        </is>
      </c>
    </row>
    <row r="131" ht="15" customHeight="1" s="5">
      <c r="A131" s="7" t="inlineStr">
        <is>
          <t>SP0130</t>
        </is>
      </c>
      <c r="B131" s="7" t="inlineStr">
        <is>
          <t>PRJ024</t>
        </is>
      </c>
      <c r="C131" s="7">
        <f>IFERROR(VLOOKUP(B131,Projects!$A:$AK,2,FALSE()),"")</f>
        <v/>
      </c>
      <c r="D131" s="7" t="n">
        <v>2</v>
      </c>
      <c r="E131" s="7" t="inlineStr">
        <is>
          <t>PRJ024 Sprint 2</t>
        </is>
      </c>
      <c r="F131" s="8">
        <f>IFERROR(VLOOKUP(B131,Projects!$A:$AK,16,FALSE()),"")</f>
        <v/>
      </c>
      <c r="G131" s="8">
        <f>IFERROR(VLOOKUP(B131,Projects!$A:$AK,17,FALSE()),"")</f>
        <v/>
      </c>
      <c r="H131" s="7" t="n">
        <v>40</v>
      </c>
      <c r="I131" s="7" t="n">
        <v>28</v>
      </c>
      <c r="J131" s="7" t="n">
        <v>8</v>
      </c>
      <c r="K131" s="7" t="n">
        <v>5</v>
      </c>
      <c r="L131" s="7" t="inlineStr">
        <is>
          <t>Complete</t>
        </is>
      </c>
      <c r="M131" s="7" t="inlineStr">
        <is>
          <t>Jane Doe</t>
        </is>
      </c>
    </row>
    <row r="132" ht="15" customHeight="1" s="5">
      <c r="A132" s="7" t="inlineStr">
        <is>
          <t>SP0131</t>
        </is>
      </c>
      <c r="B132" s="7" t="inlineStr">
        <is>
          <t>PRJ024</t>
        </is>
      </c>
      <c r="C132" s="7">
        <f>IFERROR(VLOOKUP(B132,Projects!$A:$AK,2,FALSE()),"")</f>
        <v/>
      </c>
      <c r="D132" s="7" t="n">
        <v>3</v>
      </c>
      <c r="E132" s="7" t="inlineStr">
        <is>
          <t>PRJ024 Sprint 3</t>
        </is>
      </c>
      <c r="F132" s="8">
        <f>IFERROR(VLOOKUP(B132,Projects!$A:$AK,16,FALSE()),"")</f>
        <v/>
      </c>
      <c r="G132" s="8">
        <f>IFERROR(VLOOKUP(B132,Projects!$A:$AK,17,FALSE()),"")</f>
        <v/>
      </c>
      <c r="H132" s="7" t="n">
        <v>43</v>
      </c>
      <c r="I132" s="7" t="n">
        <v>37</v>
      </c>
      <c r="J132" s="7" t="n">
        <v>8</v>
      </c>
      <c r="K132" s="7" t="n">
        <v>7</v>
      </c>
      <c r="L132" s="7" t="inlineStr">
        <is>
          <t>Complete</t>
        </is>
      </c>
      <c r="M132" s="7" t="inlineStr">
        <is>
          <t>Jane Doe</t>
        </is>
      </c>
    </row>
    <row r="133" ht="15" customHeight="1" s="5">
      <c r="A133" s="7" t="inlineStr">
        <is>
          <t>SP0132</t>
        </is>
      </c>
      <c r="B133" s="7" t="inlineStr">
        <is>
          <t>PRJ024</t>
        </is>
      </c>
      <c r="C133" s="7">
        <f>IFERROR(VLOOKUP(B133,Projects!$A:$AK,2,FALSE()),"")</f>
        <v/>
      </c>
      <c r="D133" s="7" t="n">
        <v>4</v>
      </c>
      <c r="E133" s="7" t="inlineStr">
        <is>
          <t>PRJ024 Sprint 4</t>
        </is>
      </c>
      <c r="F133" s="8">
        <f>IFERROR(VLOOKUP(B133,Projects!$A:$AK,16,FALSE()),"")</f>
        <v/>
      </c>
      <c r="G133" s="8">
        <f>IFERROR(VLOOKUP(B133,Projects!$A:$AK,17,FALSE()),"")</f>
        <v/>
      </c>
      <c r="H133" s="7" t="n">
        <v>51</v>
      </c>
      <c r="I133" s="7" t="n">
        <v>45</v>
      </c>
      <c r="J133" s="7" t="n">
        <v>10</v>
      </c>
      <c r="K133" s="7" t="n">
        <v>9</v>
      </c>
      <c r="L133" s="7" t="inlineStr">
        <is>
          <t>Complete</t>
        </is>
      </c>
      <c r="M133" s="7" t="inlineStr">
        <is>
          <t>Jane Doe</t>
        </is>
      </c>
    </row>
    <row r="134" ht="15" customHeight="1" s="5">
      <c r="A134" s="7" t="inlineStr">
        <is>
          <t>SP0133</t>
        </is>
      </c>
      <c r="B134" s="7" t="inlineStr">
        <is>
          <t>PRJ024</t>
        </is>
      </c>
      <c r="C134" s="7">
        <f>IFERROR(VLOOKUP(B134,Projects!$A:$AK,2,FALSE()),"")</f>
        <v/>
      </c>
      <c r="D134" s="7" t="n">
        <v>5</v>
      </c>
      <c r="E134" s="7" t="inlineStr">
        <is>
          <t>PRJ024 Sprint 5</t>
        </is>
      </c>
      <c r="F134" s="8">
        <f>IFERROR(VLOOKUP(B134,Projects!$A:$AK,16,FALSE()),"")</f>
        <v/>
      </c>
      <c r="G134" s="8">
        <f>IFERROR(VLOOKUP(B134,Projects!$A:$AK,17,FALSE()),"")</f>
        <v/>
      </c>
      <c r="H134" s="7" t="n">
        <v>35</v>
      </c>
      <c r="I134" s="7" t="n">
        <v>30</v>
      </c>
      <c r="J134" s="7" t="n">
        <v>7</v>
      </c>
      <c r="K134" s="7" t="n">
        <v>6</v>
      </c>
      <c r="L134" s="7" t="inlineStr">
        <is>
          <t>Complete</t>
        </is>
      </c>
      <c r="M134" s="7" t="inlineStr">
        <is>
          <t>Jane Doe</t>
        </is>
      </c>
    </row>
    <row r="135" ht="15" customHeight="1" s="5">
      <c r="A135" s="7" t="inlineStr">
        <is>
          <t>SP0134</t>
        </is>
      </c>
      <c r="B135" s="7" t="inlineStr">
        <is>
          <t>PRJ024</t>
        </is>
      </c>
      <c r="C135" s="7">
        <f>IFERROR(VLOOKUP(B135,Projects!$A:$AK,2,FALSE()),"")</f>
        <v/>
      </c>
      <c r="D135" s="7" t="n">
        <v>6</v>
      </c>
      <c r="E135" s="7" t="inlineStr">
        <is>
          <t>PRJ024 Sprint 6</t>
        </is>
      </c>
      <c r="F135" s="8">
        <f>IFERROR(VLOOKUP(B135,Projects!$A:$AK,16,FALSE()),"")</f>
        <v/>
      </c>
      <c r="G135" s="8">
        <f>IFERROR(VLOOKUP(B135,Projects!$A:$AK,17,FALSE()),"")</f>
        <v/>
      </c>
      <c r="H135" s="7" t="n">
        <v>42</v>
      </c>
      <c r="I135" s="7" t="n">
        <v>32</v>
      </c>
      <c r="J135" s="7" t="n">
        <v>8</v>
      </c>
      <c r="K135" s="7" t="n">
        <v>6</v>
      </c>
      <c r="L135" s="7" t="inlineStr">
        <is>
          <t>Complete</t>
        </is>
      </c>
      <c r="M135" s="7" t="inlineStr">
        <is>
          <t>Jane Doe</t>
        </is>
      </c>
    </row>
    <row r="136" ht="15" customHeight="1" s="5">
      <c r="A136" s="7" t="inlineStr">
        <is>
          <t>SP0135</t>
        </is>
      </c>
      <c r="B136" s="7" t="inlineStr">
        <is>
          <t>PRJ024</t>
        </is>
      </c>
      <c r="C136" s="7">
        <f>IFERROR(VLOOKUP(B136,Projects!$A:$AK,2,FALSE()),"")</f>
        <v/>
      </c>
      <c r="D136" s="7" t="n">
        <v>7</v>
      </c>
      <c r="E136" s="7" t="inlineStr">
        <is>
          <t>PRJ024 Sprint 7</t>
        </is>
      </c>
      <c r="F136" s="8">
        <f>IFERROR(VLOOKUP(B136,Projects!$A:$AK,16,FALSE()),"")</f>
        <v/>
      </c>
      <c r="G136" s="8">
        <f>IFERROR(VLOOKUP(B136,Projects!$A:$AK,17,FALSE()),"")</f>
        <v/>
      </c>
      <c r="H136" s="7" t="n">
        <v>52</v>
      </c>
      <c r="I136" s="7" t="n">
        <v>41</v>
      </c>
      <c r="J136" s="7" t="n">
        <v>10</v>
      </c>
      <c r="K136" s="7" t="n">
        <v>8</v>
      </c>
      <c r="L136" s="7" t="inlineStr">
        <is>
          <t>Complete</t>
        </is>
      </c>
      <c r="M136" s="7" t="inlineStr">
        <is>
          <t>Jane Doe</t>
        </is>
      </c>
    </row>
    <row r="137" ht="15" customHeight="1" s="5">
      <c r="A137" s="7" t="inlineStr">
        <is>
          <t>SP0136</t>
        </is>
      </c>
      <c r="B137" s="7" t="inlineStr">
        <is>
          <t>PRJ024</t>
        </is>
      </c>
      <c r="C137" s="7">
        <f>IFERROR(VLOOKUP(B137,Projects!$A:$AK,2,FALSE()),"")</f>
        <v/>
      </c>
      <c r="D137" s="7" t="n">
        <v>8</v>
      </c>
      <c r="E137" s="7" t="inlineStr">
        <is>
          <t>PRJ024 Sprint 8</t>
        </is>
      </c>
      <c r="F137" s="8">
        <f>IFERROR(VLOOKUP(B137,Projects!$A:$AK,16,FALSE()),"")</f>
        <v/>
      </c>
      <c r="G137" s="8">
        <f>IFERROR(VLOOKUP(B137,Projects!$A:$AK,17,FALSE()),"")</f>
        <v/>
      </c>
      <c r="H137" s="7" t="n">
        <v>52</v>
      </c>
      <c r="I137" s="7" t="n">
        <v>55</v>
      </c>
      <c r="J137" s="7" t="n">
        <v>10</v>
      </c>
      <c r="K137" s="7" t="n">
        <v>11</v>
      </c>
      <c r="L137" s="7" t="inlineStr">
        <is>
          <t>Complete</t>
        </is>
      </c>
      <c r="M137" s="7" t="inlineStr">
        <is>
          <t>Jane Doe</t>
        </is>
      </c>
    </row>
    <row r="138" ht="15" customHeight="1" s="5">
      <c r="A138" s="7" t="inlineStr">
        <is>
          <t>SP0137</t>
        </is>
      </c>
      <c r="B138" s="7" t="inlineStr">
        <is>
          <t>PRJ025</t>
        </is>
      </c>
      <c r="C138" s="7">
        <f>IFERROR(VLOOKUP(B138,Projects!$A:$AK,2,FALSE()),"")</f>
        <v/>
      </c>
      <c r="D138" s="7" t="n">
        <v>1</v>
      </c>
      <c r="E138" s="7" t="inlineStr">
        <is>
          <t>PRJ025 Sprint 1</t>
        </is>
      </c>
      <c r="F138" s="8">
        <f>IFERROR(VLOOKUP(B138,Projects!$A:$AK,16,FALSE()),"")</f>
        <v/>
      </c>
      <c r="G138" s="8">
        <f>IFERROR(VLOOKUP(B138,Projects!$A:$AK,17,FALSE()),"")</f>
        <v/>
      </c>
      <c r="H138" s="7" t="n">
        <v>19</v>
      </c>
      <c r="I138" s="7" t="n">
        <v>17</v>
      </c>
      <c r="J138" s="7" t="n">
        <v>3</v>
      </c>
      <c r="K138" s="7" t="n">
        <v>3</v>
      </c>
      <c r="L138" s="7" t="inlineStr">
        <is>
          <t>Complete</t>
        </is>
      </c>
      <c r="M138" s="7" t="inlineStr">
        <is>
          <t>Sarah Lee</t>
        </is>
      </c>
    </row>
    <row r="139" ht="15" customHeight="1" s="5">
      <c r="A139" s="7" t="inlineStr">
        <is>
          <t>SP0138</t>
        </is>
      </c>
      <c r="B139" s="7" t="inlineStr">
        <is>
          <t>PRJ025</t>
        </is>
      </c>
      <c r="C139" s="7">
        <f>IFERROR(VLOOKUP(B139,Projects!$A:$AK,2,FALSE()),"")</f>
        <v/>
      </c>
      <c r="D139" s="7" t="n">
        <v>2</v>
      </c>
      <c r="E139" s="7" t="inlineStr">
        <is>
          <t>PRJ025 Sprint 2</t>
        </is>
      </c>
      <c r="F139" s="8">
        <f>IFERROR(VLOOKUP(B139,Projects!$A:$AK,16,FALSE()),"")</f>
        <v/>
      </c>
      <c r="G139" s="8">
        <f>IFERROR(VLOOKUP(B139,Projects!$A:$AK,17,FALSE()),"")</f>
        <v/>
      </c>
      <c r="H139" s="7" t="n">
        <v>20</v>
      </c>
      <c r="I139" s="7" t="n">
        <v>17</v>
      </c>
      <c r="J139" s="7" t="n">
        <v>4</v>
      </c>
      <c r="K139" s="7" t="n">
        <v>3</v>
      </c>
      <c r="L139" s="7" t="inlineStr">
        <is>
          <t>Complete</t>
        </is>
      </c>
      <c r="M139" s="7" t="inlineStr">
        <is>
          <t>Sarah Lee</t>
        </is>
      </c>
    </row>
    <row r="140" ht="15" customHeight="1" s="5">
      <c r="A140" s="7" t="inlineStr">
        <is>
          <t>SP0139</t>
        </is>
      </c>
      <c r="B140" s="7" t="inlineStr">
        <is>
          <t>PRJ025</t>
        </is>
      </c>
      <c r="C140" s="7">
        <f>IFERROR(VLOOKUP(B140,Projects!$A:$AK,2,FALSE()),"")</f>
        <v/>
      </c>
      <c r="D140" s="7" t="n">
        <v>3</v>
      </c>
      <c r="E140" s="7" t="inlineStr">
        <is>
          <t>PRJ025 Sprint 3</t>
        </is>
      </c>
      <c r="F140" s="8">
        <f>IFERROR(VLOOKUP(B140,Projects!$A:$AK,16,FALSE()),"")</f>
        <v/>
      </c>
      <c r="G140" s="8">
        <f>IFERROR(VLOOKUP(B140,Projects!$A:$AK,17,FALSE()),"")</f>
        <v/>
      </c>
      <c r="H140" s="7" t="n">
        <v>18</v>
      </c>
      <c r="I140" s="7" t="n">
        <v>17</v>
      </c>
      <c r="J140" s="7" t="n">
        <v>3</v>
      </c>
      <c r="K140" s="7" t="n">
        <v>3</v>
      </c>
      <c r="L140" s="7" t="inlineStr">
        <is>
          <t>Complete</t>
        </is>
      </c>
      <c r="M140" s="7" t="inlineStr">
        <is>
          <t>Sarah Lee</t>
        </is>
      </c>
    </row>
    <row r="141" ht="15" customHeight="1" s="5">
      <c r="A141" s="7" t="inlineStr">
        <is>
          <t>SP0140</t>
        </is>
      </c>
      <c r="B141" s="7" t="inlineStr">
        <is>
          <t>PRJ025</t>
        </is>
      </c>
      <c r="C141" s="7">
        <f>IFERROR(VLOOKUP(B141,Projects!$A:$AK,2,FALSE()),"")</f>
        <v/>
      </c>
      <c r="D141" s="7" t="n">
        <v>4</v>
      </c>
      <c r="E141" s="7" t="inlineStr">
        <is>
          <t>PRJ025 Sprint 4</t>
        </is>
      </c>
      <c r="F141" s="8">
        <f>IFERROR(VLOOKUP(B141,Projects!$A:$AK,16,FALSE()),"")</f>
        <v/>
      </c>
      <c r="G141" s="8">
        <f>IFERROR(VLOOKUP(B141,Projects!$A:$AK,17,FALSE()),"")</f>
        <v/>
      </c>
      <c r="H141" s="7" t="n">
        <v>27</v>
      </c>
      <c r="I141" s="7" t="n">
        <v>27</v>
      </c>
      <c r="J141" s="7" t="n">
        <v>5</v>
      </c>
      <c r="K141" s="7" t="n">
        <v>5</v>
      </c>
      <c r="L141" s="7" t="inlineStr">
        <is>
          <t>Complete</t>
        </is>
      </c>
      <c r="M141" s="7" t="inlineStr">
        <is>
          <t>Sarah Lee</t>
        </is>
      </c>
    </row>
    <row r="142" ht="15" customHeight="1" s="5">
      <c r="A142" s="7" t="inlineStr">
        <is>
          <t>SP0141</t>
        </is>
      </c>
      <c r="B142" s="7" t="inlineStr">
        <is>
          <t>PRJ025</t>
        </is>
      </c>
      <c r="C142" s="7">
        <f>IFERROR(VLOOKUP(B142,Projects!$A:$AK,2,FALSE()),"")</f>
        <v/>
      </c>
      <c r="D142" s="7" t="n">
        <v>5</v>
      </c>
      <c r="E142" s="7" t="inlineStr">
        <is>
          <t>PRJ025 Sprint 5</t>
        </is>
      </c>
      <c r="F142" s="8">
        <f>IFERROR(VLOOKUP(B142,Projects!$A:$AK,16,FALSE()),"")</f>
        <v/>
      </c>
      <c r="G142" s="8">
        <f>IFERROR(VLOOKUP(B142,Projects!$A:$AK,17,FALSE()),"")</f>
        <v/>
      </c>
      <c r="H142" s="7" t="n">
        <v>34</v>
      </c>
      <c r="I142" s="7" t="n">
        <v>28</v>
      </c>
      <c r="J142" s="7" t="n">
        <v>6</v>
      </c>
      <c r="K142" s="7" t="n">
        <v>5</v>
      </c>
      <c r="L142" s="7" t="inlineStr">
        <is>
          <t>Complete</t>
        </is>
      </c>
      <c r="M142" s="7" t="inlineStr">
        <is>
          <t>Sarah Lee</t>
        </is>
      </c>
    </row>
    <row r="143" ht="15" customHeight="1" s="5">
      <c r="A143" s="7" t="inlineStr">
        <is>
          <t>SP0142</t>
        </is>
      </c>
      <c r="B143" s="7" t="inlineStr">
        <is>
          <t>PRJ025</t>
        </is>
      </c>
      <c r="C143" s="7">
        <f>IFERROR(VLOOKUP(B143,Projects!$A:$AK,2,FALSE()),"")</f>
        <v/>
      </c>
      <c r="D143" s="7" t="n">
        <v>6</v>
      </c>
      <c r="E143" s="7" t="inlineStr">
        <is>
          <t>PRJ025 Sprint 6</t>
        </is>
      </c>
      <c r="F143" s="8">
        <f>IFERROR(VLOOKUP(B143,Projects!$A:$AK,16,FALSE()),"")</f>
        <v/>
      </c>
      <c r="G143" s="8">
        <f>IFERROR(VLOOKUP(B143,Projects!$A:$AK,17,FALSE()),"")</f>
        <v/>
      </c>
      <c r="H143" s="7" t="n">
        <v>28</v>
      </c>
      <c r="I143" s="7" t="n">
        <v>28</v>
      </c>
      <c r="J143" s="7" t="n">
        <v>5</v>
      </c>
      <c r="K143" s="7" t="n">
        <v>5</v>
      </c>
      <c r="L143" s="7" t="inlineStr">
        <is>
          <t>Complete</t>
        </is>
      </c>
      <c r="M143" s="7" t="inlineStr">
        <is>
          <t>Sarah Lee</t>
        </is>
      </c>
    </row>
    <row r="144" ht="15" customHeight="1" s="5">
      <c r="A144" s="7" t="inlineStr">
        <is>
          <t>SP0143</t>
        </is>
      </c>
      <c r="B144" s="7" t="inlineStr">
        <is>
          <t>PRJ025</t>
        </is>
      </c>
      <c r="C144" s="7">
        <f>IFERROR(VLOOKUP(B144,Projects!$A:$AK,2,FALSE()),"")</f>
        <v/>
      </c>
      <c r="D144" s="7" t="n">
        <v>7</v>
      </c>
      <c r="E144" s="7" t="inlineStr">
        <is>
          <t>PRJ025 Sprint 7</t>
        </is>
      </c>
      <c r="F144" s="8">
        <f>IFERROR(VLOOKUP(B144,Projects!$A:$AK,16,FALSE()),"")</f>
        <v/>
      </c>
      <c r="G144" s="8">
        <f>IFERROR(VLOOKUP(B144,Projects!$A:$AK,17,FALSE()),"")</f>
        <v/>
      </c>
      <c r="H144" s="7" t="n">
        <v>29</v>
      </c>
      <c r="I144" s="7" t="n">
        <v>21</v>
      </c>
      <c r="J144" s="7" t="n">
        <v>5</v>
      </c>
      <c r="K144" s="7" t="n">
        <v>4</v>
      </c>
      <c r="L144" s="7" t="inlineStr">
        <is>
          <t>Complete</t>
        </is>
      </c>
      <c r="M144" s="7" t="inlineStr">
        <is>
          <t>Sarah Lee</t>
        </is>
      </c>
    </row>
    <row r="145" ht="15" customHeight="1" s="5">
      <c r="A145" s="7" t="inlineStr">
        <is>
          <t>SP0144</t>
        </is>
      </c>
      <c r="B145" s="7" t="inlineStr">
        <is>
          <t>PRJ025</t>
        </is>
      </c>
      <c r="C145" s="7">
        <f>IFERROR(VLOOKUP(B145,Projects!$A:$AK,2,FALSE()),"")</f>
        <v/>
      </c>
      <c r="D145" s="7" t="n">
        <v>8</v>
      </c>
      <c r="E145" s="7" t="inlineStr">
        <is>
          <t>PRJ025 Sprint 8</t>
        </is>
      </c>
      <c r="F145" s="8">
        <f>IFERROR(VLOOKUP(B145,Projects!$A:$AK,16,FALSE()),"")</f>
        <v/>
      </c>
      <c r="G145" s="8">
        <f>IFERROR(VLOOKUP(B145,Projects!$A:$AK,17,FALSE()),"")</f>
        <v/>
      </c>
      <c r="H145" s="7" t="n">
        <v>21</v>
      </c>
      <c r="I145" s="7" t="n">
        <v>19</v>
      </c>
      <c r="J145" s="7" t="n">
        <v>4</v>
      </c>
      <c r="K145" s="7" t="n">
        <v>3</v>
      </c>
      <c r="L145" s="7" t="inlineStr">
        <is>
          <t>Complete</t>
        </is>
      </c>
      <c r="M145" s="7" t="inlineStr">
        <is>
          <t>Sarah Lee</t>
        </is>
      </c>
    </row>
    <row r="146" ht="15" customHeight="1" s="5">
      <c r="A146" s="7" t="inlineStr">
        <is>
          <t>SP0145</t>
        </is>
      </c>
      <c r="B146" s="7" t="inlineStr">
        <is>
          <t>PRJ026</t>
        </is>
      </c>
      <c r="C146" s="7">
        <f>IFERROR(VLOOKUP(B146,Projects!$A:$AK,2,FALSE()),"")</f>
        <v/>
      </c>
      <c r="D146" s="7" t="n">
        <v>1</v>
      </c>
      <c r="E146" s="7" t="inlineStr">
        <is>
          <t>PRJ026 Sprint 1</t>
        </is>
      </c>
      <c r="F146" s="8">
        <f>IFERROR(VLOOKUP(B146,Projects!$A:$AK,16,FALSE()),"")</f>
        <v/>
      </c>
      <c r="G146" s="8">
        <f>IFERROR(VLOOKUP(B146,Projects!$A:$AK,17,FALSE()),"")</f>
        <v/>
      </c>
      <c r="H146" s="7" t="n">
        <v>46</v>
      </c>
      <c r="I146" s="7" t="n">
        <v>37</v>
      </c>
      <c r="J146" s="7" t="n">
        <v>9</v>
      </c>
      <c r="K146" s="7" t="n">
        <v>7</v>
      </c>
      <c r="L146" s="7" t="inlineStr">
        <is>
          <t>Complete</t>
        </is>
      </c>
      <c r="M146" s="7" t="inlineStr">
        <is>
          <t>Carlos Diaz</t>
        </is>
      </c>
    </row>
    <row r="147" ht="15" customHeight="1" s="5">
      <c r="A147" s="7" t="inlineStr">
        <is>
          <t>SP0146</t>
        </is>
      </c>
      <c r="B147" s="7" t="inlineStr">
        <is>
          <t>PRJ026</t>
        </is>
      </c>
      <c r="C147" s="7">
        <f>IFERROR(VLOOKUP(B147,Projects!$A:$AK,2,FALSE()),"")</f>
        <v/>
      </c>
      <c r="D147" s="7" t="n">
        <v>2</v>
      </c>
      <c r="E147" s="7" t="inlineStr">
        <is>
          <t>PRJ026 Sprint 2</t>
        </is>
      </c>
      <c r="F147" s="8">
        <f>IFERROR(VLOOKUP(B147,Projects!$A:$AK,16,FALSE()),"")</f>
        <v/>
      </c>
      <c r="G147" s="8">
        <f>IFERROR(VLOOKUP(B147,Projects!$A:$AK,17,FALSE()),"")</f>
        <v/>
      </c>
      <c r="H147" s="7" t="n">
        <v>46</v>
      </c>
      <c r="I147" s="7" t="n">
        <v>38</v>
      </c>
      <c r="J147" s="7" t="n">
        <v>9</v>
      </c>
      <c r="K147" s="7" t="n">
        <v>7</v>
      </c>
      <c r="L147" s="7" t="inlineStr">
        <is>
          <t>Complete</t>
        </is>
      </c>
      <c r="M147" s="7" t="inlineStr">
        <is>
          <t>Carlos Diaz</t>
        </is>
      </c>
    </row>
    <row r="148" ht="15" customHeight="1" s="5">
      <c r="A148" s="7" t="inlineStr">
        <is>
          <t>SP0147</t>
        </is>
      </c>
      <c r="B148" s="7" t="inlineStr">
        <is>
          <t>PRJ026</t>
        </is>
      </c>
      <c r="C148" s="7">
        <f>IFERROR(VLOOKUP(B148,Projects!$A:$AK,2,FALSE()),"")</f>
        <v/>
      </c>
      <c r="D148" s="7" t="n">
        <v>3</v>
      </c>
      <c r="E148" s="7" t="inlineStr">
        <is>
          <t>PRJ026 Sprint 3</t>
        </is>
      </c>
      <c r="F148" s="8">
        <f>IFERROR(VLOOKUP(B148,Projects!$A:$AK,16,FALSE()),"")</f>
        <v/>
      </c>
      <c r="G148" s="8">
        <f>IFERROR(VLOOKUP(B148,Projects!$A:$AK,17,FALSE()),"")</f>
        <v/>
      </c>
      <c r="H148" s="7" t="n">
        <v>30</v>
      </c>
      <c r="I148" s="7" t="n">
        <v>30</v>
      </c>
      <c r="J148" s="7" t="n">
        <v>6</v>
      </c>
      <c r="K148" s="7" t="n">
        <v>6</v>
      </c>
      <c r="L148" s="7" t="inlineStr">
        <is>
          <t>Complete</t>
        </is>
      </c>
      <c r="M148" s="7" t="inlineStr">
        <is>
          <t>Carlos Diaz</t>
        </is>
      </c>
    </row>
    <row r="149" ht="15" customHeight="1" s="5">
      <c r="A149" s="7" t="inlineStr">
        <is>
          <t>SP0148</t>
        </is>
      </c>
      <c r="B149" s="7" t="inlineStr">
        <is>
          <t>PRJ026</t>
        </is>
      </c>
      <c r="C149" s="7">
        <f>IFERROR(VLOOKUP(B149,Projects!$A:$AK,2,FALSE()),"")</f>
        <v/>
      </c>
      <c r="D149" s="7" t="n">
        <v>4</v>
      </c>
      <c r="E149" s="7" t="inlineStr">
        <is>
          <t>PRJ026 Sprint 4</t>
        </is>
      </c>
      <c r="F149" s="8">
        <f>IFERROR(VLOOKUP(B149,Projects!$A:$AK,16,FALSE()),"")</f>
        <v/>
      </c>
      <c r="G149" s="8">
        <f>IFERROR(VLOOKUP(B149,Projects!$A:$AK,17,FALSE()),"")</f>
        <v/>
      </c>
      <c r="H149" s="7" t="n">
        <v>45</v>
      </c>
      <c r="I149" s="7" t="n">
        <v>34</v>
      </c>
      <c r="J149" s="7" t="n">
        <v>9</v>
      </c>
      <c r="K149" s="7" t="n">
        <v>6</v>
      </c>
      <c r="L149" s="7" t="inlineStr">
        <is>
          <t>Complete</t>
        </is>
      </c>
      <c r="M149" s="7" t="inlineStr">
        <is>
          <t>Carlos Diaz</t>
        </is>
      </c>
    </row>
    <row r="150" ht="15" customHeight="1" s="5">
      <c r="A150" s="7" t="inlineStr">
        <is>
          <t>SP0149</t>
        </is>
      </c>
      <c r="B150" s="7" t="inlineStr">
        <is>
          <t>PRJ026</t>
        </is>
      </c>
      <c r="C150" s="7">
        <f>IFERROR(VLOOKUP(B150,Projects!$A:$AK,2,FALSE()),"")</f>
        <v/>
      </c>
      <c r="D150" s="7" t="n">
        <v>5</v>
      </c>
      <c r="E150" s="7" t="inlineStr">
        <is>
          <t>PRJ026 Sprint 5</t>
        </is>
      </c>
      <c r="F150" s="8">
        <f>IFERROR(VLOOKUP(B150,Projects!$A:$AK,16,FALSE()),"")</f>
        <v/>
      </c>
      <c r="G150" s="8">
        <f>IFERROR(VLOOKUP(B150,Projects!$A:$AK,17,FALSE()),"")</f>
        <v/>
      </c>
      <c r="H150" s="7" t="n">
        <v>39</v>
      </c>
      <c r="I150" s="7" t="n">
        <v>32</v>
      </c>
      <c r="J150" s="7" t="n">
        <v>7</v>
      </c>
      <c r="K150" s="7" t="n">
        <v>6</v>
      </c>
      <c r="L150" s="7" t="inlineStr">
        <is>
          <t>Complete</t>
        </is>
      </c>
      <c r="M150" s="7" t="inlineStr">
        <is>
          <t>Carlos Diaz</t>
        </is>
      </c>
    </row>
    <row r="151" ht="15" customHeight="1" s="5">
      <c r="A151" s="7" t="inlineStr">
        <is>
          <t>SP0150</t>
        </is>
      </c>
      <c r="B151" s="7" t="inlineStr">
        <is>
          <t>PRJ026</t>
        </is>
      </c>
      <c r="C151" s="7">
        <f>IFERROR(VLOOKUP(B151,Projects!$A:$AK,2,FALSE()),"")</f>
        <v/>
      </c>
      <c r="D151" s="7" t="n">
        <v>6</v>
      </c>
      <c r="E151" s="7" t="inlineStr">
        <is>
          <t>PRJ026 Sprint 6</t>
        </is>
      </c>
      <c r="F151" s="8">
        <f>IFERROR(VLOOKUP(B151,Projects!$A:$AK,16,FALSE()),"")</f>
        <v/>
      </c>
      <c r="G151" s="8">
        <f>IFERROR(VLOOKUP(B151,Projects!$A:$AK,17,FALSE()),"")</f>
        <v/>
      </c>
      <c r="H151" s="7" t="n">
        <v>34</v>
      </c>
      <c r="I151" s="7" t="n">
        <v>36</v>
      </c>
      <c r="J151" s="7" t="n">
        <v>6</v>
      </c>
      <c r="K151" s="7" t="n">
        <v>7</v>
      </c>
      <c r="L151" s="7" t="inlineStr">
        <is>
          <t>Complete</t>
        </is>
      </c>
      <c r="M151" s="7" t="inlineStr">
        <is>
          <t>Carlos Diaz</t>
        </is>
      </c>
    </row>
    <row r="152" ht="15" customHeight="1" s="5">
      <c r="A152" s="7" t="inlineStr">
        <is>
          <t>SP0151</t>
        </is>
      </c>
      <c r="B152" s="7" t="inlineStr">
        <is>
          <t>PRJ026</t>
        </is>
      </c>
      <c r="C152" s="7">
        <f>IFERROR(VLOOKUP(B152,Projects!$A:$AK,2,FALSE()),"")</f>
        <v/>
      </c>
      <c r="D152" s="7" t="n">
        <v>7</v>
      </c>
      <c r="E152" s="7" t="inlineStr">
        <is>
          <t>PRJ026 Sprint 7</t>
        </is>
      </c>
      <c r="F152" s="8">
        <f>IFERROR(VLOOKUP(B152,Projects!$A:$AK,16,FALSE()),"")</f>
        <v/>
      </c>
      <c r="G152" s="8">
        <f>IFERROR(VLOOKUP(B152,Projects!$A:$AK,17,FALSE()),"")</f>
        <v/>
      </c>
      <c r="H152" s="7" t="n">
        <v>32</v>
      </c>
      <c r="I152" s="7" t="n">
        <v>22</v>
      </c>
      <c r="J152" s="7" t="n">
        <v>6</v>
      </c>
      <c r="K152" s="7" t="n">
        <v>4</v>
      </c>
      <c r="L152" s="7" t="inlineStr">
        <is>
          <t>Complete</t>
        </is>
      </c>
      <c r="M152" s="7" t="inlineStr">
        <is>
          <t>Carlos Diaz</t>
        </is>
      </c>
    </row>
    <row r="153" ht="15" customHeight="1" s="5">
      <c r="A153" s="7" t="inlineStr">
        <is>
          <t>SP0152</t>
        </is>
      </c>
      <c r="B153" s="7" t="inlineStr">
        <is>
          <t>PRJ026</t>
        </is>
      </c>
      <c r="C153" s="7">
        <f>IFERROR(VLOOKUP(B153,Projects!$A:$AK,2,FALSE()),"")</f>
        <v/>
      </c>
      <c r="D153" s="7" t="n">
        <v>8</v>
      </c>
      <c r="E153" s="7" t="inlineStr">
        <is>
          <t>PRJ026 Sprint 8</t>
        </is>
      </c>
      <c r="F153" s="8">
        <f>IFERROR(VLOOKUP(B153,Projects!$A:$AK,16,FALSE()),"")</f>
        <v/>
      </c>
      <c r="G153" s="8">
        <f>IFERROR(VLOOKUP(B153,Projects!$A:$AK,17,FALSE()),"")</f>
        <v/>
      </c>
      <c r="H153" s="7" t="n">
        <v>37</v>
      </c>
      <c r="I153" s="7" t="n">
        <v>31</v>
      </c>
      <c r="J153" s="7" t="n">
        <v>7</v>
      </c>
      <c r="K153" s="7" t="n">
        <v>6</v>
      </c>
      <c r="L153" s="7" t="inlineStr">
        <is>
          <t>Complete</t>
        </is>
      </c>
      <c r="M153" s="7" t="inlineStr">
        <is>
          <t>Carlos Diaz</t>
        </is>
      </c>
    </row>
    <row r="154" ht="15" customHeight="1" s="5">
      <c r="A154" s="7" t="inlineStr">
        <is>
          <t>SP0153</t>
        </is>
      </c>
      <c r="B154" s="7" t="inlineStr">
        <is>
          <t>PRJ029</t>
        </is>
      </c>
      <c r="C154" s="7">
        <f>IFERROR(VLOOKUP(B154,Projects!$A:$AK,2,FALSE()),"")</f>
        <v/>
      </c>
      <c r="D154" s="7" t="n">
        <v>1</v>
      </c>
      <c r="E154" s="7" t="inlineStr">
        <is>
          <t>PRJ029 Sprint 1</t>
        </is>
      </c>
      <c r="F154" s="8">
        <f>IFERROR(VLOOKUP(B154,Projects!$A:$AK,16,FALSE()),"")</f>
        <v/>
      </c>
      <c r="G154" s="8">
        <f>IFERROR(VLOOKUP(B154,Projects!$A:$AK,17,FALSE()),"")</f>
        <v/>
      </c>
      <c r="H154" s="7" t="n">
        <v>46</v>
      </c>
      <c r="I154" s="7" t="n">
        <v>39</v>
      </c>
      <c r="J154" s="7" t="n">
        <v>9</v>
      </c>
      <c r="K154" s="7" t="n">
        <v>7</v>
      </c>
      <c r="L154" s="7" t="inlineStr">
        <is>
          <t>Complete</t>
        </is>
      </c>
      <c r="M154" s="7" t="inlineStr">
        <is>
          <t>John Smith</t>
        </is>
      </c>
    </row>
    <row r="155" ht="15" customHeight="1" s="5">
      <c r="A155" s="7" t="inlineStr">
        <is>
          <t>SP0154</t>
        </is>
      </c>
      <c r="B155" s="7" t="inlineStr">
        <is>
          <t>PRJ029</t>
        </is>
      </c>
      <c r="C155" s="7">
        <f>IFERROR(VLOOKUP(B155,Projects!$A:$AK,2,FALSE()),"")</f>
        <v/>
      </c>
      <c r="D155" s="7" t="n">
        <v>2</v>
      </c>
      <c r="E155" s="7" t="inlineStr">
        <is>
          <t>PRJ029 Sprint 2</t>
        </is>
      </c>
      <c r="F155" s="8">
        <f>IFERROR(VLOOKUP(B155,Projects!$A:$AK,16,FALSE()),"")</f>
        <v/>
      </c>
      <c r="G155" s="8">
        <f>IFERROR(VLOOKUP(B155,Projects!$A:$AK,17,FALSE()),"")</f>
        <v/>
      </c>
      <c r="H155" s="7" t="n">
        <v>58</v>
      </c>
      <c r="I155" s="7" t="n">
        <v>62</v>
      </c>
      <c r="J155" s="7" t="n">
        <v>11</v>
      </c>
      <c r="K155" s="7" t="n">
        <v>12</v>
      </c>
      <c r="L155" s="7" t="inlineStr">
        <is>
          <t>Complete</t>
        </is>
      </c>
      <c r="M155" s="7" t="inlineStr">
        <is>
          <t>John Smith</t>
        </is>
      </c>
    </row>
    <row r="156" ht="15" customHeight="1" s="5">
      <c r="A156" s="7" t="inlineStr">
        <is>
          <t>SP0155</t>
        </is>
      </c>
      <c r="B156" s="7" t="inlineStr">
        <is>
          <t>PRJ029</t>
        </is>
      </c>
      <c r="C156" s="7">
        <f>IFERROR(VLOOKUP(B156,Projects!$A:$AK,2,FALSE()),"")</f>
        <v/>
      </c>
      <c r="D156" s="7" t="n">
        <v>3</v>
      </c>
      <c r="E156" s="7" t="inlineStr">
        <is>
          <t>PRJ029 Sprint 3</t>
        </is>
      </c>
      <c r="F156" s="8">
        <f>IFERROR(VLOOKUP(B156,Projects!$A:$AK,16,FALSE()),"")</f>
        <v/>
      </c>
      <c r="G156" s="8">
        <f>IFERROR(VLOOKUP(B156,Projects!$A:$AK,17,FALSE()),"")</f>
        <v/>
      </c>
      <c r="H156" s="7" t="n">
        <v>58</v>
      </c>
      <c r="I156" s="7" t="n">
        <v>56</v>
      </c>
      <c r="J156" s="7" t="n">
        <v>11</v>
      </c>
      <c r="K156" s="7" t="n">
        <v>11</v>
      </c>
      <c r="L156" s="7" t="inlineStr">
        <is>
          <t>Complete</t>
        </is>
      </c>
      <c r="M156" s="7" t="inlineStr">
        <is>
          <t>John Smith</t>
        </is>
      </c>
    </row>
    <row r="157" ht="15" customHeight="1" s="5">
      <c r="A157" s="7" t="inlineStr">
        <is>
          <t>SP0156</t>
        </is>
      </c>
      <c r="B157" s="7" t="inlineStr">
        <is>
          <t>PRJ029</t>
        </is>
      </c>
      <c r="C157" s="7">
        <f>IFERROR(VLOOKUP(B157,Projects!$A:$AK,2,FALSE()),"")</f>
        <v/>
      </c>
      <c r="D157" s="7" t="n">
        <v>4</v>
      </c>
      <c r="E157" s="7" t="inlineStr">
        <is>
          <t>PRJ029 Sprint 4</t>
        </is>
      </c>
      <c r="F157" s="8">
        <f>IFERROR(VLOOKUP(B157,Projects!$A:$AK,16,FALSE()),"")</f>
        <v/>
      </c>
      <c r="G157" s="8">
        <f>IFERROR(VLOOKUP(B157,Projects!$A:$AK,17,FALSE()),"")</f>
        <v/>
      </c>
      <c r="H157" s="7" t="n">
        <v>56</v>
      </c>
      <c r="I157" s="7" t="n">
        <v>48</v>
      </c>
      <c r="J157" s="7" t="n">
        <v>11</v>
      </c>
      <c r="K157" s="7" t="n">
        <v>9</v>
      </c>
      <c r="L157" s="7" t="inlineStr">
        <is>
          <t>Complete</t>
        </is>
      </c>
      <c r="M157" s="7" t="inlineStr">
        <is>
          <t>John Smith</t>
        </is>
      </c>
    </row>
    <row r="158" ht="15" customHeight="1" s="5">
      <c r="A158" s="7" t="inlineStr">
        <is>
          <t>SP0157</t>
        </is>
      </c>
      <c r="B158" s="7" t="inlineStr">
        <is>
          <t>PRJ029</t>
        </is>
      </c>
      <c r="C158" s="7">
        <f>IFERROR(VLOOKUP(B158,Projects!$A:$AK,2,FALSE()),"")</f>
        <v/>
      </c>
      <c r="D158" s="7" t="n">
        <v>5</v>
      </c>
      <c r="E158" s="7" t="inlineStr">
        <is>
          <t>PRJ029 Sprint 5</t>
        </is>
      </c>
      <c r="F158" s="8">
        <f>IFERROR(VLOOKUP(B158,Projects!$A:$AK,16,FALSE()),"")</f>
        <v/>
      </c>
      <c r="G158" s="8">
        <f>IFERROR(VLOOKUP(B158,Projects!$A:$AK,17,FALSE()),"")</f>
        <v/>
      </c>
      <c r="H158" s="7" t="n">
        <v>52</v>
      </c>
      <c r="I158" s="7" t="n">
        <v>49</v>
      </c>
      <c r="J158" s="7" t="n">
        <v>10</v>
      </c>
      <c r="K158" s="7" t="n">
        <v>9</v>
      </c>
      <c r="L158" s="7" t="inlineStr">
        <is>
          <t>Complete</t>
        </is>
      </c>
      <c r="M158" s="7" t="inlineStr">
        <is>
          <t>John Smith</t>
        </is>
      </c>
    </row>
    <row r="159" ht="15" customHeight="1" s="5">
      <c r="A159" s="7" t="inlineStr">
        <is>
          <t>SP0158</t>
        </is>
      </c>
      <c r="B159" s="7" t="inlineStr">
        <is>
          <t>PRJ029</t>
        </is>
      </c>
      <c r="C159" s="7">
        <f>IFERROR(VLOOKUP(B159,Projects!$A:$AK,2,FALSE()),"")</f>
        <v/>
      </c>
      <c r="D159" s="7" t="n">
        <v>6</v>
      </c>
      <c r="E159" s="7" t="inlineStr">
        <is>
          <t>PRJ029 Sprint 6</t>
        </is>
      </c>
      <c r="F159" s="8">
        <f>IFERROR(VLOOKUP(B159,Projects!$A:$AK,16,FALSE()),"")</f>
        <v/>
      </c>
      <c r="G159" s="8">
        <f>IFERROR(VLOOKUP(B159,Projects!$A:$AK,17,FALSE()),"")</f>
        <v/>
      </c>
      <c r="H159" s="7" t="n">
        <v>53</v>
      </c>
      <c r="I159" s="7" t="n">
        <v>54</v>
      </c>
      <c r="J159" s="7" t="n">
        <v>10</v>
      </c>
      <c r="K159" s="7" t="n">
        <v>10</v>
      </c>
      <c r="L159" s="7" t="inlineStr">
        <is>
          <t>Complete</t>
        </is>
      </c>
      <c r="M159" s="7" t="inlineStr">
        <is>
          <t>John Smith</t>
        </is>
      </c>
    </row>
    <row r="160" ht="15" customHeight="1" s="5">
      <c r="A160" s="7" t="inlineStr">
        <is>
          <t>SP0159</t>
        </is>
      </c>
      <c r="B160" s="7" t="inlineStr">
        <is>
          <t>PRJ029</t>
        </is>
      </c>
      <c r="C160" s="7">
        <f>IFERROR(VLOOKUP(B160,Projects!$A:$AK,2,FALSE()),"")</f>
        <v/>
      </c>
      <c r="D160" s="7" t="n">
        <v>7</v>
      </c>
      <c r="E160" s="7" t="inlineStr">
        <is>
          <t>PRJ029 Sprint 7</t>
        </is>
      </c>
      <c r="F160" s="8">
        <f>IFERROR(VLOOKUP(B160,Projects!$A:$AK,16,FALSE()),"")</f>
        <v/>
      </c>
      <c r="G160" s="8">
        <f>IFERROR(VLOOKUP(B160,Projects!$A:$AK,17,FALSE()),"")</f>
        <v/>
      </c>
      <c r="H160" s="7" t="n">
        <v>43</v>
      </c>
      <c r="I160" s="7" t="n">
        <v>43</v>
      </c>
      <c r="J160" s="7" t="n">
        <v>8</v>
      </c>
      <c r="K160" s="7" t="n">
        <v>8</v>
      </c>
      <c r="L160" s="7" t="inlineStr">
        <is>
          <t>Complete</t>
        </is>
      </c>
      <c r="M160" s="7" t="inlineStr">
        <is>
          <t>John Smith</t>
        </is>
      </c>
    </row>
    <row r="161" ht="15" customHeight="1" s="5">
      <c r="A161" s="7" t="inlineStr">
        <is>
          <t>SP0160</t>
        </is>
      </c>
      <c r="B161" s="7" t="inlineStr">
        <is>
          <t>PRJ029</t>
        </is>
      </c>
      <c r="C161" s="7">
        <f>IFERROR(VLOOKUP(B161,Projects!$A:$AK,2,FALSE()),"")</f>
        <v/>
      </c>
      <c r="D161" s="7" t="n">
        <v>8</v>
      </c>
      <c r="E161" s="7" t="inlineStr">
        <is>
          <t>PRJ029 Sprint 8</t>
        </is>
      </c>
      <c r="F161" s="8">
        <f>IFERROR(VLOOKUP(B161,Projects!$A:$AK,16,FALSE()),"")</f>
        <v/>
      </c>
      <c r="G161" s="8">
        <f>IFERROR(VLOOKUP(B161,Projects!$A:$AK,17,FALSE()),"")</f>
        <v/>
      </c>
      <c r="H161" s="7" t="n">
        <v>49</v>
      </c>
      <c r="I161" s="7" t="n">
        <v>43</v>
      </c>
      <c r="J161" s="7" t="n">
        <v>9</v>
      </c>
      <c r="K161" s="7" t="n">
        <v>8</v>
      </c>
      <c r="L161" s="7" t="inlineStr">
        <is>
          <t>Complete</t>
        </is>
      </c>
      <c r="M161" s="7" t="inlineStr">
        <is>
          <t>John Smith</t>
        </is>
      </c>
    </row>
    <row r="162" ht="15" customHeight="1" s="5">
      <c r="A162" s="7" t="inlineStr">
        <is>
          <t>SP0161</t>
        </is>
      </c>
      <c r="B162" s="7" t="inlineStr">
        <is>
          <t>PRJ032</t>
        </is>
      </c>
      <c r="C162" s="7">
        <f>IFERROR(VLOOKUP(B162,Projects!$A:$AK,2,FALSE()),"")</f>
        <v/>
      </c>
      <c r="D162" s="7" t="n">
        <v>1</v>
      </c>
      <c r="E162" s="7" t="inlineStr">
        <is>
          <t>PRJ032 Sprint 1</t>
        </is>
      </c>
      <c r="F162" s="8">
        <f>IFERROR(VLOOKUP(B162,Projects!$A:$AK,16,FALSE()),"")</f>
        <v/>
      </c>
      <c r="G162" s="8">
        <f>IFERROR(VLOOKUP(B162,Projects!$A:$AK,17,FALSE()),"")</f>
        <v/>
      </c>
      <c r="H162" s="7" t="n">
        <v>38</v>
      </c>
      <c r="I162" s="7" t="n">
        <v>30</v>
      </c>
      <c r="J162" s="7" t="n">
        <v>7</v>
      </c>
      <c r="K162" s="7" t="n">
        <v>6</v>
      </c>
      <c r="L162" s="7" t="inlineStr">
        <is>
          <t>Complete</t>
        </is>
      </c>
      <c r="M162" s="7" t="inlineStr">
        <is>
          <t>Carlos Diaz</t>
        </is>
      </c>
    </row>
    <row r="163" ht="15" customHeight="1" s="5">
      <c r="A163" s="7" t="inlineStr">
        <is>
          <t>SP0162</t>
        </is>
      </c>
      <c r="B163" s="7" t="inlineStr">
        <is>
          <t>PRJ032</t>
        </is>
      </c>
      <c r="C163" s="7">
        <f>IFERROR(VLOOKUP(B163,Projects!$A:$AK,2,FALSE()),"")</f>
        <v/>
      </c>
      <c r="D163" s="7" t="n">
        <v>2</v>
      </c>
      <c r="E163" s="7" t="inlineStr">
        <is>
          <t>PRJ032 Sprint 2</t>
        </is>
      </c>
      <c r="F163" s="8">
        <f>IFERROR(VLOOKUP(B163,Projects!$A:$AK,16,FALSE()),"")</f>
        <v/>
      </c>
      <c r="G163" s="8">
        <f>IFERROR(VLOOKUP(B163,Projects!$A:$AK,17,FALSE()),"")</f>
        <v/>
      </c>
      <c r="H163" s="7" t="n">
        <v>54</v>
      </c>
      <c r="I163" s="7" t="n">
        <v>57</v>
      </c>
      <c r="J163" s="7" t="n">
        <v>10</v>
      </c>
      <c r="K163" s="7" t="n">
        <v>11</v>
      </c>
      <c r="L163" s="7" t="inlineStr">
        <is>
          <t>Complete</t>
        </is>
      </c>
      <c r="M163" s="7" t="inlineStr">
        <is>
          <t>Carlos Diaz</t>
        </is>
      </c>
    </row>
    <row r="164" ht="15" customHeight="1" s="5">
      <c r="A164" s="7" t="inlineStr">
        <is>
          <t>SP0163</t>
        </is>
      </c>
      <c r="B164" s="7" t="inlineStr">
        <is>
          <t>PRJ032</t>
        </is>
      </c>
      <c r="C164" s="7">
        <f>IFERROR(VLOOKUP(B164,Projects!$A:$AK,2,FALSE()),"")</f>
        <v/>
      </c>
      <c r="D164" s="7" t="n">
        <v>3</v>
      </c>
      <c r="E164" s="7" t="inlineStr">
        <is>
          <t>PRJ032 Sprint 3</t>
        </is>
      </c>
      <c r="F164" s="8">
        <f>IFERROR(VLOOKUP(B164,Projects!$A:$AK,16,FALSE()),"")</f>
        <v/>
      </c>
      <c r="G164" s="8">
        <f>IFERROR(VLOOKUP(B164,Projects!$A:$AK,17,FALSE()),"")</f>
        <v/>
      </c>
      <c r="H164" s="7" t="n">
        <v>39</v>
      </c>
      <c r="I164" s="7" t="n">
        <v>27</v>
      </c>
      <c r="J164" s="7" t="n">
        <v>7</v>
      </c>
      <c r="K164" s="7" t="n">
        <v>5</v>
      </c>
      <c r="L164" s="7" t="inlineStr">
        <is>
          <t>Complete</t>
        </is>
      </c>
      <c r="M164" s="7" t="inlineStr">
        <is>
          <t>Carlos Diaz</t>
        </is>
      </c>
    </row>
    <row r="165" ht="15" customHeight="1" s="5">
      <c r="A165" s="7" t="inlineStr">
        <is>
          <t>SP0164</t>
        </is>
      </c>
      <c r="B165" s="7" t="inlineStr">
        <is>
          <t>PRJ032</t>
        </is>
      </c>
      <c r="C165" s="7">
        <f>IFERROR(VLOOKUP(B165,Projects!$A:$AK,2,FALSE()),"")</f>
        <v/>
      </c>
      <c r="D165" s="7" t="n">
        <v>4</v>
      </c>
      <c r="E165" s="7" t="inlineStr">
        <is>
          <t>PRJ032 Sprint 4</t>
        </is>
      </c>
      <c r="F165" s="8">
        <f>IFERROR(VLOOKUP(B165,Projects!$A:$AK,16,FALSE()),"")</f>
        <v/>
      </c>
      <c r="G165" s="8">
        <f>IFERROR(VLOOKUP(B165,Projects!$A:$AK,17,FALSE()),"")</f>
        <v/>
      </c>
      <c r="H165" s="7" t="n">
        <v>40</v>
      </c>
      <c r="I165" s="7" t="n">
        <v>37</v>
      </c>
      <c r="J165" s="7" t="n">
        <v>8</v>
      </c>
      <c r="K165" s="7" t="n">
        <v>7</v>
      </c>
      <c r="L165" s="7" t="inlineStr">
        <is>
          <t>Complete</t>
        </is>
      </c>
      <c r="M165" s="7" t="inlineStr">
        <is>
          <t>Carlos Diaz</t>
        </is>
      </c>
    </row>
    <row r="166" ht="15" customHeight="1" s="5">
      <c r="A166" s="7" t="inlineStr">
        <is>
          <t>SP0165</t>
        </is>
      </c>
      <c r="B166" s="7" t="inlineStr">
        <is>
          <t>PRJ032</t>
        </is>
      </c>
      <c r="C166" s="7">
        <f>IFERROR(VLOOKUP(B166,Projects!$A:$AK,2,FALSE()),"")</f>
        <v/>
      </c>
      <c r="D166" s="7" t="n">
        <v>5</v>
      </c>
      <c r="E166" s="7" t="inlineStr">
        <is>
          <t>PRJ032 Sprint 5</t>
        </is>
      </c>
      <c r="F166" s="8">
        <f>IFERROR(VLOOKUP(B166,Projects!$A:$AK,16,FALSE()),"")</f>
        <v/>
      </c>
      <c r="G166" s="8">
        <f>IFERROR(VLOOKUP(B166,Projects!$A:$AK,17,FALSE()),"")</f>
        <v/>
      </c>
      <c r="H166" s="7" t="n">
        <v>53</v>
      </c>
      <c r="I166" s="7" t="n">
        <v>43</v>
      </c>
      <c r="J166" s="7" t="n">
        <v>10</v>
      </c>
      <c r="K166" s="7" t="n">
        <v>8</v>
      </c>
      <c r="L166" s="7" t="inlineStr">
        <is>
          <t>Complete</t>
        </is>
      </c>
      <c r="M166" s="7" t="inlineStr">
        <is>
          <t>Carlos Diaz</t>
        </is>
      </c>
    </row>
    <row r="167" ht="15" customHeight="1" s="5">
      <c r="A167" s="7" t="inlineStr">
        <is>
          <t>SP0166</t>
        </is>
      </c>
      <c r="B167" s="7" t="inlineStr">
        <is>
          <t>PRJ032</t>
        </is>
      </c>
      <c r="C167" s="7">
        <f>IFERROR(VLOOKUP(B167,Projects!$A:$AK,2,FALSE()),"")</f>
        <v/>
      </c>
      <c r="D167" s="7" t="n">
        <v>6</v>
      </c>
      <c r="E167" s="7" t="inlineStr">
        <is>
          <t>PRJ032 Sprint 6</t>
        </is>
      </c>
      <c r="F167" s="8">
        <f>IFERROR(VLOOKUP(B167,Projects!$A:$AK,16,FALSE()),"")</f>
        <v/>
      </c>
      <c r="G167" s="8">
        <f>IFERROR(VLOOKUP(B167,Projects!$A:$AK,17,FALSE()),"")</f>
        <v/>
      </c>
      <c r="H167" s="7" t="n">
        <v>51</v>
      </c>
      <c r="I167" s="7" t="n">
        <v>42</v>
      </c>
      <c r="J167" s="7" t="n">
        <v>10</v>
      </c>
      <c r="K167" s="7" t="n">
        <v>8</v>
      </c>
      <c r="L167" s="7" t="inlineStr">
        <is>
          <t>Complete</t>
        </is>
      </c>
      <c r="M167" s="7" t="inlineStr">
        <is>
          <t>Carlos Diaz</t>
        </is>
      </c>
    </row>
    <row r="168" ht="15" customHeight="1" s="5">
      <c r="A168" s="7" t="inlineStr">
        <is>
          <t>SP0167</t>
        </is>
      </c>
      <c r="B168" s="7" t="inlineStr">
        <is>
          <t>PRJ032</t>
        </is>
      </c>
      <c r="C168" s="7">
        <f>IFERROR(VLOOKUP(B168,Projects!$A:$AK,2,FALSE()),"")</f>
        <v/>
      </c>
      <c r="D168" s="7" t="n">
        <v>7</v>
      </c>
      <c r="E168" s="7" t="inlineStr">
        <is>
          <t>PRJ032 Sprint 7</t>
        </is>
      </c>
      <c r="F168" s="8">
        <f>IFERROR(VLOOKUP(B168,Projects!$A:$AK,16,FALSE()),"")</f>
        <v/>
      </c>
      <c r="G168" s="8">
        <f>IFERROR(VLOOKUP(B168,Projects!$A:$AK,17,FALSE()),"")</f>
        <v/>
      </c>
      <c r="H168" s="7" t="n">
        <v>50</v>
      </c>
      <c r="I168" s="7" t="n">
        <v>48</v>
      </c>
      <c r="J168" s="7" t="n">
        <v>10</v>
      </c>
      <c r="K168" s="7" t="n">
        <v>9</v>
      </c>
      <c r="L168" s="7" t="inlineStr">
        <is>
          <t>Complete</t>
        </is>
      </c>
      <c r="M168" s="7" t="inlineStr">
        <is>
          <t>Carlos Diaz</t>
        </is>
      </c>
    </row>
    <row r="169" ht="15" customHeight="1" s="5">
      <c r="A169" s="7" t="inlineStr">
        <is>
          <t>SP0168</t>
        </is>
      </c>
      <c r="B169" s="7" t="inlineStr">
        <is>
          <t>PRJ032</t>
        </is>
      </c>
      <c r="C169" s="7">
        <f>IFERROR(VLOOKUP(B169,Projects!$A:$AK,2,FALSE()),"")</f>
        <v/>
      </c>
      <c r="D169" s="7" t="n">
        <v>8</v>
      </c>
      <c r="E169" s="7" t="inlineStr">
        <is>
          <t>PRJ032 Sprint 8</t>
        </is>
      </c>
      <c r="F169" s="8">
        <f>IFERROR(VLOOKUP(B169,Projects!$A:$AK,16,FALSE()),"")</f>
        <v/>
      </c>
      <c r="G169" s="8">
        <f>IFERROR(VLOOKUP(B169,Projects!$A:$AK,17,FALSE()),"")</f>
        <v/>
      </c>
      <c r="H169" s="7" t="n">
        <v>41</v>
      </c>
      <c r="I169" s="7" t="n">
        <v>38</v>
      </c>
      <c r="J169" s="7" t="n">
        <v>8</v>
      </c>
      <c r="K169" s="7" t="n">
        <v>7</v>
      </c>
      <c r="L169" s="7" t="inlineStr">
        <is>
          <t>Complete</t>
        </is>
      </c>
      <c r="M169" s="7" t="inlineStr">
        <is>
          <t>Carlos Diaz</t>
        </is>
      </c>
    </row>
    <row r="170" ht="15" customHeight="1" s="5">
      <c r="A170" s="7" t="inlineStr">
        <is>
          <t>SP0169</t>
        </is>
      </c>
      <c r="B170" s="7" t="inlineStr">
        <is>
          <t>PRJ033</t>
        </is>
      </c>
      <c r="C170" s="7">
        <f>IFERROR(VLOOKUP(B170,Projects!$A:$AK,2,FALSE()),"")</f>
        <v/>
      </c>
      <c r="D170" s="7" t="n">
        <v>1</v>
      </c>
      <c r="E170" s="7" t="inlineStr">
        <is>
          <t>PRJ033 Sprint 1</t>
        </is>
      </c>
      <c r="F170" s="8">
        <f>IFERROR(VLOOKUP(B170,Projects!$A:$AK,16,FALSE()),"")</f>
        <v/>
      </c>
      <c r="G170" s="8">
        <f>IFERROR(VLOOKUP(B170,Projects!$A:$AK,17,FALSE()),"")</f>
        <v/>
      </c>
      <c r="H170" s="7" t="n">
        <v>24</v>
      </c>
      <c r="I170" s="7" t="n">
        <v>20</v>
      </c>
      <c r="J170" s="7" t="n">
        <v>4</v>
      </c>
      <c r="K170" s="7" t="n">
        <v>4</v>
      </c>
      <c r="L170" s="7" t="inlineStr">
        <is>
          <t>Complete</t>
        </is>
      </c>
      <c r="M170" s="7" t="inlineStr">
        <is>
          <t>Priya Patel</t>
        </is>
      </c>
    </row>
    <row r="171" ht="15" customHeight="1" s="5">
      <c r="A171" s="7" t="inlineStr">
        <is>
          <t>SP0170</t>
        </is>
      </c>
      <c r="B171" s="7" t="inlineStr">
        <is>
          <t>PRJ033</t>
        </is>
      </c>
      <c r="C171" s="7">
        <f>IFERROR(VLOOKUP(B171,Projects!$A:$AK,2,FALSE()),"")</f>
        <v/>
      </c>
      <c r="D171" s="7" t="n">
        <v>2</v>
      </c>
      <c r="E171" s="7" t="inlineStr">
        <is>
          <t>PRJ033 Sprint 2</t>
        </is>
      </c>
      <c r="F171" s="8">
        <f>IFERROR(VLOOKUP(B171,Projects!$A:$AK,16,FALSE()),"")</f>
        <v/>
      </c>
      <c r="G171" s="8">
        <f>IFERROR(VLOOKUP(B171,Projects!$A:$AK,17,FALSE()),"")</f>
        <v/>
      </c>
      <c r="H171" s="7" t="n">
        <v>40</v>
      </c>
      <c r="I171" s="7" t="n">
        <v>39</v>
      </c>
      <c r="J171" s="7" t="n">
        <v>8</v>
      </c>
      <c r="K171" s="7" t="n">
        <v>7</v>
      </c>
      <c r="L171" s="7" t="inlineStr">
        <is>
          <t>Complete</t>
        </is>
      </c>
      <c r="M171" s="7" t="inlineStr">
        <is>
          <t>Priya Patel</t>
        </is>
      </c>
    </row>
    <row r="172" ht="15" customHeight="1" s="5">
      <c r="A172" s="7" t="inlineStr">
        <is>
          <t>SP0171</t>
        </is>
      </c>
      <c r="B172" s="7" t="inlineStr">
        <is>
          <t>PRJ033</t>
        </is>
      </c>
      <c r="C172" s="7">
        <f>IFERROR(VLOOKUP(B172,Projects!$A:$AK,2,FALSE()),"")</f>
        <v/>
      </c>
      <c r="D172" s="7" t="n">
        <v>3</v>
      </c>
      <c r="E172" s="7" t="inlineStr">
        <is>
          <t>PRJ033 Sprint 3</t>
        </is>
      </c>
      <c r="F172" s="8">
        <f>IFERROR(VLOOKUP(B172,Projects!$A:$AK,16,FALSE()),"")</f>
        <v/>
      </c>
      <c r="G172" s="8">
        <f>IFERROR(VLOOKUP(B172,Projects!$A:$AK,17,FALSE()),"")</f>
        <v/>
      </c>
      <c r="H172" s="7" t="n">
        <v>33</v>
      </c>
      <c r="I172" s="7" t="n">
        <v>23</v>
      </c>
      <c r="J172" s="7" t="n">
        <v>6</v>
      </c>
      <c r="K172" s="7" t="n">
        <v>4</v>
      </c>
      <c r="L172" s="7" t="inlineStr">
        <is>
          <t>Complete</t>
        </is>
      </c>
      <c r="M172" s="7" t="inlineStr">
        <is>
          <t>Priya Patel</t>
        </is>
      </c>
    </row>
    <row r="173" ht="15" customHeight="1" s="5">
      <c r="A173" s="7" t="inlineStr">
        <is>
          <t>SP0172</t>
        </is>
      </c>
      <c r="B173" s="7" t="inlineStr">
        <is>
          <t>PRJ033</t>
        </is>
      </c>
      <c r="C173" s="7">
        <f>IFERROR(VLOOKUP(B173,Projects!$A:$AK,2,FALSE()),"")</f>
        <v/>
      </c>
      <c r="D173" s="7" t="n">
        <v>4</v>
      </c>
      <c r="E173" s="7" t="inlineStr">
        <is>
          <t>PRJ033 Sprint 4</t>
        </is>
      </c>
      <c r="F173" s="8">
        <f>IFERROR(VLOOKUP(B173,Projects!$A:$AK,16,FALSE()),"")</f>
        <v/>
      </c>
      <c r="G173" s="8">
        <f>IFERROR(VLOOKUP(B173,Projects!$A:$AK,17,FALSE()),"")</f>
        <v/>
      </c>
      <c r="H173" s="7" t="n">
        <v>24</v>
      </c>
      <c r="I173" s="7" t="n">
        <v>17</v>
      </c>
      <c r="J173" s="7" t="n">
        <v>4</v>
      </c>
      <c r="K173" s="7" t="n">
        <v>3</v>
      </c>
      <c r="L173" s="7" t="inlineStr">
        <is>
          <t>Complete</t>
        </is>
      </c>
      <c r="M173" s="7" t="inlineStr">
        <is>
          <t>Priya Patel</t>
        </is>
      </c>
    </row>
    <row r="174" ht="15" customHeight="1" s="5">
      <c r="A174" s="7" t="inlineStr">
        <is>
          <t>SP0173</t>
        </is>
      </c>
      <c r="B174" s="7" t="inlineStr">
        <is>
          <t>PRJ033</t>
        </is>
      </c>
      <c r="C174" s="7">
        <f>IFERROR(VLOOKUP(B174,Projects!$A:$AK,2,FALSE()),"")</f>
        <v/>
      </c>
      <c r="D174" s="7" t="n">
        <v>5</v>
      </c>
      <c r="E174" s="7" t="inlineStr">
        <is>
          <t>PRJ033 Sprint 5</t>
        </is>
      </c>
      <c r="F174" s="8">
        <f>IFERROR(VLOOKUP(B174,Projects!$A:$AK,16,FALSE()),"")</f>
        <v/>
      </c>
      <c r="G174" s="8">
        <f>IFERROR(VLOOKUP(B174,Projects!$A:$AK,17,FALSE()),"")</f>
        <v/>
      </c>
      <c r="H174" s="7" t="n">
        <v>36</v>
      </c>
      <c r="I174" s="7" t="n">
        <v>32</v>
      </c>
      <c r="J174" s="7" t="n">
        <v>7</v>
      </c>
      <c r="K174" s="7" t="n">
        <v>6</v>
      </c>
      <c r="L174" s="7" t="inlineStr">
        <is>
          <t>Complete</t>
        </is>
      </c>
      <c r="M174" s="7" t="inlineStr">
        <is>
          <t>Priya Patel</t>
        </is>
      </c>
    </row>
    <row r="175" ht="15" customHeight="1" s="5">
      <c r="A175" s="7" t="inlineStr">
        <is>
          <t>SP0174</t>
        </is>
      </c>
      <c r="B175" s="7" t="inlineStr">
        <is>
          <t>PRJ033</t>
        </is>
      </c>
      <c r="C175" s="7">
        <f>IFERROR(VLOOKUP(B175,Projects!$A:$AK,2,FALSE()),"")</f>
        <v/>
      </c>
      <c r="D175" s="7" t="n">
        <v>6</v>
      </c>
      <c r="E175" s="7" t="inlineStr">
        <is>
          <t>PRJ033 Sprint 6</t>
        </is>
      </c>
      <c r="F175" s="8">
        <f>IFERROR(VLOOKUP(B175,Projects!$A:$AK,16,FALSE()),"")</f>
        <v/>
      </c>
      <c r="G175" s="8">
        <f>IFERROR(VLOOKUP(B175,Projects!$A:$AK,17,FALSE()),"")</f>
        <v/>
      </c>
      <c r="H175" s="7" t="n">
        <v>37</v>
      </c>
      <c r="I175" s="7" t="n">
        <v>33</v>
      </c>
      <c r="J175" s="7" t="n">
        <v>7</v>
      </c>
      <c r="K175" s="7" t="n">
        <v>6</v>
      </c>
      <c r="L175" s="7" t="inlineStr">
        <is>
          <t>Complete</t>
        </is>
      </c>
      <c r="M175" s="7" t="inlineStr">
        <is>
          <t>Priya Patel</t>
        </is>
      </c>
    </row>
    <row r="176" ht="15" customHeight="1" s="5">
      <c r="A176" s="7" t="inlineStr">
        <is>
          <t>SP0175</t>
        </is>
      </c>
      <c r="B176" s="7" t="inlineStr">
        <is>
          <t>PRJ033</t>
        </is>
      </c>
      <c r="C176" s="7">
        <f>IFERROR(VLOOKUP(B176,Projects!$A:$AK,2,FALSE()),"")</f>
        <v/>
      </c>
      <c r="D176" s="7" t="n">
        <v>7</v>
      </c>
      <c r="E176" s="7" t="inlineStr">
        <is>
          <t>PRJ033 Sprint 7</t>
        </is>
      </c>
      <c r="F176" s="8">
        <f>IFERROR(VLOOKUP(B176,Projects!$A:$AK,16,FALSE()),"")</f>
        <v/>
      </c>
      <c r="G176" s="8">
        <f>IFERROR(VLOOKUP(B176,Projects!$A:$AK,17,FALSE()),"")</f>
        <v/>
      </c>
      <c r="H176" s="7" t="n">
        <v>36</v>
      </c>
      <c r="I176" s="7" t="n">
        <v>28</v>
      </c>
      <c r="J176" s="7" t="n">
        <v>7</v>
      </c>
      <c r="K176" s="7" t="n">
        <v>5</v>
      </c>
      <c r="L176" s="7" t="inlineStr">
        <is>
          <t>Complete</t>
        </is>
      </c>
      <c r="M176" s="7" t="inlineStr">
        <is>
          <t>Priya Patel</t>
        </is>
      </c>
    </row>
    <row r="177" ht="15" customHeight="1" s="5">
      <c r="A177" s="7" t="inlineStr">
        <is>
          <t>SP0176</t>
        </is>
      </c>
      <c r="B177" s="7" t="inlineStr">
        <is>
          <t>PRJ033</t>
        </is>
      </c>
      <c r="C177" s="7">
        <f>IFERROR(VLOOKUP(B177,Projects!$A:$AK,2,FALSE()),"")</f>
        <v/>
      </c>
      <c r="D177" s="7" t="n">
        <v>8</v>
      </c>
      <c r="E177" s="7" t="inlineStr">
        <is>
          <t>PRJ033 Sprint 8</t>
        </is>
      </c>
      <c r="F177" s="8">
        <f>IFERROR(VLOOKUP(B177,Projects!$A:$AK,16,FALSE()),"")</f>
        <v/>
      </c>
      <c r="G177" s="8">
        <f>IFERROR(VLOOKUP(B177,Projects!$A:$AK,17,FALSE()),"")</f>
        <v/>
      </c>
      <c r="H177" s="7" t="n">
        <v>25</v>
      </c>
      <c r="I177" s="7" t="n">
        <v>28</v>
      </c>
      <c r="J177" s="7" t="n">
        <v>5</v>
      </c>
      <c r="K177" s="7" t="n">
        <v>5</v>
      </c>
      <c r="L177" s="7" t="inlineStr">
        <is>
          <t>Complete</t>
        </is>
      </c>
      <c r="M177" s="7" t="inlineStr">
        <is>
          <t>Priya Patel</t>
        </is>
      </c>
    </row>
    <row r="178" ht="15" customHeight="1" s="5">
      <c r="A178" s="7" t="inlineStr">
        <is>
          <t>SP0177</t>
        </is>
      </c>
      <c r="B178" s="7" t="inlineStr">
        <is>
          <t>PRJ034</t>
        </is>
      </c>
      <c r="C178" s="7">
        <f>IFERROR(VLOOKUP(B178,Projects!$A:$AK,2,FALSE()),"")</f>
        <v/>
      </c>
      <c r="D178" s="7" t="n">
        <v>1</v>
      </c>
      <c r="E178" s="7" t="inlineStr">
        <is>
          <t>PRJ034 Sprint 1</t>
        </is>
      </c>
      <c r="F178" s="8">
        <f>IFERROR(VLOOKUP(B178,Projects!$A:$AK,16,FALSE()),"")</f>
        <v/>
      </c>
      <c r="G178" s="8">
        <f>IFERROR(VLOOKUP(B178,Projects!$A:$AK,17,FALSE()),"")</f>
        <v/>
      </c>
      <c r="H178" s="7" t="n">
        <v>29</v>
      </c>
      <c r="I178" s="7" t="n">
        <v>26</v>
      </c>
      <c r="J178" s="7" t="n">
        <v>5</v>
      </c>
      <c r="K178" s="7" t="n">
        <v>5</v>
      </c>
      <c r="L178" s="7" t="inlineStr">
        <is>
          <t>Complete</t>
        </is>
      </c>
      <c r="M178" s="7" t="inlineStr">
        <is>
          <t>Jane Doe</t>
        </is>
      </c>
    </row>
    <row r="179" ht="15" customHeight="1" s="5">
      <c r="A179" s="7" t="inlineStr">
        <is>
          <t>SP0178</t>
        </is>
      </c>
      <c r="B179" s="7" t="inlineStr">
        <is>
          <t>PRJ034</t>
        </is>
      </c>
      <c r="C179" s="7">
        <f>IFERROR(VLOOKUP(B179,Projects!$A:$AK,2,FALSE()),"")</f>
        <v/>
      </c>
      <c r="D179" s="7" t="n">
        <v>2</v>
      </c>
      <c r="E179" s="7" t="inlineStr">
        <is>
          <t>PRJ034 Sprint 2</t>
        </is>
      </c>
      <c r="F179" s="8">
        <f>IFERROR(VLOOKUP(B179,Projects!$A:$AK,16,FALSE()),"")</f>
        <v/>
      </c>
      <c r="G179" s="8">
        <f>IFERROR(VLOOKUP(B179,Projects!$A:$AK,17,FALSE()),"")</f>
        <v/>
      </c>
      <c r="H179" s="7" t="n">
        <v>30</v>
      </c>
      <c r="I179" s="7" t="n">
        <v>31</v>
      </c>
      <c r="J179" s="7" t="n">
        <v>6</v>
      </c>
      <c r="K179" s="7" t="n">
        <v>6</v>
      </c>
      <c r="L179" s="7" t="inlineStr">
        <is>
          <t>Complete</t>
        </is>
      </c>
      <c r="M179" s="7" t="inlineStr">
        <is>
          <t>Jane Doe</t>
        </is>
      </c>
    </row>
    <row r="180" ht="15" customHeight="1" s="5">
      <c r="A180" s="7" t="inlineStr">
        <is>
          <t>SP0179</t>
        </is>
      </c>
      <c r="B180" s="7" t="inlineStr">
        <is>
          <t>PRJ034</t>
        </is>
      </c>
      <c r="C180" s="7">
        <f>IFERROR(VLOOKUP(B180,Projects!$A:$AK,2,FALSE()),"")</f>
        <v/>
      </c>
      <c r="D180" s="7" t="n">
        <v>3</v>
      </c>
      <c r="E180" s="7" t="inlineStr">
        <is>
          <t>PRJ034 Sprint 3</t>
        </is>
      </c>
      <c r="F180" s="8">
        <f>IFERROR(VLOOKUP(B180,Projects!$A:$AK,16,FALSE()),"")</f>
        <v/>
      </c>
      <c r="G180" s="8">
        <f>IFERROR(VLOOKUP(B180,Projects!$A:$AK,17,FALSE()),"")</f>
        <v/>
      </c>
      <c r="H180" s="7" t="n">
        <v>22</v>
      </c>
      <c r="I180" s="7" t="n">
        <v>24</v>
      </c>
      <c r="J180" s="7" t="n">
        <v>4</v>
      </c>
      <c r="K180" s="7" t="n">
        <v>4</v>
      </c>
      <c r="L180" s="7" t="inlineStr">
        <is>
          <t>Complete</t>
        </is>
      </c>
      <c r="M180" s="7" t="inlineStr">
        <is>
          <t>Jane Doe</t>
        </is>
      </c>
    </row>
    <row r="181" ht="15" customHeight="1" s="5">
      <c r="A181" s="7" t="inlineStr">
        <is>
          <t>SP0180</t>
        </is>
      </c>
      <c r="B181" s="7" t="inlineStr">
        <is>
          <t>PRJ034</t>
        </is>
      </c>
      <c r="C181" s="7">
        <f>IFERROR(VLOOKUP(B181,Projects!$A:$AK,2,FALSE()),"")</f>
        <v/>
      </c>
      <c r="D181" s="7" t="n">
        <v>4</v>
      </c>
      <c r="E181" s="7" t="inlineStr">
        <is>
          <t>PRJ034 Sprint 4</t>
        </is>
      </c>
      <c r="F181" s="8">
        <f>IFERROR(VLOOKUP(B181,Projects!$A:$AK,16,FALSE()),"")</f>
        <v/>
      </c>
      <c r="G181" s="8">
        <f>IFERROR(VLOOKUP(B181,Projects!$A:$AK,17,FALSE()),"")</f>
        <v/>
      </c>
      <c r="H181" s="7" t="n">
        <v>29</v>
      </c>
      <c r="I181" s="7" t="n">
        <v>33</v>
      </c>
      <c r="J181" s="7" t="n">
        <v>5</v>
      </c>
      <c r="K181" s="7" t="n">
        <v>6</v>
      </c>
      <c r="L181" s="7" t="inlineStr">
        <is>
          <t>Complete</t>
        </is>
      </c>
      <c r="M181" s="7" t="inlineStr">
        <is>
          <t>Jane Doe</t>
        </is>
      </c>
    </row>
    <row r="182" ht="15" customHeight="1" s="5">
      <c r="A182" s="7" t="inlineStr">
        <is>
          <t>SP0181</t>
        </is>
      </c>
      <c r="B182" s="7" t="inlineStr">
        <is>
          <t>PRJ034</t>
        </is>
      </c>
      <c r="C182" s="7">
        <f>IFERROR(VLOOKUP(B182,Projects!$A:$AK,2,FALSE()),"")</f>
        <v/>
      </c>
      <c r="D182" s="7" t="n">
        <v>5</v>
      </c>
      <c r="E182" s="7" t="inlineStr">
        <is>
          <t>PRJ034 Sprint 5</t>
        </is>
      </c>
      <c r="F182" s="8">
        <f>IFERROR(VLOOKUP(B182,Projects!$A:$AK,16,FALSE()),"")</f>
        <v/>
      </c>
      <c r="G182" s="8">
        <f>IFERROR(VLOOKUP(B182,Projects!$A:$AK,17,FALSE()),"")</f>
        <v/>
      </c>
      <c r="H182" s="7" t="n">
        <v>28</v>
      </c>
      <c r="I182" s="7" t="n">
        <v>27</v>
      </c>
      <c r="J182" s="7" t="n">
        <v>5</v>
      </c>
      <c r="K182" s="7" t="n">
        <v>5</v>
      </c>
      <c r="L182" s="7" t="inlineStr">
        <is>
          <t>Complete</t>
        </is>
      </c>
      <c r="M182" s="7" t="inlineStr">
        <is>
          <t>Jane Doe</t>
        </is>
      </c>
    </row>
    <row r="183" ht="15" customHeight="1" s="5">
      <c r="A183" s="7" t="inlineStr">
        <is>
          <t>SP0182</t>
        </is>
      </c>
      <c r="B183" s="7" t="inlineStr">
        <is>
          <t>PRJ034</t>
        </is>
      </c>
      <c r="C183" s="7">
        <f>IFERROR(VLOOKUP(B183,Projects!$A:$AK,2,FALSE()),"")</f>
        <v/>
      </c>
      <c r="D183" s="7" t="n">
        <v>6</v>
      </c>
      <c r="E183" s="7" t="inlineStr">
        <is>
          <t>PRJ034 Sprint 6</t>
        </is>
      </c>
      <c r="F183" s="8">
        <f>IFERROR(VLOOKUP(B183,Projects!$A:$AK,16,FALSE()),"")</f>
        <v/>
      </c>
      <c r="G183" s="8">
        <f>IFERROR(VLOOKUP(B183,Projects!$A:$AK,17,FALSE()),"")</f>
        <v/>
      </c>
      <c r="H183" s="7" t="n">
        <v>20</v>
      </c>
      <c r="I183" s="7" t="n">
        <v>21</v>
      </c>
      <c r="J183" s="7" t="n">
        <v>4</v>
      </c>
      <c r="K183" s="7" t="n">
        <v>4</v>
      </c>
      <c r="L183" s="7" t="inlineStr">
        <is>
          <t>Complete</t>
        </is>
      </c>
      <c r="M183" s="7" t="inlineStr">
        <is>
          <t>Jane Doe</t>
        </is>
      </c>
    </row>
    <row r="184" ht="15" customHeight="1" s="5">
      <c r="A184" s="7" t="inlineStr">
        <is>
          <t>SP0183</t>
        </is>
      </c>
      <c r="B184" s="7" t="inlineStr">
        <is>
          <t>PRJ034</t>
        </is>
      </c>
      <c r="C184" s="7">
        <f>IFERROR(VLOOKUP(B184,Projects!$A:$AK,2,FALSE()),"")</f>
        <v/>
      </c>
      <c r="D184" s="7" t="n">
        <v>7</v>
      </c>
      <c r="E184" s="7" t="inlineStr">
        <is>
          <t>PRJ034 Sprint 7</t>
        </is>
      </c>
      <c r="F184" s="8">
        <f>IFERROR(VLOOKUP(B184,Projects!$A:$AK,16,FALSE()),"")</f>
        <v/>
      </c>
      <c r="G184" s="8">
        <f>IFERROR(VLOOKUP(B184,Projects!$A:$AK,17,FALSE()),"")</f>
        <v/>
      </c>
      <c r="H184" s="7" t="n">
        <v>34</v>
      </c>
      <c r="I184" s="7" t="n">
        <v>36</v>
      </c>
      <c r="J184" s="7" t="n">
        <v>6</v>
      </c>
      <c r="K184" s="7" t="n">
        <v>7</v>
      </c>
      <c r="L184" s="7" t="inlineStr">
        <is>
          <t>Complete</t>
        </is>
      </c>
      <c r="M184" s="7" t="inlineStr">
        <is>
          <t>Jane Doe</t>
        </is>
      </c>
    </row>
    <row r="185" ht="15" customHeight="1" s="5">
      <c r="A185" s="7" t="inlineStr">
        <is>
          <t>SP0184</t>
        </is>
      </c>
      <c r="B185" s="7" t="inlineStr">
        <is>
          <t>PRJ034</t>
        </is>
      </c>
      <c r="C185" s="7">
        <f>IFERROR(VLOOKUP(B185,Projects!$A:$AK,2,FALSE()),"")</f>
        <v/>
      </c>
      <c r="D185" s="7" t="n">
        <v>8</v>
      </c>
      <c r="E185" s="7" t="inlineStr">
        <is>
          <t>PRJ034 Sprint 8</t>
        </is>
      </c>
      <c r="F185" s="8">
        <f>IFERROR(VLOOKUP(B185,Projects!$A:$AK,16,FALSE()),"")</f>
        <v/>
      </c>
      <c r="G185" s="8">
        <f>IFERROR(VLOOKUP(B185,Projects!$A:$AK,17,FALSE()),"")</f>
        <v/>
      </c>
      <c r="H185" s="7" t="n">
        <v>26</v>
      </c>
      <c r="I185" s="7" t="n">
        <v>15</v>
      </c>
      <c r="J185" s="7" t="n">
        <v>5</v>
      </c>
      <c r="K185" s="7" t="n">
        <v>3</v>
      </c>
      <c r="L185" s="7" t="inlineStr">
        <is>
          <t>Complete</t>
        </is>
      </c>
      <c r="M185" s="7" t="inlineStr">
        <is>
          <t>Jane Doe</t>
        </is>
      </c>
    </row>
    <row r="186" ht="15" customHeight="1" s="5">
      <c r="A186" s="7" t="inlineStr">
        <is>
          <t>SP0185</t>
        </is>
      </c>
      <c r="B186" s="7" t="inlineStr">
        <is>
          <t>PRJ035</t>
        </is>
      </c>
      <c r="C186" s="7">
        <f>IFERROR(VLOOKUP(B186,Projects!$A:$AK,2,FALSE()),"")</f>
        <v/>
      </c>
      <c r="D186" s="7" t="n">
        <v>1</v>
      </c>
      <c r="E186" s="7" t="inlineStr">
        <is>
          <t>PRJ035 Sprint 1</t>
        </is>
      </c>
      <c r="F186" s="8">
        <f>IFERROR(VLOOKUP(B186,Projects!$A:$AK,16,FALSE()),"")</f>
        <v/>
      </c>
      <c r="G186" s="8">
        <f>IFERROR(VLOOKUP(B186,Projects!$A:$AK,17,FALSE()),"")</f>
        <v/>
      </c>
      <c r="H186" s="7" t="n">
        <v>37</v>
      </c>
      <c r="I186" s="7" t="n">
        <v>32</v>
      </c>
      <c r="J186" s="7" t="n">
        <v>7</v>
      </c>
      <c r="K186" s="7" t="n">
        <v>6</v>
      </c>
      <c r="L186" s="7" t="inlineStr">
        <is>
          <t>Complete</t>
        </is>
      </c>
      <c r="M186" s="7" t="inlineStr">
        <is>
          <t>Jane Doe</t>
        </is>
      </c>
    </row>
    <row r="187" ht="15" customHeight="1" s="5">
      <c r="A187" s="7" t="inlineStr">
        <is>
          <t>SP0186</t>
        </is>
      </c>
      <c r="B187" s="7" t="inlineStr">
        <is>
          <t>PRJ035</t>
        </is>
      </c>
      <c r="C187" s="7">
        <f>IFERROR(VLOOKUP(B187,Projects!$A:$AK,2,FALSE()),"")</f>
        <v/>
      </c>
      <c r="D187" s="7" t="n">
        <v>2</v>
      </c>
      <c r="E187" s="7" t="inlineStr">
        <is>
          <t>PRJ035 Sprint 2</t>
        </is>
      </c>
      <c r="F187" s="8">
        <f>IFERROR(VLOOKUP(B187,Projects!$A:$AK,16,FALSE()),"")</f>
        <v/>
      </c>
      <c r="G187" s="8">
        <f>IFERROR(VLOOKUP(B187,Projects!$A:$AK,17,FALSE()),"")</f>
        <v/>
      </c>
      <c r="H187" s="7" t="n">
        <v>53</v>
      </c>
      <c r="I187" s="7" t="n">
        <v>41</v>
      </c>
      <c r="J187" s="7" t="n">
        <v>10</v>
      </c>
      <c r="K187" s="7" t="n">
        <v>8</v>
      </c>
      <c r="L187" s="7" t="inlineStr">
        <is>
          <t>Complete</t>
        </is>
      </c>
      <c r="M187" s="7" t="inlineStr">
        <is>
          <t>Jane Doe</t>
        </is>
      </c>
    </row>
    <row r="188" ht="15" customHeight="1" s="5">
      <c r="A188" s="7" t="inlineStr">
        <is>
          <t>SP0187</t>
        </is>
      </c>
      <c r="B188" s="7" t="inlineStr">
        <is>
          <t>PRJ035</t>
        </is>
      </c>
      <c r="C188" s="7">
        <f>IFERROR(VLOOKUP(B188,Projects!$A:$AK,2,FALSE()),"")</f>
        <v/>
      </c>
      <c r="D188" s="7" t="n">
        <v>3</v>
      </c>
      <c r="E188" s="7" t="inlineStr">
        <is>
          <t>PRJ035 Sprint 3</t>
        </is>
      </c>
      <c r="F188" s="8">
        <f>IFERROR(VLOOKUP(B188,Projects!$A:$AK,16,FALSE()),"")</f>
        <v/>
      </c>
      <c r="G188" s="8">
        <f>IFERROR(VLOOKUP(B188,Projects!$A:$AK,17,FALSE()),"")</f>
        <v/>
      </c>
      <c r="H188" s="7" t="n">
        <v>40</v>
      </c>
      <c r="I188" s="7" t="n">
        <v>31</v>
      </c>
      <c r="J188" s="7" t="n">
        <v>8</v>
      </c>
      <c r="K188" s="7" t="n">
        <v>6</v>
      </c>
      <c r="L188" s="7" t="inlineStr">
        <is>
          <t>Complete</t>
        </is>
      </c>
      <c r="M188" s="7" t="inlineStr">
        <is>
          <t>Jane Doe</t>
        </is>
      </c>
    </row>
    <row r="189" ht="15" customHeight="1" s="5">
      <c r="A189" s="7" t="inlineStr">
        <is>
          <t>SP0188</t>
        </is>
      </c>
      <c r="B189" s="7" t="inlineStr">
        <is>
          <t>PRJ035</t>
        </is>
      </c>
      <c r="C189" s="7">
        <f>IFERROR(VLOOKUP(B189,Projects!$A:$AK,2,FALSE()),"")</f>
        <v/>
      </c>
      <c r="D189" s="7" t="n">
        <v>4</v>
      </c>
      <c r="E189" s="7" t="inlineStr">
        <is>
          <t>PRJ035 Sprint 4</t>
        </is>
      </c>
      <c r="F189" s="8">
        <f>IFERROR(VLOOKUP(B189,Projects!$A:$AK,16,FALSE()),"")</f>
        <v/>
      </c>
      <c r="G189" s="8">
        <f>IFERROR(VLOOKUP(B189,Projects!$A:$AK,17,FALSE()),"")</f>
        <v/>
      </c>
      <c r="H189" s="7" t="n">
        <v>45</v>
      </c>
      <c r="I189" s="7" t="n">
        <v>45</v>
      </c>
      <c r="J189" s="7" t="n">
        <v>9</v>
      </c>
      <c r="K189" s="7" t="n">
        <v>9</v>
      </c>
      <c r="L189" s="7" t="inlineStr">
        <is>
          <t>Complete</t>
        </is>
      </c>
      <c r="M189" s="7" t="inlineStr">
        <is>
          <t>Jane Doe</t>
        </is>
      </c>
    </row>
    <row r="190" ht="15" customHeight="1" s="5">
      <c r="A190" s="7" t="inlineStr">
        <is>
          <t>SP0189</t>
        </is>
      </c>
      <c r="B190" s="7" t="inlineStr">
        <is>
          <t>PRJ035</t>
        </is>
      </c>
      <c r="C190" s="7">
        <f>IFERROR(VLOOKUP(B190,Projects!$A:$AK,2,FALSE()),"")</f>
        <v/>
      </c>
      <c r="D190" s="7" t="n">
        <v>5</v>
      </c>
      <c r="E190" s="7" t="inlineStr">
        <is>
          <t>PRJ035 Sprint 5</t>
        </is>
      </c>
      <c r="F190" s="8">
        <f>IFERROR(VLOOKUP(B190,Projects!$A:$AK,16,FALSE()),"")</f>
        <v/>
      </c>
      <c r="G190" s="8">
        <f>IFERROR(VLOOKUP(B190,Projects!$A:$AK,17,FALSE()),"")</f>
        <v/>
      </c>
      <c r="H190" s="7" t="n">
        <v>41</v>
      </c>
      <c r="I190" s="7" t="n">
        <v>41</v>
      </c>
      <c r="J190" s="7" t="n">
        <v>8</v>
      </c>
      <c r="K190" s="7" t="n">
        <v>8</v>
      </c>
      <c r="L190" s="7" t="inlineStr">
        <is>
          <t>Complete</t>
        </is>
      </c>
      <c r="M190" s="7" t="inlineStr">
        <is>
          <t>Jane Doe</t>
        </is>
      </c>
    </row>
    <row r="191" ht="15" customHeight="1" s="5">
      <c r="A191" s="7" t="inlineStr">
        <is>
          <t>SP0190</t>
        </is>
      </c>
      <c r="B191" s="7" t="inlineStr">
        <is>
          <t>PRJ035</t>
        </is>
      </c>
      <c r="C191" s="7">
        <f>IFERROR(VLOOKUP(B191,Projects!$A:$AK,2,FALSE()),"")</f>
        <v/>
      </c>
      <c r="D191" s="7" t="n">
        <v>6</v>
      </c>
      <c r="E191" s="7" t="inlineStr">
        <is>
          <t>PRJ035 Sprint 6</t>
        </is>
      </c>
      <c r="F191" s="8">
        <f>IFERROR(VLOOKUP(B191,Projects!$A:$AK,16,FALSE()),"")</f>
        <v/>
      </c>
      <c r="G191" s="8">
        <f>IFERROR(VLOOKUP(B191,Projects!$A:$AK,17,FALSE()),"")</f>
        <v/>
      </c>
      <c r="H191" s="7" t="n">
        <v>38</v>
      </c>
      <c r="I191" s="7" t="n">
        <v>33</v>
      </c>
      <c r="J191" s="7" t="n">
        <v>7</v>
      </c>
      <c r="K191" s="7" t="n">
        <v>6</v>
      </c>
      <c r="L191" s="7" t="inlineStr">
        <is>
          <t>Complete</t>
        </is>
      </c>
      <c r="M191" s="7" t="inlineStr">
        <is>
          <t>Jane Doe</t>
        </is>
      </c>
    </row>
    <row r="192" ht="15" customHeight="1" s="5">
      <c r="A192" s="7" t="inlineStr">
        <is>
          <t>SP0191</t>
        </is>
      </c>
      <c r="B192" s="7" t="inlineStr">
        <is>
          <t>PRJ035</t>
        </is>
      </c>
      <c r="C192" s="7">
        <f>IFERROR(VLOOKUP(B192,Projects!$A:$AK,2,FALSE()),"")</f>
        <v/>
      </c>
      <c r="D192" s="7" t="n">
        <v>7</v>
      </c>
      <c r="E192" s="7" t="inlineStr">
        <is>
          <t>PRJ035 Sprint 7</t>
        </is>
      </c>
      <c r="F192" s="8">
        <f>IFERROR(VLOOKUP(B192,Projects!$A:$AK,16,FALSE()),"")</f>
        <v/>
      </c>
      <c r="G192" s="8">
        <f>IFERROR(VLOOKUP(B192,Projects!$A:$AK,17,FALSE()),"")</f>
        <v/>
      </c>
      <c r="H192" s="7" t="n">
        <v>48</v>
      </c>
      <c r="I192" s="7" t="n">
        <v>50</v>
      </c>
      <c r="J192" s="7" t="n">
        <v>9</v>
      </c>
      <c r="K192" s="7" t="n">
        <v>10</v>
      </c>
      <c r="L192" s="7" t="inlineStr">
        <is>
          <t>Complete</t>
        </is>
      </c>
      <c r="M192" s="7" t="inlineStr">
        <is>
          <t>Jane Doe</t>
        </is>
      </c>
    </row>
    <row r="193" ht="15" customHeight="1" s="5">
      <c r="A193" s="7" t="inlineStr">
        <is>
          <t>SP0192</t>
        </is>
      </c>
      <c r="B193" s="7" t="inlineStr">
        <is>
          <t>PRJ035</t>
        </is>
      </c>
      <c r="C193" s="7">
        <f>IFERROR(VLOOKUP(B193,Projects!$A:$AK,2,FALSE()),"")</f>
        <v/>
      </c>
      <c r="D193" s="7" t="n">
        <v>8</v>
      </c>
      <c r="E193" s="7" t="inlineStr">
        <is>
          <t>PRJ035 Sprint 8</t>
        </is>
      </c>
      <c r="F193" s="8">
        <f>IFERROR(VLOOKUP(B193,Projects!$A:$AK,16,FALSE()),"")</f>
        <v/>
      </c>
      <c r="G193" s="8">
        <f>IFERROR(VLOOKUP(B193,Projects!$A:$AK,17,FALSE()),"")</f>
        <v/>
      </c>
      <c r="H193" s="7" t="n">
        <v>38</v>
      </c>
      <c r="I193" s="7" t="n">
        <v>37</v>
      </c>
      <c r="J193" s="7" t="n">
        <v>7</v>
      </c>
      <c r="K193" s="7" t="n">
        <v>7</v>
      </c>
      <c r="L193" s="7" t="inlineStr">
        <is>
          <t>Complete</t>
        </is>
      </c>
      <c r="M193" s="7" t="inlineStr">
        <is>
          <t>Jane Doe</t>
        </is>
      </c>
    </row>
    <row r="194" ht="15" customHeight="1" s="5">
      <c r="A194" s="7" t="inlineStr">
        <is>
          <t>SP0193</t>
        </is>
      </c>
      <c r="B194" s="7" t="inlineStr">
        <is>
          <t>PRJ036</t>
        </is>
      </c>
      <c r="C194" s="7">
        <f>IFERROR(VLOOKUP(B194,Projects!$A:$AK,2,FALSE()),"")</f>
        <v/>
      </c>
      <c r="D194" s="7" t="n">
        <v>1</v>
      </c>
      <c r="E194" s="7" t="inlineStr">
        <is>
          <t>PRJ036 Sprint 1</t>
        </is>
      </c>
      <c r="F194" s="8">
        <f>IFERROR(VLOOKUP(B194,Projects!$A:$AK,16,FALSE()),"")</f>
        <v/>
      </c>
      <c r="G194" s="8">
        <f>IFERROR(VLOOKUP(B194,Projects!$A:$AK,17,FALSE()),"")</f>
        <v/>
      </c>
      <c r="H194" s="7" t="n">
        <v>45</v>
      </c>
      <c r="I194" s="7" t="n">
        <v>50</v>
      </c>
      <c r="J194" s="7" t="n">
        <v>9</v>
      </c>
      <c r="K194" s="7" t="n">
        <v>10</v>
      </c>
      <c r="L194" s="7" t="inlineStr">
        <is>
          <t>Complete</t>
        </is>
      </c>
      <c r="M194" s="7" t="inlineStr">
        <is>
          <t>Jane Doe</t>
        </is>
      </c>
    </row>
    <row r="195" ht="15" customHeight="1" s="5">
      <c r="A195" s="7" t="inlineStr">
        <is>
          <t>SP0194</t>
        </is>
      </c>
      <c r="B195" s="7" t="inlineStr">
        <is>
          <t>PRJ036</t>
        </is>
      </c>
      <c r="C195" s="7">
        <f>IFERROR(VLOOKUP(B195,Projects!$A:$AK,2,FALSE()),"")</f>
        <v/>
      </c>
      <c r="D195" s="7" t="n">
        <v>2</v>
      </c>
      <c r="E195" s="7" t="inlineStr">
        <is>
          <t>PRJ036 Sprint 2</t>
        </is>
      </c>
      <c r="F195" s="8">
        <f>IFERROR(VLOOKUP(B195,Projects!$A:$AK,16,FALSE()),"")</f>
        <v/>
      </c>
      <c r="G195" s="8">
        <f>IFERROR(VLOOKUP(B195,Projects!$A:$AK,17,FALSE()),"")</f>
        <v/>
      </c>
      <c r="H195" s="7" t="n">
        <v>45</v>
      </c>
      <c r="I195" s="7" t="n">
        <v>36</v>
      </c>
      <c r="J195" s="7" t="n">
        <v>9</v>
      </c>
      <c r="K195" s="7" t="n">
        <v>7</v>
      </c>
      <c r="L195" s="7" t="inlineStr">
        <is>
          <t>Complete</t>
        </is>
      </c>
      <c r="M195" s="7" t="inlineStr">
        <is>
          <t>Jane Doe</t>
        </is>
      </c>
    </row>
    <row r="196" ht="15" customHeight="1" s="5">
      <c r="A196" s="7" t="inlineStr">
        <is>
          <t>SP0195</t>
        </is>
      </c>
      <c r="B196" s="7" t="inlineStr">
        <is>
          <t>PRJ036</t>
        </is>
      </c>
      <c r="C196" s="7">
        <f>IFERROR(VLOOKUP(B196,Projects!$A:$AK,2,FALSE()),"")</f>
        <v/>
      </c>
      <c r="D196" s="7" t="n">
        <v>3</v>
      </c>
      <c r="E196" s="7" t="inlineStr">
        <is>
          <t>PRJ036 Sprint 3</t>
        </is>
      </c>
      <c r="F196" s="8">
        <f>IFERROR(VLOOKUP(B196,Projects!$A:$AK,16,FALSE()),"")</f>
        <v/>
      </c>
      <c r="G196" s="8">
        <f>IFERROR(VLOOKUP(B196,Projects!$A:$AK,17,FALSE()),"")</f>
        <v/>
      </c>
      <c r="H196" s="7" t="n">
        <v>33</v>
      </c>
      <c r="I196" s="7" t="n">
        <v>26</v>
      </c>
      <c r="J196" s="7" t="n">
        <v>6</v>
      </c>
      <c r="K196" s="7" t="n">
        <v>5</v>
      </c>
      <c r="L196" s="7" t="inlineStr">
        <is>
          <t>Complete</t>
        </is>
      </c>
      <c r="M196" s="7" t="inlineStr">
        <is>
          <t>Jane Doe</t>
        </is>
      </c>
    </row>
    <row r="197" ht="15" customHeight="1" s="5">
      <c r="A197" s="7" t="inlineStr">
        <is>
          <t>SP0196</t>
        </is>
      </c>
      <c r="B197" s="7" t="inlineStr">
        <is>
          <t>PRJ036</t>
        </is>
      </c>
      <c r="C197" s="7">
        <f>IFERROR(VLOOKUP(B197,Projects!$A:$AK,2,FALSE()),"")</f>
        <v/>
      </c>
      <c r="D197" s="7" t="n">
        <v>4</v>
      </c>
      <c r="E197" s="7" t="inlineStr">
        <is>
          <t>PRJ036 Sprint 4</t>
        </is>
      </c>
      <c r="F197" s="8">
        <f>IFERROR(VLOOKUP(B197,Projects!$A:$AK,16,FALSE()),"")</f>
        <v/>
      </c>
      <c r="G197" s="8">
        <f>IFERROR(VLOOKUP(B197,Projects!$A:$AK,17,FALSE()),"")</f>
        <v/>
      </c>
      <c r="H197" s="7" t="n">
        <v>34</v>
      </c>
      <c r="I197" s="7" t="n">
        <v>34</v>
      </c>
      <c r="J197" s="7" t="n">
        <v>6</v>
      </c>
      <c r="K197" s="7" t="n">
        <v>6</v>
      </c>
      <c r="L197" s="7" t="inlineStr">
        <is>
          <t>Complete</t>
        </is>
      </c>
      <c r="M197" s="7" t="inlineStr">
        <is>
          <t>Jane Doe</t>
        </is>
      </c>
    </row>
    <row r="198" ht="15" customHeight="1" s="5">
      <c r="A198" s="7" t="inlineStr">
        <is>
          <t>SP0197</t>
        </is>
      </c>
      <c r="B198" s="7" t="inlineStr">
        <is>
          <t>PRJ036</t>
        </is>
      </c>
      <c r="C198" s="7">
        <f>IFERROR(VLOOKUP(B198,Projects!$A:$AK,2,FALSE()),"")</f>
        <v/>
      </c>
      <c r="D198" s="7" t="n">
        <v>5</v>
      </c>
      <c r="E198" s="7" t="inlineStr">
        <is>
          <t>PRJ036 Sprint 5</t>
        </is>
      </c>
      <c r="F198" s="8">
        <f>IFERROR(VLOOKUP(B198,Projects!$A:$AK,16,FALSE()),"")</f>
        <v/>
      </c>
      <c r="G198" s="8">
        <f>IFERROR(VLOOKUP(B198,Projects!$A:$AK,17,FALSE()),"")</f>
        <v/>
      </c>
      <c r="H198" s="7" t="n">
        <v>44</v>
      </c>
      <c r="I198" s="7" t="n">
        <v>38</v>
      </c>
      <c r="J198" s="7" t="n">
        <v>8</v>
      </c>
      <c r="K198" s="7" t="n">
        <v>7</v>
      </c>
      <c r="L198" s="7" t="inlineStr">
        <is>
          <t>Complete</t>
        </is>
      </c>
      <c r="M198" s="7" t="inlineStr">
        <is>
          <t>Jane Doe</t>
        </is>
      </c>
    </row>
    <row r="199" ht="15" customHeight="1" s="5">
      <c r="A199" s="7" t="inlineStr">
        <is>
          <t>SP0198</t>
        </is>
      </c>
      <c r="B199" s="7" t="inlineStr">
        <is>
          <t>PRJ036</t>
        </is>
      </c>
      <c r="C199" s="7">
        <f>IFERROR(VLOOKUP(B199,Projects!$A:$AK,2,FALSE()),"")</f>
        <v/>
      </c>
      <c r="D199" s="7" t="n">
        <v>6</v>
      </c>
      <c r="E199" s="7" t="inlineStr">
        <is>
          <t>PRJ036 Sprint 6</t>
        </is>
      </c>
      <c r="F199" s="8">
        <f>IFERROR(VLOOKUP(B199,Projects!$A:$AK,16,FALSE()),"")</f>
        <v/>
      </c>
      <c r="G199" s="8">
        <f>IFERROR(VLOOKUP(B199,Projects!$A:$AK,17,FALSE()),"")</f>
        <v/>
      </c>
      <c r="H199" s="7" t="n">
        <v>43</v>
      </c>
      <c r="I199" s="7" t="n">
        <v>41</v>
      </c>
      <c r="J199" s="7" t="n">
        <v>8</v>
      </c>
      <c r="K199" s="7" t="n">
        <v>8</v>
      </c>
      <c r="L199" s="7" t="inlineStr">
        <is>
          <t>Complete</t>
        </is>
      </c>
      <c r="M199" s="7" t="inlineStr">
        <is>
          <t>Jane Doe</t>
        </is>
      </c>
    </row>
    <row r="200" ht="15" customHeight="1" s="5">
      <c r="A200" s="7" t="inlineStr">
        <is>
          <t>SP0199</t>
        </is>
      </c>
      <c r="B200" s="7" t="inlineStr">
        <is>
          <t>PRJ036</t>
        </is>
      </c>
      <c r="C200" s="7">
        <f>IFERROR(VLOOKUP(B200,Projects!$A:$AK,2,FALSE()),"")</f>
        <v/>
      </c>
      <c r="D200" s="7" t="n">
        <v>7</v>
      </c>
      <c r="E200" s="7" t="inlineStr">
        <is>
          <t>PRJ036 Sprint 7</t>
        </is>
      </c>
      <c r="F200" s="8">
        <f>IFERROR(VLOOKUP(B200,Projects!$A:$AK,16,FALSE()),"")</f>
        <v/>
      </c>
      <c r="G200" s="8">
        <f>IFERROR(VLOOKUP(B200,Projects!$A:$AK,17,FALSE()),"")</f>
        <v/>
      </c>
      <c r="H200" s="7" t="n">
        <v>33</v>
      </c>
      <c r="I200" s="7" t="n">
        <v>31</v>
      </c>
      <c r="J200" s="7" t="n">
        <v>6</v>
      </c>
      <c r="K200" s="7" t="n">
        <v>6</v>
      </c>
      <c r="L200" s="7" t="inlineStr">
        <is>
          <t>Complete</t>
        </is>
      </c>
      <c r="M200" s="7" t="inlineStr">
        <is>
          <t>Jane Doe</t>
        </is>
      </c>
    </row>
    <row r="201" ht="15" customHeight="1" s="5">
      <c r="A201" s="7" t="inlineStr">
        <is>
          <t>SP0200</t>
        </is>
      </c>
      <c r="B201" s="7" t="inlineStr">
        <is>
          <t>PRJ036</t>
        </is>
      </c>
      <c r="C201" s="7">
        <f>IFERROR(VLOOKUP(B201,Projects!$A:$AK,2,FALSE()),"")</f>
        <v/>
      </c>
      <c r="D201" s="7" t="n">
        <v>8</v>
      </c>
      <c r="E201" s="7" t="inlineStr">
        <is>
          <t>PRJ036 Sprint 8</t>
        </is>
      </c>
      <c r="F201" s="8">
        <f>IFERROR(VLOOKUP(B201,Projects!$A:$AK,16,FALSE()),"")</f>
        <v/>
      </c>
      <c r="G201" s="8">
        <f>IFERROR(VLOOKUP(B201,Projects!$A:$AK,17,FALSE()),"")</f>
        <v/>
      </c>
      <c r="H201" s="7" t="n">
        <v>41</v>
      </c>
      <c r="I201" s="7" t="n">
        <v>44</v>
      </c>
      <c r="J201" s="7" t="n">
        <v>8</v>
      </c>
      <c r="K201" s="7" t="n">
        <v>8</v>
      </c>
      <c r="L201" s="7" t="inlineStr">
        <is>
          <t>Complete</t>
        </is>
      </c>
      <c r="M201" s="7" t="inlineStr">
        <is>
          <t>Jane Doe</t>
        </is>
      </c>
    </row>
    <row r="202" ht="15" customHeight="1" s="5">
      <c r="A202" s="7" t="inlineStr">
        <is>
          <t>SP0201</t>
        </is>
      </c>
      <c r="B202" s="7" t="inlineStr">
        <is>
          <t>PRJ037</t>
        </is>
      </c>
      <c r="C202" s="7">
        <f>IFERROR(VLOOKUP(B202,Projects!$A:$AK,2,FALSE()),"")</f>
        <v/>
      </c>
      <c r="D202" s="7" t="n">
        <v>1</v>
      </c>
      <c r="E202" s="7" t="inlineStr">
        <is>
          <t>PRJ037 Sprint 1</t>
        </is>
      </c>
      <c r="F202" s="8">
        <f>IFERROR(VLOOKUP(B202,Projects!$A:$AK,16,FALSE()),"")</f>
        <v/>
      </c>
      <c r="G202" s="8">
        <f>IFERROR(VLOOKUP(B202,Projects!$A:$AK,17,FALSE()),"")</f>
        <v/>
      </c>
      <c r="H202" s="7" t="n">
        <v>38</v>
      </c>
      <c r="I202" s="7" t="n">
        <v>29</v>
      </c>
      <c r="J202" s="7" t="n">
        <v>7</v>
      </c>
      <c r="K202" s="7" t="n">
        <v>5</v>
      </c>
      <c r="L202" s="7" t="inlineStr">
        <is>
          <t>Complete</t>
        </is>
      </c>
      <c r="M202" s="7" t="inlineStr">
        <is>
          <t>John Smith</t>
        </is>
      </c>
    </row>
    <row r="203" ht="15" customHeight="1" s="5">
      <c r="A203" s="7" t="inlineStr">
        <is>
          <t>SP0202</t>
        </is>
      </c>
      <c r="B203" s="7" t="inlineStr">
        <is>
          <t>PRJ037</t>
        </is>
      </c>
      <c r="C203" s="7">
        <f>IFERROR(VLOOKUP(B203,Projects!$A:$AK,2,FALSE()),"")</f>
        <v/>
      </c>
      <c r="D203" s="7" t="n">
        <v>2</v>
      </c>
      <c r="E203" s="7" t="inlineStr">
        <is>
          <t>PRJ037 Sprint 2</t>
        </is>
      </c>
      <c r="F203" s="8">
        <f>IFERROR(VLOOKUP(B203,Projects!$A:$AK,16,FALSE()),"")</f>
        <v/>
      </c>
      <c r="G203" s="8">
        <f>IFERROR(VLOOKUP(B203,Projects!$A:$AK,17,FALSE()),"")</f>
        <v/>
      </c>
      <c r="H203" s="7" t="n">
        <v>31</v>
      </c>
      <c r="I203" s="7" t="n">
        <v>33</v>
      </c>
      <c r="J203" s="7" t="n">
        <v>6</v>
      </c>
      <c r="K203" s="7" t="n">
        <v>6</v>
      </c>
      <c r="L203" s="7" t="inlineStr">
        <is>
          <t>Complete</t>
        </is>
      </c>
      <c r="M203" s="7" t="inlineStr">
        <is>
          <t>John Smith</t>
        </is>
      </c>
    </row>
    <row r="204" ht="15" customHeight="1" s="5">
      <c r="A204" s="7" t="inlineStr">
        <is>
          <t>SP0203</t>
        </is>
      </c>
      <c r="B204" s="7" t="inlineStr">
        <is>
          <t>PRJ037</t>
        </is>
      </c>
      <c r="C204" s="7">
        <f>IFERROR(VLOOKUP(B204,Projects!$A:$AK,2,FALSE()),"")</f>
        <v/>
      </c>
      <c r="D204" s="7" t="n">
        <v>3</v>
      </c>
      <c r="E204" s="7" t="inlineStr">
        <is>
          <t>PRJ037 Sprint 3</t>
        </is>
      </c>
      <c r="F204" s="8">
        <f>IFERROR(VLOOKUP(B204,Projects!$A:$AK,16,FALSE()),"")</f>
        <v/>
      </c>
      <c r="G204" s="8">
        <f>IFERROR(VLOOKUP(B204,Projects!$A:$AK,17,FALSE()),"")</f>
        <v/>
      </c>
      <c r="H204" s="7" t="n">
        <v>24</v>
      </c>
      <c r="I204" s="7" t="n">
        <v>29</v>
      </c>
      <c r="J204" s="7" t="n">
        <v>4</v>
      </c>
      <c r="K204" s="7" t="n">
        <v>5</v>
      </c>
      <c r="L204" s="7" t="inlineStr">
        <is>
          <t>Complete</t>
        </is>
      </c>
      <c r="M204" s="7" t="inlineStr">
        <is>
          <t>John Smith</t>
        </is>
      </c>
    </row>
    <row r="205" ht="15" customHeight="1" s="5">
      <c r="A205" s="7" t="inlineStr">
        <is>
          <t>SP0204</t>
        </is>
      </c>
      <c r="B205" s="7" t="inlineStr">
        <is>
          <t>PRJ037</t>
        </is>
      </c>
      <c r="C205" s="7">
        <f>IFERROR(VLOOKUP(B205,Projects!$A:$AK,2,FALSE()),"")</f>
        <v/>
      </c>
      <c r="D205" s="7" t="n">
        <v>4</v>
      </c>
      <c r="E205" s="7" t="inlineStr">
        <is>
          <t>PRJ037 Sprint 4</t>
        </is>
      </c>
      <c r="F205" s="8">
        <f>IFERROR(VLOOKUP(B205,Projects!$A:$AK,16,FALSE()),"")</f>
        <v/>
      </c>
      <c r="G205" s="8">
        <f>IFERROR(VLOOKUP(B205,Projects!$A:$AK,17,FALSE()),"")</f>
        <v/>
      </c>
      <c r="H205" s="7" t="n">
        <v>27</v>
      </c>
      <c r="I205" s="7" t="n">
        <v>30</v>
      </c>
      <c r="J205" s="7" t="n">
        <v>5</v>
      </c>
      <c r="K205" s="7" t="n">
        <v>6</v>
      </c>
      <c r="L205" s="7" t="inlineStr">
        <is>
          <t>Complete</t>
        </is>
      </c>
      <c r="M205" s="7" t="inlineStr">
        <is>
          <t>John Smith</t>
        </is>
      </c>
    </row>
    <row r="206" ht="15" customHeight="1" s="5">
      <c r="A206" s="7" t="inlineStr">
        <is>
          <t>SP0205</t>
        </is>
      </c>
      <c r="B206" s="7" t="inlineStr">
        <is>
          <t>PRJ037</t>
        </is>
      </c>
      <c r="C206" s="7">
        <f>IFERROR(VLOOKUP(B206,Projects!$A:$AK,2,FALSE()),"")</f>
        <v/>
      </c>
      <c r="D206" s="7" t="n">
        <v>5</v>
      </c>
      <c r="E206" s="7" t="inlineStr">
        <is>
          <t>PRJ037 Sprint 5</t>
        </is>
      </c>
      <c r="F206" s="8">
        <f>IFERROR(VLOOKUP(B206,Projects!$A:$AK,16,FALSE()),"")</f>
        <v/>
      </c>
      <c r="G206" s="8">
        <f>IFERROR(VLOOKUP(B206,Projects!$A:$AK,17,FALSE()),"")</f>
        <v/>
      </c>
      <c r="H206" s="7" t="n">
        <v>27</v>
      </c>
      <c r="I206" s="7" t="n">
        <v>21</v>
      </c>
      <c r="J206" s="7" t="n">
        <v>5</v>
      </c>
      <c r="K206" s="7" t="n">
        <v>4</v>
      </c>
      <c r="L206" s="7" t="inlineStr">
        <is>
          <t>Complete</t>
        </is>
      </c>
      <c r="M206" s="7" t="inlineStr">
        <is>
          <t>John Smith</t>
        </is>
      </c>
    </row>
    <row r="207" ht="15" customHeight="1" s="5">
      <c r="A207" s="7" t="inlineStr">
        <is>
          <t>SP0206</t>
        </is>
      </c>
      <c r="B207" s="7" t="inlineStr">
        <is>
          <t>PRJ037</t>
        </is>
      </c>
      <c r="C207" s="7">
        <f>IFERROR(VLOOKUP(B207,Projects!$A:$AK,2,FALSE()),"")</f>
        <v/>
      </c>
      <c r="D207" s="7" t="n">
        <v>6</v>
      </c>
      <c r="E207" s="7" t="inlineStr">
        <is>
          <t>PRJ037 Sprint 6</t>
        </is>
      </c>
      <c r="F207" s="8">
        <f>IFERROR(VLOOKUP(B207,Projects!$A:$AK,16,FALSE()),"")</f>
        <v/>
      </c>
      <c r="G207" s="8">
        <f>IFERROR(VLOOKUP(B207,Projects!$A:$AK,17,FALSE()),"")</f>
        <v/>
      </c>
      <c r="H207" s="7" t="n">
        <v>33</v>
      </c>
      <c r="I207" s="7" t="n">
        <v>22</v>
      </c>
      <c r="J207" s="7" t="n">
        <v>6</v>
      </c>
      <c r="K207" s="7" t="n">
        <v>4</v>
      </c>
      <c r="L207" s="7" t="inlineStr">
        <is>
          <t>Complete</t>
        </is>
      </c>
      <c r="M207" s="7" t="inlineStr">
        <is>
          <t>John Smith</t>
        </is>
      </c>
    </row>
    <row r="208" ht="15" customHeight="1" s="5">
      <c r="A208" s="7" t="inlineStr">
        <is>
          <t>SP0207</t>
        </is>
      </c>
      <c r="B208" s="7" t="inlineStr">
        <is>
          <t>PRJ037</t>
        </is>
      </c>
      <c r="C208" s="7">
        <f>IFERROR(VLOOKUP(B208,Projects!$A:$AK,2,FALSE()),"")</f>
        <v/>
      </c>
      <c r="D208" s="7" t="n">
        <v>7</v>
      </c>
      <c r="E208" s="7" t="inlineStr">
        <is>
          <t>PRJ037 Sprint 7</t>
        </is>
      </c>
      <c r="F208" s="8">
        <f>IFERROR(VLOOKUP(B208,Projects!$A:$AK,16,FALSE()),"")</f>
        <v/>
      </c>
      <c r="G208" s="8">
        <f>IFERROR(VLOOKUP(B208,Projects!$A:$AK,17,FALSE()),"")</f>
        <v/>
      </c>
      <c r="H208" s="7" t="n">
        <v>35</v>
      </c>
      <c r="I208" s="7" t="n">
        <v>24</v>
      </c>
      <c r="J208" s="7" t="n">
        <v>7</v>
      </c>
      <c r="K208" s="7" t="n">
        <v>4</v>
      </c>
      <c r="L208" s="7" t="inlineStr">
        <is>
          <t>Complete</t>
        </is>
      </c>
      <c r="M208" s="7" t="inlineStr">
        <is>
          <t>John Smith</t>
        </is>
      </c>
    </row>
    <row r="209" ht="15" customHeight="1" s="5">
      <c r="A209" s="7" t="inlineStr">
        <is>
          <t>SP0208</t>
        </is>
      </c>
      <c r="B209" s="7" t="inlineStr">
        <is>
          <t>PRJ037</t>
        </is>
      </c>
      <c r="C209" s="7">
        <f>IFERROR(VLOOKUP(B209,Projects!$A:$AK,2,FALSE()),"")</f>
        <v/>
      </c>
      <c r="D209" s="7" t="n">
        <v>8</v>
      </c>
      <c r="E209" s="7" t="inlineStr">
        <is>
          <t>PRJ037 Sprint 8</t>
        </is>
      </c>
      <c r="F209" s="8">
        <f>IFERROR(VLOOKUP(B209,Projects!$A:$AK,16,FALSE()),"")</f>
        <v/>
      </c>
      <c r="G209" s="8">
        <f>IFERROR(VLOOKUP(B209,Projects!$A:$AK,17,FALSE()),"")</f>
        <v/>
      </c>
      <c r="H209" s="7" t="n">
        <v>34</v>
      </c>
      <c r="I209" s="7" t="n">
        <v>35</v>
      </c>
      <c r="J209" s="7" t="n">
        <v>6</v>
      </c>
      <c r="K209" s="7" t="n">
        <v>7</v>
      </c>
      <c r="L209" s="7" t="inlineStr">
        <is>
          <t>Complete</t>
        </is>
      </c>
      <c r="M209" s="7" t="inlineStr">
        <is>
          <t>John Smith</t>
        </is>
      </c>
    </row>
    <row r="210" ht="15" customHeight="1" s="5">
      <c r="A210" s="7" t="inlineStr">
        <is>
          <t>SP0209</t>
        </is>
      </c>
      <c r="B210" s="7" t="inlineStr">
        <is>
          <t>PRJ038</t>
        </is>
      </c>
      <c r="C210" s="7">
        <f>IFERROR(VLOOKUP(B210,Projects!$A:$AK,2,FALSE()),"")</f>
        <v/>
      </c>
      <c r="D210" s="7" t="n">
        <v>1</v>
      </c>
      <c r="E210" s="7" t="inlineStr">
        <is>
          <t>PRJ038 Sprint 1</t>
        </is>
      </c>
      <c r="F210" s="8">
        <f>IFERROR(VLOOKUP(B210,Projects!$A:$AK,16,FALSE()),"")</f>
        <v/>
      </c>
      <c r="G210" s="8">
        <f>IFERROR(VLOOKUP(B210,Projects!$A:$AK,17,FALSE()),"")</f>
        <v/>
      </c>
      <c r="H210" s="7" t="n">
        <v>38</v>
      </c>
      <c r="I210" s="7" t="n">
        <v>27</v>
      </c>
      <c r="J210" s="7" t="n">
        <v>7</v>
      </c>
      <c r="K210" s="7" t="n">
        <v>5</v>
      </c>
      <c r="L210" s="7" t="inlineStr">
        <is>
          <t>Complete</t>
        </is>
      </c>
      <c r="M210" s="7" t="inlineStr">
        <is>
          <t>Jane Doe</t>
        </is>
      </c>
    </row>
    <row r="211" ht="15" customHeight="1" s="5">
      <c r="A211" s="7" t="inlineStr">
        <is>
          <t>SP0210</t>
        </is>
      </c>
      <c r="B211" s="7" t="inlineStr">
        <is>
          <t>PRJ038</t>
        </is>
      </c>
      <c r="C211" s="7">
        <f>IFERROR(VLOOKUP(B211,Projects!$A:$AK,2,FALSE()),"")</f>
        <v/>
      </c>
      <c r="D211" s="7" t="n">
        <v>2</v>
      </c>
      <c r="E211" s="7" t="inlineStr">
        <is>
          <t>PRJ038 Sprint 2</t>
        </is>
      </c>
      <c r="F211" s="8">
        <f>IFERROR(VLOOKUP(B211,Projects!$A:$AK,16,FALSE()),"")</f>
        <v/>
      </c>
      <c r="G211" s="8">
        <f>IFERROR(VLOOKUP(B211,Projects!$A:$AK,17,FALSE()),"")</f>
        <v/>
      </c>
      <c r="H211" s="7" t="n">
        <v>38</v>
      </c>
      <c r="I211" s="7" t="n">
        <v>26</v>
      </c>
      <c r="J211" s="7" t="n">
        <v>7</v>
      </c>
      <c r="K211" s="7" t="n">
        <v>5</v>
      </c>
      <c r="L211" s="7" t="inlineStr">
        <is>
          <t>Complete</t>
        </is>
      </c>
      <c r="M211" s="7" t="inlineStr">
        <is>
          <t>Jane Doe</t>
        </is>
      </c>
    </row>
    <row r="212" ht="15" customHeight="1" s="5">
      <c r="A212" s="7" t="inlineStr">
        <is>
          <t>SP0211</t>
        </is>
      </c>
      <c r="B212" s="7" t="inlineStr">
        <is>
          <t>PRJ038</t>
        </is>
      </c>
      <c r="C212" s="7">
        <f>IFERROR(VLOOKUP(B212,Projects!$A:$AK,2,FALSE()),"")</f>
        <v/>
      </c>
      <c r="D212" s="7" t="n">
        <v>3</v>
      </c>
      <c r="E212" s="7" t="inlineStr">
        <is>
          <t>PRJ038 Sprint 3</t>
        </is>
      </c>
      <c r="F212" s="8">
        <f>IFERROR(VLOOKUP(B212,Projects!$A:$AK,16,FALSE()),"")</f>
        <v/>
      </c>
      <c r="G212" s="8">
        <f>IFERROR(VLOOKUP(B212,Projects!$A:$AK,17,FALSE()),"")</f>
        <v/>
      </c>
      <c r="H212" s="7" t="n">
        <v>45</v>
      </c>
      <c r="I212" s="7" t="n">
        <v>41</v>
      </c>
      <c r="J212" s="7" t="n">
        <v>9</v>
      </c>
      <c r="K212" s="7" t="n">
        <v>8</v>
      </c>
      <c r="L212" s="7" t="inlineStr">
        <is>
          <t>Complete</t>
        </is>
      </c>
      <c r="M212" s="7" t="inlineStr">
        <is>
          <t>Jane Doe</t>
        </is>
      </c>
    </row>
    <row r="213" ht="15" customHeight="1" s="5">
      <c r="A213" s="7" t="inlineStr">
        <is>
          <t>SP0212</t>
        </is>
      </c>
      <c r="B213" s="7" t="inlineStr">
        <is>
          <t>PRJ038</t>
        </is>
      </c>
      <c r="C213" s="7">
        <f>IFERROR(VLOOKUP(B213,Projects!$A:$AK,2,FALSE()),"")</f>
        <v/>
      </c>
      <c r="D213" s="7" t="n">
        <v>4</v>
      </c>
      <c r="E213" s="7" t="inlineStr">
        <is>
          <t>PRJ038 Sprint 4</t>
        </is>
      </c>
      <c r="F213" s="8">
        <f>IFERROR(VLOOKUP(B213,Projects!$A:$AK,16,FALSE()),"")</f>
        <v/>
      </c>
      <c r="G213" s="8">
        <f>IFERROR(VLOOKUP(B213,Projects!$A:$AK,17,FALSE()),"")</f>
        <v/>
      </c>
      <c r="H213" s="7" t="n">
        <v>40</v>
      </c>
      <c r="I213" s="7" t="n">
        <v>33</v>
      </c>
      <c r="J213" s="7" t="n">
        <v>8</v>
      </c>
      <c r="K213" s="7" t="n">
        <v>6</v>
      </c>
      <c r="L213" s="7" t="inlineStr">
        <is>
          <t>Complete</t>
        </is>
      </c>
      <c r="M213" s="7" t="inlineStr">
        <is>
          <t>Jane Doe</t>
        </is>
      </c>
    </row>
    <row r="214" ht="15" customHeight="1" s="5">
      <c r="A214" s="7" t="inlineStr">
        <is>
          <t>SP0213</t>
        </is>
      </c>
      <c r="B214" s="7" t="inlineStr">
        <is>
          <t>PRJ038</t>
        </is>
      </c>
      <c r="C214" s="7">
        <f>IFERROR(VLOOKUP(B214,Projects!$A:$AK,2,FALSE()),"")</f>
        <v/>
      </c>
      <c r="D214" s="7" t="n">
        <v>5</v>
      </c>
      <c r="E214" s="7" t="inlineStr">
        <is>
          <t>PRJ038 Sprint 5</t>
        </is>
      </c>
      <c r="F214" s="8">
        <f>IFERROR(VLOOKUP(B214,Projects!$A:$AK,16,FALSE()),"")</f>
        <v/>
      </c>
      <c r="G214" s="8">
        <f>IFERROR(VLOOKUP(B214,Projects!$A:$AK,17,FALSE()),"")</f>
        <v/>
      </c>
      <c r="H214" s="7" t="n">
        <v>34</v>
      </c>
      <c r="I214" s="7" t="n">
        <v>26</v>
      </c>
      <c r="J214" s="7" t="n">
        <v>6</v>
      </c>
      <c r="K214" s="7" t="n">
        <v>5</v>
      </c>
      <c r="L214" s="7" t="inlineStr">
        <is>
          <t>Complete</t>
        </is>
      </c>
      <c r="M214" s="7" t="inlineStr">
        <is>
          <t>Jane Doe</t>
        </is>
      </c>
    </row>
    <row r="215" ht="15" customHeight="1" s="5">
      <c r="A215" s="7" t="inlineStr">
        <is>
          <t>SP0214</t>
        </is>
      </c>
      <c r="B215" s="7" t="inlineStr">
        <is>
          <t>PRJ038</t>
        </is>
      </c>
      <c r="C215" s="7">
        <f>IFERROR(VLOOKUP(B215,Projects!$A:$AK,2,FALSE()),"")</f>
        <v/>
      </c>
      <c r="D215" s="7" t="n">
        <v>6</v>
      </c>
      <c r="E215" s="7" t="inlineStr">
        <is>
          <t>PRJ038 Sprint 6</t>
        </is>
      </c>
      <c r="F215" s="8">
        <f>IFERROR(VLOOKUP(B215,Projects!$A:$AK,16,FALSE()),"")</f>
        <v/>
      </c>
      <c r="G215" s="8">
        <f>IFERROR(VLOOKUP(B215,Projects!$A:$AK,17,FALSE()),"")</f>
        <v/>
      </c>
      <c r="H215" s="7" t="n">
        <v>34</v>
      </c>
      <c r="I215" s="7" t="n">
        <v>30</v>
      </c>
      <c r="J215" s="7" t="n">
        <v>6</v>
      </c>
      <c r="K215" s="7" t="n">
        <v>6</v>
      </c>
      <c r="L215" s="7" t="inlineStr">
        <is>
          <t>Complete</t>
        </is>
      </c>
      <c r="M215" s="7" t="inlineStr">
        <is>
          <t>Jane Doe</t>
        </is>
      </c>
    </row>
    <row r="216" ht="15" customHeight="1" s="5">
      <c r="A216" s="7" t="inlineStr">
        <is>
          <t>SP0215</t>
        </is>
      </c>
      <c r="B216" s="7" t="inlineStr">
        <is>
          <t>PRJ038</t>
        </is>
      </c>
      <c r="C216" s="7">
        <f>IFERROR(VLOOKUP(B216,Projects!$A:$AK,2,FALSE()),"")</f>
        <v/>
      </c>
      <c r="D216" s="7" t="n">
        <v>7</v>
      </c>
      <c r="E216" s="7" t="inlineStr">
        <is>
          <t>PRJ038 Sprint 7</t>
        </is>
      </c>
      <c r="F216" s="8">
        <f>IFERROR(VLOOKUP(B216,Projects!$A:$AK,16,FALSE()),"")</f>
        <v/>
      </c>
      <c r="G216" s="8">
        <f>IFERROR(VLOOKUP(B216,Projects!$A:$AK,17,FALSE()),"")</f>
        <v/>
      </c>
      <c r="H216" s="7" t="n">
        <v>44</v>
      </c>
      <c r="I216" s="7" t="n">
        <v>34</v>
      </c>
      <c r="J216" s="7" t="n">
        <v>8</v>
      </c>
      <c r="K216" s="7" t="n">
        <v>6</v>
      </c>
      <c r="L216" s="7" t="inlineStr">
        <is>
          <t>Complete</t>
        </is>
      </c>
      <c r="M216" s="7" t="inlineStr">
        <is>
          <t>Jane Doe</t>
        </is>
      </c>
    </row>
    <row r="217" ht="15" customHeight="1" s="5">
      <c r="A217" s="7" t="inlineStr">
        <is>
          <t>SP0216</t>
        </is>
      </c>
      <c r="B217" s="7" t="inlineStr">
        <is>
          <t>PRJ038</t>
        </is>
      </c>
      <c r="C217" s="7">
        <f>IFERROR(VLOOKUP(B217,Projects!$A:$AK,2,FALSE()),"")</f>
        <v/>
      </c>
      <c r="D217" s="7" t="n">
        <v>8</v>
      </c>
      <c r="E217" s="7" t="inlineStr">
        <is>
          <t>PRJ038 Sprint 8</t>
        </is>
      </c>
      <c r="F217" s="8">
        <f>IFERROR(VLOOKUP(B217,Projects!$A:$AK,16,FALSE()),"")</f>
        <v/>
      </c>
      <c r="G217" s="8">
        <f>IFERROR(VLOOKUP(B217,Projects!$A:$AK,17,FALSE()),"")</f>
        <v/>
      </c>
      <c r="H217" s="7" t="n">
        <v>41</v>
      </c>
      <c r="I217" s="7" t="n">
        <v>43</v>
      </c>
      <c r="J217" s="7" t="n">
        <v>8</v>
      </c>
      <c r="K217" s="7" t="n">
        <v>8</v>
      </c>
      <c r="L217" s="7" t="inlineStr">
        <is>
          <t>Complete</t>
        </is>
      </c>
      <c r="M217" s="7" t="inlineStr">
        <is>
          <t>Jane Doe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L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Release ID</t>
        </is>
      </c>
      <c r="B1" s="6" t="inlineStr">
        <is>
          <t>Project ID</t>
        </is>
      </c>
      <c r="C1" s="6" t="inlineStr">
        <is>
          <t>Project Name</t>
        </is>
      </c>
      <c r="D1" s="6" t="inlineStr">
        <is>
          <t>Release Name</t>
        </is>
      </c>
      <c r="E1" s="6" t="inlineStr">
        <is>
          <t>Version</t>
        </is>
      </c>
      <c r="F1" s="6" t="inlineStr">
        <is>
          <t>Type</t>
        </is>
      </c>
      <c r="G1" s="6" t="inlineStr">
        <is>
          <t>Planned Date</t>
        </is>
      </c>
      <c r="H1" s="6" t="inlineStr">
        <is>
          <t>Actual Date</t>
        </is>
      </c>
      <c r="I1" s="6" t="inlineStr">
        <is>
          <t>Status</t>
        </is>
      </c>
      <c r="J1" s="6" t="inlineStr">
        <is>
          <t>Owner</t>
        </is>
      </c>
      <c r="K1" s="6" t="inlineStr">
        <is>
          <t>Environment</t>
        </is>
      </c>
      <c r="L1" s="6" t="inlineStr">
        <is>
          <t>Notes</t>
        </is>
      </c>
    </row>
    <row r="2" ht="15" customHeight="1" s="5">
      <c r="A2" s="7" t="inlineStr">
        <is>
          <t>REL0001</t>
        </is>
      </c>
      <c r="B2" s="7" t="inlineStr">
        <is>
          <t>PRJ001</t>
        </is>
      </c>
      <c r="C2" s="7">
        <f>IFERROR(VLOOKUP(B2,Projects!$A:$AK,2,FALSE()),"")</f>
        <v/>
      </c>
      <c r="D2" s="7" t="inlineStr">
        <is>
          <t>Customer Portal R1</t>
        </is>
      </c>
      <c r="E2" s="7" t="inlineStr">
        <is>
          <t>1.0.0</t>
        </is>
      </c>
      <c r="F2" s="7" t="inlineStr">
        <is>
          <t>Patch</t>
        </is>
      </c>
      <c r="G2" s="8" t="n">
        <v>45780</v>
      </c>
      <c r="H2" s="8" t="n">
        <v>45781</v>
      </c>
      <c r="I2" s="7" t="inlineStr">
        <is>
          <t>Delivered</t>
        </is>
      </c>
      <c r="J2" s="7" t="inlineStr">
        <is>
          <t>Alex Brown</t>
        </is>
      </c>
      <c r="K2" s="7" t="inlineStr">
        <is>
          <t>Production</t>
        </is>
      </c>
    </row>
    <row r="3" ht="15" customHeight="1" s="5">
      <c r="A3" s="7" t="inlineStr">
        <is>
          <t>REL0002</t>
        </is>
      </c>
      <c r="B3" s="7" t="inlineStr">
        <is>
          <t>PRJ001</t>
        </is>
      </c>
      <c r="C3" s="7">
        <f>IFERROR(VLOOKUP(B3,Projects!$A:$AK,2,FALSE()),"")</f>
        <v/>
      </c>
      <c r="D3" s="7" t="inlineStr">
        <is>
          <t>Customer Portal R2</t>
        </is>
      </c>
      <c r="E3" s="7" t="inlineStr">
        <is>
          <t>2.0.0</t>
        </is>
      </c>
      <c r="F3" s="7" t="inlineStr">
        <is>
          <t>Major</t>
        </is>
      </c>
      <c r="G3" s="8" t="n">
        <v>45858</v>
      </c>
      <c r="H3" s="8" t="n">
        <v>45854</v>
      </c>
      <c r="I3" s="7" t="inlineStr">
        <is>
          <t>Delivered</t>
        </is>
      </c>
      <c r="J3" s="7" t="inlineStr">
        <is>
          <t>Alex Brown</t>
        </is>
      </c>
      <c r="K3" s="7" t="inlineStr">
        <is>
          <t>UAT</t>
        </is>
      </c>
    </row>
    <row r="4" ht="15" customHeight="1" s="5">
      <c r="A4" s="7" t="inlineStr">
        <is>
          <t>REL0003</t>
        </is>
      </c>
      <c r="B4" s="7" t="inlineStr">
        <is>
          <t>PRJ001</t>
        </is>
      </c>
      <c r="C4" s="7">
        <f>IFERROR(VLOOKUP(B4,Projects!$A:$AK,2,FALSE()),"")</f>
        <v/>
      </c>
      <c r="D4" s="7" t="inlineStr">
        <is>
          <t>Customer Portal R3</t>
        </is>
      </c>
      <c r="E4" s="7" t="inlineStr">
        <is>
          <t>3.0.0</t>
        </is>
      </c>
      <c r="F4" s="7" t="inlineStr">
        <is>
          <t>Patch</t>
        </is>
      </c>
      <c r="G4" s="8" t="n">
        <v>45937</v>
      </c>
      <c r="H4" s="8" t="n">
        <v>45942</v>
      </c>
      <c r="I4" s="7" t="inlineStr">
        <is>
          <t>Delivered</t>
        </is>
      </c>
      <c r="J4" s="7" t="inlineStr">
        <is>
          <t>Alex Brown</t>
        </is>
      </c>
      <c r="K4" s="7" t="inlineStr">
        <is>
          <t>Production</t>
        </is>
      </c>
    </row>
    <row r="5" ht="15" customHeight="1" s="5">
      <c r="A5" s="7" t="inlineStr">
        <is>
          <t>REL0004</t>
        </is>
      </c>
      <c r="B5" s="7" t="inlineStr">
        <is>
          <t>PRJ001</t>
        </is>
      </c>
      <c r="C5" s="7">
        <f>IFERROR(VLOOKUP(B5,Projects!$A:$AK,2,FALSE()),"")</f>
        <v/>
      </c>
      <c r="D5" s="7" t="inlineStr">
        <is>
          <t>Customer Portal R4</t>
        </is>
      </c>
      <c r="E5" s="7" t="inlineStr">
        <is>
          <t>4.0.0</t>
        </is>
      </c>
      <c r="F5" s="7" t="inlineStr">
        <is>
          <t>Patch</t>
        </is>
      </c>
      <c r="G5" s="8" t="n">
        <v>46015</v>
      </c>
      <c r="H5" s="8" t="n">
        <v>46016</v>
      </c>
      <c r="I5" s="7" t="inlineStr">
        <is>
          <t>Delivered</t>
        </is>
      </c>
      <c r="J5" s="7" t="inlineStr">
        <is>
          <t>Alex Brown</t>
        </is>
      </c>
      <c r="K5" s="7" t="inlineStr">
        <is>
          <t>UAT</t>
        </is>
      </c>
    </row>
    <row r="6" ht="15" customHeight="1" s="5">
      <c r="A6" s="7" t="inlineStr">
        <is>
          <t>REL0005</t>
        </is>
      </c>
      <c r="B6" s="7" t="inlineStr">
        <is>
          <t>PRJ002</t>
        </is>
      </c>
      <c r="C6" s="7">
        <f>IFERROR(VLOOKUP(B6,Projects!$A:$AK,2,FALSE()),"")</f>
        <v/>
      </c>
      <c r="D6" s="7" t="inlineStr">
        <is>
          <t>Cloud Migration R1</t>
        </is>
      </c>
      <c r="E6" s="7" t="inlineStr">
        <is>
          <t>1.0.0</t>
        </is>
      </c>
      <c r="F6" s="7" t="inlineStr">
        <is>
          <t>Minor</t>
        </is>
      </c>
      <c r="G6" s="8" t="n">
        <v>45777</v>
      </c>
      <c r="H6" s="8" t="n">
        <v>45787</v>
      </c>
      <c r="I6" s="7" t="inlineStr">
        <is>
          <t>Delivered</t>
        </is>
      </c>
      <c r="J6" s="7" t="inlineStr">
        <is>
          <t>Carlos Diaz</t>
        </is>
      </c>
      <c r="K6" s="7" t="inlineStr">
        <is>
          <t>Staging</t>
        </is>
      </c>
    </row>
    <row r="7" ht="15" customHeight="1" s="5">
      <c r="A7" s="7" t="inlineStr">
        <is>
          <t>REL0006</t>
        </is>
      </c>
      <c r="B7" s="7" t="inlineStr">
        <is>
          <t>PRJ002</t>
        </is>
      </c>
      <c r="C7" s="7">
        <f>IFERROR(VLOOKUP(B7,Projects!$A:$AK,2,FALSE()),"")</f>
        <v/>
      </c>
      <c r="D7" s="7" t="inlineStr">
        <is>
          <t>Cloud Migration R2</t>
        </is>
      </c>
      <c r="E7" s="7" t="inlineStr">
        <is>
          <t>2.0.0</t>
        </is>
      </c>
      <c r="F7" s="7" t="inlineStr">
        <is>
          <t>Patch</t>
        </is>
      </c>
      <c r="G7" s="8" t="n">
        <v>45817</v>
      </c>
      <c r="H7" s="8" t="n">
        <v>45825</v>
      </c>
      <c r="I7" s="7" t="inlineStr">
        <is>
          <t>Delivered</t>
        </is>
      </c>
      <c r="J7" s="7" t="inlineStr">
        <is>
          <t>Carlos Diaz</t>
        </is>
      </c>
      <c r="K7" s="7" t="inlineStr">
        <is>
          <t>Staging</t>
        </is>
      </c>
    </row>
    <row r="8" ht="15" customHeight="1" s="5">
      <c r="A8" s="7" t="inlineStr">
        <is>
          <t>REL0007</t>
        </is>
      </c>
      <c r="B8" s="7" t="inlineStr">
        <is>
          <t>PRJ002</t>
        </is>
      </c>
      <c r="C8" s="7">
        <f>IFERROR(VLOOKUP(B8,Projects!$A:$AK,2,FALSE()),"")</f>
        <v/>
      </c>
      <c r="D8" s="7" t="inlineStr">
        <is>
          <t>Cloud Migration R3</t>
        </is>
      </c>
      <c r="E8" s="7" t="inlineStr">
        <is>
          <t>3.0.0</t>
        </is>
      </c>
      <c r="F8" s="7" t="inlineStr">
        <is>
          <t>Major</t>
        </is>
      </c>
      <c r="G8" s="8" t="n">
        <v>45857</v>
      </c>
      <c r="H8" s="8" t="n">
        <v>45864</v>
      </c>
      <c r="I8" s="7" t="inlineStr">
        <is>
          <t>Delivered</t>
        </is>
      </c>
      <c r="J8" s="7" t="inlineStr">
        <is>
          <t>Carlos Diaz</t>
        </is>
      </c>
      <c r="K8" s="7" t="inlineStr">
        <is>
          <t>Staging</t>
        </is>
      </c>
    </row>
    <row r="9" ht="15" customHeight="1" s="5">
      <c r="A9" s="7" t="inlineStr">
        <is>
          <t>REL0008</t>
        </is>
      </c>
      <c r="B9" s="7" t="inlineStr">
        <is>
          <t>PRJ002</t>
        </is>
      </c>
      <c r="C9" s="7">
        <f>IFERROR(VLOOKUP(B9,Projects!$A:$AK,2,FALSE()),"")</f>
        <v/>
      </c>
      <c r="D9" s="7" t="inlineStr">
        <is>
          <t>Cloud Migration R4</t>
        </is>
      </c>
      <c r="E9" s="7" t="inlineStr">
        <is>
          <t>4.0.0</t>
        </is>
      </c>
      <c r="F9" s="7" t="inlineStr">
        <is>
          <t>Major</t>
        </is>
      </c>
      <c r="G9" s="8" t="n">
        <v>45897</v>
      </c>
      <c r="H9" s="8" t="n">
        <v>45898</v>
      </c>
      <c r="I9" s="7" t="inlineStr">
        <is>
          <t>Delivered</t>
        </is>
      </c>
      <c r="J9" s="7" t="inlineStr">
        <is>
          <t>Carlos Diaz</t>
        </is>
      </c>
      <c r="K9" s="7" t="inlineStr">
        <is>
          <t>Staging</t>
        </is>
      </c>
    </row>
    <row r="10" ht="15" customHeight="1" s="5">
      <c r="A10" s="7" t="inlineStr">
        <is>
          <t>REL0009</t>
        </is>
      </c>
      <c r="B10" s="7" t="inlineStr">
        <is>
          <t>PRJ003</t>
        </is>
      </c>
      <c r="C10" s="7">
        <f>IFERROR(VLOOKUP(B10,Projects!$A:$AK,2,FALSE()),"")</f>
        <v/>
      </c>
      <c r="D10" s="7" t="inlineStr">
        <is>
          <t>Data Platform R1</t>
        </is>
      </c>
      <c r="E10" s="7" t="inlineStr">
        <is>
          <t>1.0.0</t>
        </is>
      </c>
      <c r="F10" s="7" t="inlineStr">
        <is>
          <t>Patch</t>
        </is>
      </c>
      <c r="G10" s="8" t="n">
        <v>45906</v>
      </c>
      <c r="H10" s="8" t="n">
        <v>45911</v>
      </c>
      <c r="I10" s="7" t="inlineStr">
        <is>
          <t>Delivered</t>
        </is>
      </c>
      <c r="J10" s="7" t="inlineStr">
        <is>
          <t>Carlos Diaz</t>
        </is>
      </c>
      <c r="K10" s="7" t="inlineStr">
        <is>
          <t>Production</t>
        </is>
      </c>
    </row>
    <row r="11" ht="15" customHeight="1" s="5">
      <c r="A11" s="7" t="inlineStr">
        <is>
          <t>REL0010</t>
        </is>
      </c>
      <c r="B11" s="7" t="inlineStr">
        <is>
          <t>PRJ003</t>
        </is>
      </c>
      <c r="C11" s="7">
        <f>IFERROR(VLOOKUP(B11,Projects!$A:$AK,2,FALSE()),"")</f>
        <v/>
      </c>
      <c r="D11" s="7" t="inlineStr">
        <is>
          <t>Data Platform R2</t>
        </is>
      </c>
      <c r="E11" s="7" t="inlineStr">
        <is>
          <t>2.0.0</t>
        </is>
      </c>
      <c r="F11" s="7" t="inlineStr">
        <is>
          <t>Hotfix</t>
        </is>
      </c>
      <c r="G11" s="8" t="n">
        <v>46056</v>
      </c>
      <c r="H11" s="8" t="n">
        <v>46055</v>
      </c>
      <c r="I11" s="7" t="inlineStr">
        <is>
          <t>Delivered</t>
        </is>
      </c>
      <c r="J11" s="7" t="inlineStr">
        <is>
          <t>Carlos Diaz</t>
        </is>
      </c>
      <c r="K11" s="7" t="inlineStr">
        <is>
          <t>Production</t>
        </is>
      </c>
    </row>
    <row r="12" ht="15" customHeight="1" s="5">
      <c r="A12" s="7" t="inlineStr">
        <is>
          <t>REL0011</t>
        </is>
      </c>
      <c r="B12" s="7" t="inlineStr">
        <is>
          <t>PRJ004</t>
        </is>
      </c>
      <c r="C12" s="7">
        <f>IFERROR(VLOOKUP(B12,Projects!$A:$AK,2,FALSE()),"")</f>
        <v/>
      </c>
      <c r="D12" s="7" t="inlineStr">
        <is>
          <t>AI Assistant R1</t>
        </is>
      </c>
      <c r="E12" s="7" t="inlineStr">
        <is>
          <t>1.0.0</t>
        </is>
      </c>
      <c r="F12" s="7" t="inlineStr">
        <is>
          <t>Major</t>
        </is>
      </c>
      <c r="G12" s="8" t="n">
        <v>46023</v>
      </c>
      <c r="H12" s="8" t="n">
        <v>46028</v>
      </c>
      <c r="I12" s="7" t="inlineStr">
        <is>
          <t>Delivered</t>
        </is>
      </c>
      <c r="J12" s="7" t="inlineStr">
        <is>
          <t>Jane Doe</t>
        </is>
      </c>
      <c r="K12" s="7" t="inlineStr">
        <is>
          <t>Staging</t>
        </is>
      </c>
    </row>
    <row r="13" ht="15" customHeight="1" s="5">
      <c r="A13" s="7" t="inlineStr">
        <is>
          <t>REL0012</t>
        </is>
      </c>
      <c r="B13" s="7" t="inlineStr">
        <is>
          <t>PRJ004</t>
        </is>
      </c>
      <c r="C13" s="7">
        <f>IFERROR(VLOOKUP(B13,Projects!$A:$AK,2,FALSE()),"")</f>
        <v/>
      </c>
      <c r="D13" s="7" t="inlineStr">
        <is>
          <t>AI Assistant R2</t>
        </is>
      </c>
      <c r="E13" s="7" t="inlineStr">
        <is>
          <t>2.0.0</t>
        </is>
      </c>
      <c r="F13" s="7" t="inlineStr">
        <is>
          <t>Patch</t>
        </is>
      </c>
      <c r="G13" s="8" t="n">
        <v>46116</v>
      </c>
      <c r="H13" s="8" t="n">
        <v>46124</v>
      </c>
      <c r="I13" s="7" t="inlineStr">
        <is>
          <t>Delivered</t>
        </is>
      </c>
      <c r="J13" s="7" t="inlineStr">
        <is>
          <t>Jane Doe</t>
        </is>
      </c>
      <c r="K13" s="7" t="inlineStr">
        <is>
          <t>Staging</t>
        </is>
      </c>
    </row>
    <row r="14" ht="15" customHeight="1" s="5">
      <c r="A14" s="7" t="inlineStr">
        <is>
          <t>REL0013</t>
        </is>
      </c>
      <c r="B14" s="7" t="inlineStr">
        <is>
          <t>PRJ004</t>
        </is>
      </c>
      <c r="C14" s="7">
        <f>IFERROR(VLOOKUP(B14,Projects!$A:$AK,2,FALSE()),"")</f>
        <v/>
      </c>
      <c r="D14" s="7" t="inlineStr">
        <is>
          <t>AI Assistant R3</t>
        </is>
      </c>
      <c r="E14" s="7" t="inlineStr">
        <is>
          <t>3.0.0</t>
        </is>
      </c>
      <c r="F14" s="7" t="inlineStr">
        <is>
          <t>Hotfix</t>
        </is>
      </c>
      <c r="G14" s="8" t="n">
        <v>46208</v>
      </c>
      <c r="H14" s="8" t="n">
        <v>46203</v>
      </c>
      <c r="I14" s="7" t="inlineStr">
        <is>
          <t>Delivered</t>
        </is>
      </c>
      <c r="J14" s="7" t="inlineStr">
        <is>
          <t>Jane Doe</t>
        </is>
      </c>
      <c r="K14" s="7" t="inlineStr">
        <is>
          <t>Production</t>
        </is>
      </c>
    </row>
    <row r="15" ht="15" customHeight="1" s="5">
      <c r="A15" s="7" t="inlineStr">
        <is>
          <t>REL0014</t>
        </is>
      </c>
      <c r="B15" s="7" t="inlineStr">
        <is>
          <t>PRJ004</t>
        </is>
      </c>
      <c r="C15" s="7">
        <f>IFERROR(VLOOKUP(B15,Projects!$A:$AK,2,FALSE()),"")</f>
        <v/>
      </c>
      <c r="D15" s="7" t="inlineStr">
        <is>
          <t>AI Assistant R4</t>
        </is>
      </c>
      <c r="E15" s="7" t="inlineStr">
        <is>
          <t>4.0.0</t>
        </is>
      </c>
      <c r="F15" s="7" t="inlineStr">
        <is>
          <t>Hotfix</t>
        </is>
      </c>
      <c r="G15" s="8" t="n">
        <v>46301</v>
      </c>
      <c r="I15" s="7" t="inlineStr">
        <is>
          <t>Planned</t>
        </is>
      </c>
      <c r="J15" s="7" t="inlineStr">
        <is>
          <t>Jane Doe</t>
        </is>
      </c>
      <c r="K15" s="7" t="inlineStr">
        <is>
          <t>Staging</t>
        </is>
      </c>
    </row>
    <row r="16" ht="15" customHeight="1" s="5">
      <c r="A16" s="7" t="inlineStr">
        <is>
          <t>REL0015</t>
        </is>
      </c>
      <c r="B16" s="7" t="inlineStr">
        <is>
          <t>PRJ005</t>
        </is>
      </c>
      <c r="C16" s="7">
        <f>IFERROR(VLOOKUP(B16,Projects!$A:$AK,2,FALSE()),"")</f>
        <v/>
      </c>
      <c r="D16" s="7" t="inlineStr">
        <is>
          <t>Network Refresh R1</t>
        </is>
      </c>
      <c r="E16" s="7" t="inlineStr">
        <is>
          <t>1.0.0</t>
        </is>
      </c>
      <c r="F16" s="7" t="inlineStr">
        <is>
          <t>Minor</t>
        </is>
      </c>
      <c r="G16" s="8" t="n">
        <v>46131</v>
      </c>
      <c r="H16" s="8" t="n">
        <v>46127</v>
      </c>
      <c r="I16" s="7" t="inlineStr">
        <is>
          <t>Delivered</t>
        </is>
      </c>
      <c r="J16" s="7" t="inlineStr">
        <is>
          <t>Priya Patel</t>
        </is>
      </c>
      <c r="K16" s="7" t="inlineStr">
        <is>
          <t>Staging</t>
        </is>
      </c>
    </row>
    <row r="17" ht="15" customHeight="1" s="5">
      <c r="A17" s="7" t="inlineStr">
        <is>
          <t>REL0016</t>
        </is>
      </c>
      <c r="B17" s="7" t="inlineStr">
        <is>
          <t>PRJ006</t>
        </is>
      </c>
      <c r="C17" s="7">
        <f>IFERROR(VLOOKUP(B17,Projects!$A:$AK,2,FALSE()),"")</f>
        <v/>
      </c>
      <c r="D17" s="7" t="inlineStr">
        <is>
          <t>Cyber Security Program R1</t>
        </is>
      </c>
      <c r="E17" s="7" t="inlineStr">
        <is>
          <t>1.0.0</t>
        </is>
      </c>
      <c r="F17" s="7" t="inlineStr">
        <is>
          <t>Minor</t>
        </is>
      </c>
      <c r="G17" s="8" t="n">
        <v>45873</v>
      </c>
      <c r="H17" s="8" t="n">
        <v>45881</v>
      </c>
      <c r="I17" s="7" t="inlineStr">
        <is>
          <t>Delivered</t>
        </is>
      </c>
      <c r="J17" s="7" t="inlineStr">
        <is>
          <t>Alex Brown</t>
        </is>
      </c>
      <c r="K17" s="7" t="inlineStr">
        <is>
          <t>Staging</t>
        </is>
      </c>
    </row>
    <row r="18" ht="15" customHeight="1" s="5">
      <c r="A18" s="7" t="inlineStr">
        <is>
          <t>REL0017</t>
        </is>
      </c>
      <c r="B18" s="7" t="inlineStr">
        <is>
          <t>PRJ006</t>
        </is>
      </c>
      <c r="C18" s="7">
        <f>IFERROR(VLOOKUP(B18,Projects!$A:$AK,2,FALSE()),"")</f>
        <v/>
      </c>
      <c r="D18" s="7" t="inlineStr">
        <is>
          <t>Cyber Security Program R2</t>
        </is>
      </c>
      <c r="E18" s="7" t="inlineStr">
        <is>
          <t>2.0.0</t>
        </is>
      </c>
      <c r="F18" s="7" t="inlineStr">
        <is>
          <t>Minor</t>
        </is>
      </c>
      <c r="G18" s="8" t="n">
        <v>46010</v>
      </c>
      <c r="H18" s="8" t="n">
        <v>46017</v>
      </c>
      <c r="I18" s="7" t="inlineStr">
        <is>
          <t>Delivered</t>
        </is>
      </c>
      <c r="J18" s="7" t="inlineStr">
        <is>
          <t>Alex Brown</t>
        </is>
      </c>
      <c r="K18" s="7" t="inlineStr">
        <is>
          <t>UAT</t>
        </is>
      </c>
    </row>
    <row r="19" ht="15" customHeight="1" s="5">
      <c r="A19" s="7" t="inlineStr">
        <is>
          <t>REL0018</t>
        </is>
      </c>
      <c r="B19" s="7" t="inlineStr">
        <is>
          <t>PRJ007</t>
        </is>
      </c>
      <c r="C19" s="7">
        <f>IFERROR(VLOOKUP(B19,Projects!$A:$AK,2,FALSE()),"")</f>
        <v/>
      </c>
      <c r="D19" s="7" t="inlineStr">
        <is>
          <t>CRM Upgrade R1</t>
        </is>
      </c>
      <c r="E19" s="7" t="inlineStr">
        <is>
          <t>1.0.0</t>
        </is>
      </c>
      <c r="F19" s="7" t="inlineStr">
        <is>
          <t>Major</t>
        </is>
      </c>
      <c r="G19" s="8" t="n">
        <v>45987</v>
      </c>
      <c r="H19" s="8" t="n">
        <v>45988</v>
      </c>
      <c r="I19" s="7" t="inlineStr">
        <is>
          <t>Delivered</t>
        </is>
      </c>
      <c r="J19" s="7" t="inlineStr">
        <is>
          <t>Alex Brown</t>
        </is>
      </c>
      <c r="K19" s="7" t="inlineStr">
        <is>
          <t>UAT</t>
        </is>
      </c>
    </row>
    <row r="20" ht="15" customHeight="1" s="5">
      <c r="A20" s="7" t="inlineStr">
        <is>
          <t>REL0019</t>
        </is>
      </c>
      <c r="B20" s="7" t="inlineStr">
        <is>
          <t>PRJ007</t>
        </is>
      </c>
      <c r="C20" s="7">
        <f>IFERROR(VLOOKUP(B20,Projects!$A:$AK,2,FALSE()),"")</f>
        <v/>
      </c>
      <c r="D20" s="7" t="inlineStr">
        <is>
          <t>CRM Upgrade R2</t>
        </is>
      </c>
      <c r="E20" s="7" t="inlineStr">
        <is>
          <t>2.0.0</t>
        </is>
      </c>
      <c r="F20" s="7" t="inlineStr">
        <is>
          <t>Major</t>
        </is>
      </c>
      <c r="G20" s="8" t="n">
        <v>46183</v>
      </c>
      <c r="H20" s="8" t="n">
        <v>46189</v>
      </c>
      <c r="I20" s="7" t="inlineStr">
        <is>
          <t>Delivered</t>
        </is>
      </c>
      <c r="J20" s="7" t="inlineStr">
        <is>
          <t>Alex Brown</t>
        </is>
      </c>
      <c r="K20" s="7" t="inlineStr">
        <is>
          <t>UAT</t>
        </is>
      </c>
    </row>
    <row r="21" ht="15" customHeight="1" s="5">
      <c r="A21" s="7" t="inlineStr">
        <is>
          <t>REL0020</t>
        </is>
      </c>
      <c r="B21" s="7" t="inlineStr">
        <is>
          <t>PRJ008</t>
        </is>
      </c>
      <c r="C21" s="7">
        <f>IFERROR(VLOOKUP(B21,Projects!$A:$AK,2,FALSE()),"")</f>
        <v/>
      </c>
      <c r="D21" s="7" t="inlineStr">
        <is>
          <t>Mobile App R1</t>
        </is>
      </c>
      <c r="E21" s="7" t="inlineStr">
        <is>
          <t>1.0.0</t>
        </is>
      </c>
      <c r="F21" s="7" t="inlineStr">
        <is>
          <t>Hotfix</t>
        </is>
      </c>
      <c r="G21" s="8" t="n">
        <v>45809</v>
      </c>
      <c r="H21" s="8" t="n">
        <v>45807</v>
      </c>
      <c r="I21" s="7" t="inlineStr">
        <is>
          <t>Delivered</t>
        </is>
      </c>
      <c r="J21" s="7" t="inlineStr">
        <is>
          <t>Carlos Diaz</t>
        </is>
      </c>
      <c r="K21" s="7" t="inlineStr">
        <is>
          <t>Staging</t>
        </is>
      </c>
    </row>
    <row r="22" ht="15" customHeight="1" s="5">
      <c r="A22" s="7" t="inlineStr">
        <is>
          <t>REL0021</t>
        </is>
      </c>
      <c r="B22" s="7" t="inlineStr">
        <is>
          <t>PRJ008</t>
        </is>
      </c>
      <c r="C22" s="7">
        <f>IFERROR(VLOOKUP(B22,Projects!$A:$AK,2,FALSE()),"")</f>
        <v/>
      </c>
      <c r="D22" s="7" t="inlineStr">
        <is>
          <t>Mobile App R2</t>
        </is>
      </c>
      <c r="E22" s="7" t="inlineStr">
        <is>
          <t>2.0.0</t>
        </is>
      </c>
      <c r="F22" s="7" t="inlineStr">
        <is>
          <t>Hotfix</t>
        </is>
      </c>
      <c r="G22" s="8" t="n">
        <v>45839</v>
      </c>
      <c r="H22" s="8" t="n">
        <v>45848</v>
      </c>
      <c r="I22" s="7" t="inlineStr">
        <is>
          <t>Delivered</t>
        </is>
      </c>
      <c r="J22" s="7" t="inlineStr">
        <is>
          <t>Carlos Diaz</t>
        </is>
      </c>
      <c r="K22" s="7" t="inlineStr">
        <is>
          <t>UAT</t>
        </is>
      </c>
    </row>
    <row r="23" ht="15" customHeight="1" s="5">
      <c r="A23" s="7" t="inlineStr">
        <is>
          <t>REL0022</t>
        </is>
      </c>
      <c r="B23" s="7" t="inlineStr">
        <is>
          <t>PRJ008</t>
        </is>
      </c>
      <c r="C23" s="7">
        <f>IFERROR(VLOOKUP(B23,Projects!$A:$AK,2,FALSE()),"")</f>
        <v/>
      </c>
      <c r="D23" s="7" t="inlineStr">
        <is>
          <t>Mobile App R3</t>
        </is>
      </c>
      <c r="E23" s="7" t="inlineStr">
        <is>
          <t>3.0.0</t>
        </is>
      </c>
      <c r="F23" s="7" t="inlineStr">
        <is>
          <t>Patch</t>
        </is>
      </c>
      <c r="G23" s="8" t="n">
        <v>45869</v>
      </c>
      <c r="H23" s="8" t="n">
        <v>45875</v>
      </c>
      <c r="I23" s="7" t="inlineStr">
        <is>
          <t>Delivered</t>
        </is>
      </c>
      <c r="J23" s="7" t="inlineStr">
        <is>
          <t>Carlos Diaz</t>
        </is>
      </c>
      <c r="K23" s="7" t="inlineStr">
        <is>
          <t>Staging</t>
        </is>
      </c>
    </row>
    <row r="24" ht="15" customHeight="1" s="5">
      <c r="A24" s="7" t="inlineStr">
        <is>
          <t>REL0023</t>
        </is>
      </c>
      <c r="B24" s="7" t="inlineStr">
        <is>
          <t>PRJ009</t>
        </is>
      </c>
      <c r="C24" s="7">
        <f>IFERROR(VLOOKUP(B24,Projects!$A:$AK,2,FALSE()),"")</f>
        <v/>
      </c>
      <c r="D24" s="7" t="inlineStr">
        <is>
          <t>ERP Modernisation R1</t>
        </is>
      </c>
      <c r="E24" s="7" t="inlineStr">
        <is>
          <t>1.0.0</t>
        </is>
      </c>
      <c r="F24" s="7" t="inlineStr">
        <is>
          <t>Major</t>
        </is>
      </c>
      <c r="G24" s="8" t="n">
        <v>46072</v>
      </c>
      <c r="H24" s="8" t="n">
        <v>46077</v>
      </c>
      <c r="I24" s="7" t="inlineStr">
        <is>
          <t>Delivered</t>
        </is>
      </c>
      <c r="J24" s="7" t="inlineStr">
        <is>
          <t>Jane Doe</t>
        </is>
      </c>
      <c r="K24" s="7" t="inlineStr">
        <is>
          <t>Production</t>
        </is>
      </c>
    </row>
    <row r="25" ht="15" customHeight="1" s="5">
      <c r="A25" s="7" t="inlineStr">
        <is>
          <t>REL0024</t>
        </is>
      </c>
      <c r="B25" s="7" t="inlineStr">
        <is>
          <t>PRJ009</t>
        </is>
      </c>
      <c r="C25" s="7">
        <f>IFERROR(VLOOKUP(B25,Projects!$A:$AK,2,FALSE()),"")</f>
        <v/>
      </c>
      <c r="D25" s="7" t="inlineStr">
        <is>
          <t>ERP Modernisation R2</t>
        </is>
      </c>
      <c r="E25" s="7" t="inlineStr">
        <is>
          <t>2.0.0</t>
        </is>
      </c>
      <c r="F25" s="7" t="inlineStr">
        <is>
          <t>Hotfix</t>
        </is>
      </c>
      <c r="G25" s="8" t="n">
        <v>46122</v>
      </c>
      <c r="H25" s="8" t="n">
        <v>46131</v>
      </c>
      <c r="I25" s="7" t="inlineStr">
        <is>
          <t>Delivered</t>
        </is>
      </c>
      <c r="J25" s="7" t="inlineStr">
        <is>
          <t>Jane Doe</t>
        </is>
      </c>
      <c r="K25" s="7" t="inlineStr">
        <is>
          <t>UAT</t>
        </is>
      </c>
    </row>
    <row r="26" ht="15" customHeight="1" s="5">
      <c r="A26" s="7" t="inlineStr">
        <is>
          <t>REL0025</t>
        </is>
      </c>
      <c r="B26" s="7" t="inlineStr">
        <is>
          <t>PRJ009</t>
        </is>
      </c>
      <c r="C26" s="7">
        <f>IFERROR(VLOOKUP(B26,Projects!$A:$AK,2,FALSE()),"")</f>
        <v/>
      </c>
      <c r="D26" s="7" t="inlineStr">
        <is>
          <t>ERP Modernisation R3</t>
        </is>
      </c>
      <c r="E26" s="7" t="inlineStr">
        <is>
          <t>3.0.0</t>
        </is>
      </c>
      <c r="F26" s="7" t="inlineStr">
        <is>
          <t>Minor</t>
        </is>
      </c>
      <c r="G26" s="8" t="n">
        <v>46172</v>
      </c>
      <c r="H26" s="8" t="n">
        <v>46172</v>
      </c>
      <c r="I26" s="7" t="inlineStr">
        <is>
          <t>Delivered</t>
        </is>
      </c>
      <c r="J26" s="7" t="inlineStr">
        <is>
          <t>Jane Doe</t>
        </is>
      </c>
      <c r="K26" s="7" t="inlineStr">
        <is>
          <t>Staging</t>
        </is>
      </c>
    </row>
    <row r="27" ht="15" customHeight="1" s="5">
      <c r="A27" s="7" t="inlineStr">
        <is>
          <t>REL0026</t>
        </is>
      </c>
      <c r="B27" s="7" t="inlineStr">
        <is>
          <t>PRJ009</t>
        </is>
      </c>
      <c r="C27" s="7">
        <f>IFERROR(VLOOKUP(B27,Projects!$A:$AK,2,FALSE()),"")</f>
        <v/>
      </c>
      <c r="D27" s="7" t="inlineStr">
        <is>
          <t>ERP Modernisation R4</t>
        </is>
      </c>
      <c r="E27" s="7" t="inlineStr">
        <is>
          <t>4.0.0</t>
        </is>
      </c>
      <c r="F27" s="7" t="inlineStr">
        <is>
          <t>Hotfix</t>
        </is>
      </c>
      <c r="G27" s="8" t="n">
        <v>46222</v>
      </c>
      <c r="I27" s="7" t="inlineStr">
        <is>
          <t>In Progress</t>
        </is>
      </c>
      <c r="J27" s="7" t="inlineStr">
        <is>
          <t>Jane Doe</t>
        </is>
      </c>
      <c r="K27" s="7" t="inlineStr">
        <is>
          <t>UAT</t>
        </is>
      </c>
    </row>
    <row r="28" ht="15" customHeight="1" s="5">
      <c r="A28" s="7" t="inlineStr">
        <is>
          <t>REL0027</t>
        </is>
      </c>
      <c r="B28" s="7" t="inlineStr">
        <is>
          <t>PRJ010</t>
        </is>
      </c>
      <c r="C28" s="7">
        <f>IFERROR(VLOOKUP(B28,Projects!$A:$AK,2,FALSE()),"")</f>
        <v/>
      </c>
      <c r="D28" s="7" t="inlineStr">
        <is>
          <t>Workforce Enablement R1</t>
        </is>
      </c>
      <c r="E28" s="7" t="inlineStr">
        <is>
          <t>1.0.0</t>
        </is>
      </c>
      <c r="F28" s="7" t="inlineStr">
        <is>
          <t>Patch</t>
        </is>
      </c>
      <c r="G28" s="8" t="n">
        <v>45782</v>
      </c>
      <c r="H28" s="8" t="n">
        <v>45790</v>
      </c>
      <c r="I28" s="7" t="inlineStr">
        <is>
          <t>Delivered</t>
        </is>
      </c>
      <c r="J28" s="7" t="inlineStr">
        <is>
          <t>Priya Patel</t>
        </is>
      </c>
      <c r="K28" s="7" t="inlineStr">
        <is>
          <t>Staging</t>
        </is>
      </c>
    </row>
    <row r="29" ht="15" customHeight="1" s="5">
      <c r="A29" s="7" t="inlineStr">
        <is>
          <t>REL0028</t>
        </is>
      </c>
      <c r="B29" s="7" t="inlineStr">
        <is>
          <t>PRJ010</t>
        </is>
      </c>
      <c r="C29" s="7">
        <f>IFERROR(VLOOKUP(B29,Projects!$A:$AK,2,FALSE()),"")</f>
        <v/>
      </c>
      <c r="D29" s="7" t="inlineStr">
        <is>
          <t>Workforce Enablement R2</t>
        </is>
      </c>
      <c r="E29" s="7" t="inlineStr">
        <is>
          <t>2.0.0</t>
        </is>
      </c>
      <c r="F29" s="7" t="inlineStr">
        <is>
          <t>Major</t>
        </is>
      </c>
      <c r="G29" s="8" t="n">
        <v>45870</v>
      </c>
      <c r="H29" s="8" t="n">
        <v>45868</v>
      </c>
      <c r="I29" s="7" t="inlineStr">
        <is>
          <t>Delivered</t>
        </is>
      </c>
      <c r="J29" s="7" t="inlineStr">
        <is>
          <t>Priya Patel</t>
        </is>
      </c>
      <c r="K29" s="7" t="inlineStr">
        <is>
          <t>Production</t>
        </is>
      </c>
    </row>
    <row r="30" ht="15" customHeight="1" s="5">
      <c r="A30" s="7" t="inlineStr">
        <is>
          <t>REL0029</t>
        </is>
      </c>
      <c r="B30" s="7" t="inlineStr">
        <is>
          <t>PRJ010</t>
        </is>
      </c>
      <c r="C30" s="7">
        <f>IFERROR(VLOOKUP(B30,Projects!$A:$AK,2,FALSE()),"")</f>
        <v/>
      </c>
      <c r="D30" s="7" t="inlineStr">
        <is>
          <t>Workforce Enablement R3</t>
        </is>
      </c>
      <c r="E30" s="7" t="inlineStr">
        <is>
          <t>3.0.0</t>
        </is>
      </c>
      <c r="F30" s="7" t="inlineStr">
        <is>
          <t>Major</t>
        </is>
      </c>
      <c r="G30" s="8" t="n">
        <v>45958</v>
      </c>
      <c r="H30" s="8" t="n">
        <v>45955</v>
      </c>
      <c r="I30" s="7" t="inlineStr">
        <is>
          <t>Delivered</t>
        </is>
      </c>
      <c r="J30" s="7" t="inlineStr">
        <is>
          <t>Priya Patel</t>
        </is>
      </c>
      <c r="K30" s="7" t="inlineStr">
        <is>
          <t>Staging</t>
        </is>
      </c>
    </row>
    <row r="31" ht="15" customHeight="1" s="5">
      <c r="A31" s="7" t="inlineStr">
        <is>
          <t>REL0030</t>
        </is>
      </c>
      <c r="B31" s="7" t="inlineStr">
        <is>
          <t>PRJ011</t>
        </is>
      </c>
      <c r="C31" s="7">
        <f>IFERROR(VLOOKUP(B31,Projects!$A:$AK,2,FALSE()),"")</f>
        <v/>
      </c>
      <c r="D31" s="7" t="inlineStr">
        <is>
          <t>IoT Initiative R1</t>
        </is>
      </c>
      <c r="E31" s="7" t="inlineStr">
        <is>
          <t>1.0.0</t>
        </is>
      </c>
      <c r="F31" s="7" t="inlineStr">
        <is>
          <t>Hotfix</t>
        </is>
      </c>
      <c r="G31" s="8" t="n">
        <v>46016</v>
      </c>
      <c r="H31" s="8" t="n">
        <v>46014</v>
      </c>
      <c r="I31" s="7" t="inlineStr">
        <is>
          <t>Delivered</t>
        </is>
      </c>
      <c r="J31" s="7" t="inlineStr">
        <is>
          <t>Jane Doe</t>
        </is>
      </c>
      <c r="K31" s="7" t="inlineStr">
        <is>
          <t>Staging</t>
        </is>
      </c>
    </row>
    <row r="32" ht="15" customHeight="1" s="5">
      <c r="A32" s="7" t="inlineStr">
        <is>
          <t>REL0031</t>
        </is>
      </c>
      <c r="B32" s="7" t="inlineStr">
        <is>
          <t>PRJ011</t>
        </is>
      </c>
      <c r="C32" s="7">
        <f>IFERROR(VLOOKUP(B32,Projects!$A:$AK,2,FALSE()),"")</f>
        <v/>
      </c>
      <c r="D32" s="7" t="inlineStr">
        <is>
          <t>IoT Initiative R2</t>
        </is>
      </c>
      <c r="E32" s="7" t="inlineStr">
        <is>
          <t>2.0.0</t>
        </is>
      </c>
      <c r="F32" s="7" t="inlineStr">
        <is>
          <t>Hotfix</t>
        </is>
      </c>
      <c r="G32" s="8" t="n">
        <v>46044</v>
      </c>
      <c r="H32" s="8" t="n">
        <v>46042</v>
      </c>
      <c r="I32" s="7" t="inlineStr">
        <is>
          <t>Delivered</t>
        </is>
      </c>
      <c r="J32" s="7" t="inlineStr">
        <is>
          <t>Jane Doe</t>
        </is>
      </c>
      <c r="K32" s="7" t="inlineStr">
        <is>
          <t>Staging</t>
        </is>
      </c>
    </row>
    <row r="33" ht="15" customHeight="1" s="5">
      <c r="A33" s="7" t="inlineStr">
        <is>
          <t>REL0032</t>
        </is>
      </c>
      <c r="B33" s="7" t="inlineStr">
        <is>
          <t>PRJ011</t>
        </is>
      </c>
      <c r="C33" s="7">
        <f>IFERROR(VLOOKUP(B33,Projects!$A:$AK,2,FALSE()),"")</f>
        <v/>
      </c>
      <c r="D33" s="7" t="inlineStr">
        <is>
          <t>IoT Initiative R3</t>
        </is>
      </c>
      <c r="E33" s="7" t="inlineStr">
        <is>
          <t>3.0.0</t>
        </is>
      </c>
      <c r="F33" s="7" t="inlineStr">
        <is>
          <t>Patch</t>
        </is>
      </c>
      <c r="G33" s="8" t="n">
        <v>46072</v>
      </c>
      <c r="H33" s="8" t="n">
        <v>46068</v>
      </c>
      <c r="I33" s="7" t="inlineStr">
        <is>
          <t>Delivered</t>
        </is>
      </c>
      <c r="J33" s="7" t="inlineStr">
        <is>
          <t>Jane Doe</t>
        </is>
      </c>
      <c r="K33" s="7" t="inlineStr">
        <is>
          <t>UAT</t>
        </is>
      </c>
    </row>
    <row r="34" ht="15" customHeight="1" s="5">
      <c r="A34" s="7" t="inlineStr">
        <is>
          <t>REL0033</t>
        </is>
      </c>
      <c r="B34" s="7" t="inlineStr">
        <is>
          <t>PRJ011</t>
        </is>
      </c>
      <c r="C34" s="7">
        <f>IFERROR(VLOOKUP(B34,Projects!$A:$AK,2,FALSE()),"")</f>
        <v/>
      </c>
      <c r="D34" s="7" t="inlineStr">
        <is>
          <t>IoT Initiative R4</t>
        </is>
      </c>
      <c r="E34" s="7" t="inlineStr">
        <is>
          <t>4.0.0</t>
        </is>
      </c>
      <c r="F34" s="7" t="inlineStr">
        <is>
          <t>Minor</t>
        </is>
      </c>
      <c r="G34" s="8" t="n">
        <v>46100</v>
      </c>
      <c r="H34" s="8" t="n">
        <v>46101</v>
      </c>
      <c r="I34" s="7" t="inlineStr">
        <is>
          <t>Delivered</t>
        </is>
      </c>
      <c r="J34" s="7" t="inlineStr">
        <is>
          <t>Jane Doe</t>
        </is>
      </c>
      <c r="K34" s="7" t="inlineStr">
        <is>
          <t>UAT</t>
        </is>
      </c>
    </row>
    <row r="35" ht="15" customHeight="1" s="5">
      <c r="A35" s="7" t="inlineStr">
        <is>
          <t>REL0034</t>
        </is>
      </c>
      <c r="B35" s="7" t="inlineStr">
        <is>
          <t>PRJ012</t>
        </is>
      </c>
      <c r="C35" s="7">
        <f>IFERROR(VLOOKUP(B35,Projects!$A:$AK,2,FALSE()),"")</f>
        <v/>
      </c>
      <c r="D35" s="7" t="inlineStr">
        <is>
          <t>Analytics Platform R1</t>
        </is>
      </c>
      <c r="E35" s="7" t="inlineStr">
        <is>
          <t>1.0.0</t>
        </is>
      </c>
      <c r="F35" s="7" t="inlineStr">
        <is>
          <t>Minor</t>
        </is>
      </c>
      <c r="G35" s="8" t="n">
        <v>46037</v>
      </c>
      <c r="H35" s="8" t="n">
        <v>46035</v>
      </c>
      <c r="I35" s="7" t="inlineStr">
        <is>
          <t>Delivered</t>
        </is>
      </c>
      <c r="J35" s="7" t="inlineStr">
        <is>
          <t>Jane Doe</t>
        </is>
      </c>
      <c r="K35" s="7" t="inlineStr">
        <is>
          <t>UAT</t>
        </is>
      </c>
    </row>
    <row r="36" ht="15" customHeight="1" s="5">
      <c r="A36" s="7" t="inlineStr">
        <is>
          <t>REL0035</t>
        </is>
      </c>
      <c r="B36" s="7" t="inlineStr">
        <is>
          <t>PRJ012</t>
        </is>
      </c>
      <c r="C36" s="7">
        <f>IFERROR(VLOOKUP(B36,Projects!$A:$AK,2,FALSE()),"")</f>
        <v/>
      </c>
      <c r="D36" s="7" t="inlineStr">
        <is>
          <t>Analytics Platform R2</t>
        </is>
      </c>
      <c r="E36" s="7" t="inlineStr">
        <is>
          <t>2.0.0</t>
        </is>
      </c>
      <c r="F36" s="7" t="inlineStr">
        <is>
          <t>Patch</t>
        </is>
      </c>
      <c r="G36" s="8" t="n">
        <v>46141</v>
      </c>
      <c r="H36" s="8" t="n">
        <v>46139</v>
      </c>
      <c r="I36" s="7" t="inlineStr">
        <is>
          <t>Delivered</t>
        </is>
      </c>
      <c r="J36" s="7" t="inlineStr">
        <is>
          <t>Jane Doe</t>
        </is>
      </c>
      <c r="K36" s="7" t="inlineStr">
        <is>
          <t>UAT</t>
        </is>
      </c>
    </row>
    <row r="37" ht="15" customHeight="1" s="5">
      <c r="A37" s="7" t="inlineStr">
        <is>
          <t>REL0036</t>
        </is>
      </c>
      <c r="B37" s="7" t="inlineStr">
        <is>
          <t>PRJ012</t>
        </is>
      </c>
      <c r="C37" s="7">
        <f>IFERROR(VLOOKUP(B37,Projects!$A:$AK,2,FALSE()),"")</f>
        <v/>
      </c>
      <c r="D37" s="7" t="inlineStr">
        <is>
          <t>Analytics Platform R3</t>
        </is>
      </c>
      <c r="E37" s="7" t="inlineStr">
        <is>
          <t>3.0.0</t>
        </is>
      </c>
      <c r="F37" s="7" t="inlineStr">
        <is>
          <t>Hotfix</t>
        </is>
      </c>
      <c r="G37" s="8" t="n">
        <v>46244</v>
      </c>
      <c r="I37" s="7" t="inlineStr">
        <is>
          <t>In Progress</t>
        </is>
      </c>
      <c r="J37" s="7" t="inlineStr">
        <is>
          <t>Jane Doe</t>
        </is>
      </c>
      <c r="K37" s="7" t="inlineStr">
        <is>
          <t>Staging</t>
        </is>
      </c>
    </row>
    <row r="38" ht="15" customHeight="1" s="5">
      <c r="A38" s="7" t="inlineStr">
        <is>
          <t>REL0037</t>
        </is>
      </c>
      <c r="B38" s="7" t="inlineStr">
        <is>
          <t>PRJ012</t>
        </is>
      </c>
      <c r="C38" s="7">
        <f>IFERROR(VLOOKUP(B38,Projects!$A:$AK,2,FALSE()),"")</f>
        <v/>
      </c>
      <c r="D38" s="7" t="inlineStr">
        <is>
          <t>Analytics Platform R4</t>
        </is>
      </c>
      <c r="E38" s="7" t="inlineStr">
        <is>
          <t>4.0.0</t>
        </is>
      </c>
      <c r="F38" s="7" t="inlineStr">
        <is>
          <t>Hotfix</t>
        </is>
      </c>
      <c r="G38" s="8" t="n">
        <v>46348</v>
      </c>
      <c r="I38" s="7" t="inlineStr">
        <is>
          <t>Planned</t>
        </is>
      </c>
      <c r="J38" s="7" t="inlineStr">
        <is>
          <t>Jane Doe</t>
        </is>
      </c>
      <c r="K38" s="7" t="inlineStr">
        <is>
          <t>Production</t>
        </is>
      </c>
    </row>
    <row r="39" ht="15" customHeight="1" s="5">
      <c r="A39" s="7" t="inlineStr">
        <is>
          <t>REL0038</t>
        </is>
      </c>
      <c r="B39" s="7" t="inlineStr">
        <is>
          <t>PRJ013</t>
        </is>
      </c>
      <c r="C39" s="7">
        <f>IFERROR(VLOOKUP(B39,Projects!$A:$AK,2,FALSE()),"")</f>
        <v/>
      </c>
      <c r="D39" s="7" t="inlineStr">
        <is>
          <t>API Gateway R1</t>
        </is>
      </c>
      <c r="E39" s="7" t="inlineStr">
        <is>
          <t>1.0.0</t>
        </is>
      </c>
      <c r="F39" s="7" t="inlineStr">
        <is>
          <t>Patch</t>
        </is>
      </c>
      <c r="G39" s="8" t="n">
        <v>46110</v>
      </c>
      <c r="H39" s="8" t="n">
        <v>46112</v>
      </c>
      <c r="I39" s="7" t="inlineStr">
        <is>
          <t>Delivered</t>
        </is>
      </c>
      <c r="J39" s="7" t="inlineStr">
        <is>
          <t>Priya Patel</t>
        </is>
      </c>
      <c r="K39" s="7" t="inlineStr">
        <is>
          <t>UAT</t>
        </is>
      </c>
    </row>
    <row r="40" ht="15" customHeight="1" s="5">
      <c r="A40" s="7" t="inlineStr">
        <is>
          <t>REL0039</t>
        </is>
      </c>
      <c r="B40" s="7" t="inlineStr">
        <is>
          <t>PRJ013</t>
        </is>
      </c>
      <c r="C40" s="7">
        <f>IFERROR(VLOOKUP(B40,Projects!$A:$AK,2,FALSE()),"")</f>
        <v/>
      </c>
      <c r="D40" s="7" t="inlineStr">
        <is>
          <t>API Gateway R2</t>
        </is>
      </c>
      <c r="E40" s="7" t="inlineStr">
        <is>
          <t>2.0.0</t>
        </is>
      </c>
      <c r="F40" s="7" t="inlineStr">
        <is>
          <t>Patch</t>
        </is>
      </c>
      <c r="G40" s="8" t="n">
        <v>46224</v>
      </c>
      <c r="I40" s="7" t="inlineStr">
        <is>
          <t>In Progress</t>
        </is>
      </c>
      <c r="J40" s="7" t="inlineStr">
        <is>
          <t>Priya Patel</t>
        </is>
      </c>
      <c r="K40" s="7" t="inlineStr">
        <is>
          <t>UAT</t>
        </is>
      </c>
    </row>
    <row r="41" ht="15" customHeight="1" s="5">
      <c r="A41" s="7" t="inlineStr">
        <is>
          <t>REL0040</t>
        </is>
      </c>
      <c r="B41" s="7" t="inlineStr">
        <is>
          <t>PRJ013</t>
        </is>
      </c>
      <c r="C41" s="7">
        <f>IFERROR(VLOOKUP(B41,Projects!$A:$AK,2,FALSE()),"")</f>
        <v/>
      </c>
      <c r="D41" s="7" t="inlineStr">
        <is>
          <t>API Gateway R3</t>
        </is>
      </c>
      <c r="E41" s="7" t="inlineStr">
        <is>
          <t>3.0.0</t>
        </is>
      </c>
      <c r="F41" s="7" t="inlineStr">
        <is>
          <t>Hotfix</t>
        </is>
      </c>
      <c r="G41" s="8" t="n">
        <v>46338</v>
      </c>
      <c r="I41" s="7" t="inlineStr">
        <is>
          <t>Planned</t>
        </is>
      </c>
      <c r="J41" s="7" t="inlineStr">
        <is>
          <t>Priya Patel</t>
        </is>
      </c>
      <c r="K41" s="7" t="inlineStr">
        <is>
          <t>Staging</t>
        </is>
      </c>
    </row>
    <row r="42" ht="15" customHeight="1" s="5">
      <c r="A42" s="7" t="inlineStr">
        <is>
          <t>REL0041</t>
        </is>
      </c>
      <c r="B42" s="7" t="inlineStr">
        <is>
          <t>PRJ014</t>
        </is>
      </c>
      <c r="C42" s="7">
        <f>IFERROR(VLOOKUP(B42,Projects!$A:$AK,2,FALSE()),"")</f>
        <v/>
      </c>
      <c r="D42" s="7" t="inlineStr">
        <is>
          <t>Identity Mgmt R1</t>
        </is>
      </c>
      <c r="E42" s="7" t="inlineStr">
        <is>
          <t>1.0.0</t>
        </is>
      </c>
      <c r="F42" s="7" t="inlineStr">
        <is>
          <t>Hotfix</t>
        </is>
      </c>
      <c r="G42" s="8" t="n">
        <v>45824</v>
      </c>
      <c r="H42" s="8" t="n">
        <v>45819</v>
      </c>
      <c r="I42" s="7" t="inlineStr">
        <is>
          <t>Delivered</t>
        </is>
      </c>
      <c r="J42" s="7" t="inlineStr">
        <is>
          <t>Alex Brown</t>
        </is>
      </c>
      <c r="K42" s="7" t="inlineStr">
        <is>
          <t>Production</t>
        </is>
      </c>
    </row>
    <row r="43" ht="15" customHeight="1" s="5">
      <c r="A43" s="7" t="inlineStr">
        <is>
          <t>REL0042</t>
        </is>
      </c>
      <c r="B43" s="7" t="inlineStr">
        <is>
          <t>PRJ014</t>
        </is>
      </c>
      <c r="C43" s="7">
        <f>IFERROR(VLOOKUP(B43,Projects!$A:$AK,2,FALSE()),"")</f>
        <v/>
      </c>
      <c r="D43" s="7" t="inlineStr">
        <is>
          <t>Identity Mgmt R2</t>
        </is>
      </c>
      <c r="E43" s="7" t="inlineStr">
        <is>
          <t>2.0.0</t>
        </is>
      </c>
      <c r="F43" s="7" t="inlineStr">
        <is>
          <t>Major</t>
        </is>
      </c>
      <c r="G43" s="8" t="n">
        <v>45955</v>
      </c>
      <c r="H43" s="8" t="n">
        <v>45950</v>
      </c>
      <c r="I43" s="7" t="inlineStr">
        <is>
          <t>Delivered</t>
        </is>
      </c>
      <c r="J43" s="7" t="inlineStr">
        <is>
          <t>Alex Brown</t>
        </is>
      </c>
      <c r="K43" s="7" t="inlineStr">
        <is>
          <t>Production</t>
        </is>
      </c>
    </row>
    <row r="44" ht="15" customHeight="1" s="5">
      <c r="A44" s="7" t="inlineStr">
        <is>
          <t>REL0043</t>
        </is>
      </c>
      <c r="B44" s="7" t="inlineStr">
        <is>
          <t>PRJ015</t>
        </is>
      </c>
      <c r="C44" s="7">
        <f>IFERROR(VLOOKUP(B44,Projects!$A:$AK,2,FALSE()),"")</f>
        <v/>
      </c>
      <c r="D44" s="7" t="inlineStr">
        <is>
          <t>Service Desk R1</t>
        </is>
      </c>
      <c r="E44" s="7" t="inlineStr">
        <is>
          <t>1.0.0</t>
        </is>
      </c>
      <c r="F44" s="7" t="inlineStr">
        <is>
          <t>Patch</t>
        </is>
      </c>
      <c r="G44" s="8" t="n">
        <v>45892</v>
      </c>
      <c r="H44" s="8" t="n">
        <v>45897</v>
      </c>
      <c r="I44" s="7" t="inlineStr">
        <is>
          <t>Delivered</t>
        </is>
      </c>
      <c r="J44" s="7" t="inlineStr">
        <is>
          <t>John Smith</t>
        </is>
      </c>
      <c r="K44" s="7" t="inlineStr">
        <is>
          <t>Production</t>
        </is>
      </c>
    </row>
    <row r="45" ht="15" customHeight="1" s="5">
      <c r="A45" s="7" t="inlineStr">
        <is>
          <t>REL0044</t>
        </is>
      </c>
      <c r="B45" s="7" t="inlineStr">
        <is>
          <t>PRJ015</t>
        </is>
      </c>
      <c r="C45" s="7">
        <f>IFERROR(VLOOKUP(B45,Projects!$A:$AK,2,FALSE()),"")</f>
        <v/>
      </c>
      <c r="D45" s="7" t="inlineStr">
        <is>
          <t>Service Desk R2</t>
        </is>
      </c>
      <c r="E45" s="7" t="inlineStr">
        <is>
          <t>2.0.0</t>
        </is>
      </c>
      <c r="F45" s="7" t="inlineStr">
        <is>
          <t>Minor</t>
        </is>
      </c>
      <c r="G45" s="8" t="n">
        <v>45973</v>
      </c>
      <c r="H45" s="8" t="n">
        <v>45981</v>
      </c>
      <c r="I45" s="7" t="inlineStr">
        <is>
          <t>Delivered</t>
        </is>
      </c>
      <c r="J45" s="7" t="inlineStr">
        <is>
          <t>John Smith</t>
        </is>
      </c>
      <c r="K45" s="7" t="inlineStr">
        <is>
          <t>Staging</t>
        </is>
      </c>
    </row>
    <row r="46" ht="15" customHeight="1" s="5">
      <c r="A46" s="7" t="inlineStr">
        <is>
          <t>REL0045</t>
        </is>
      </c>
      <c r="B46" s="7" t="inlineStr">
        <is>
          <t>PRJ015</t>
        </is>
      </c>
      <c r="C46" s="7">
        <f>IFERROR(VLOOKUP(B46,Projects!$A:$AK,2,FALSE()),"")</f>
        <v/>
      </c>
      <c r="D46" s="7" t="inlineStr">
        <is>
          <t>Service Desk R3</t>
        </is>
      </c>
      <c r="E46" s="7" t="inlineStr">
        <is>
          <t>3.0.0</t>
        </is>
      </c>
      <c r="F46" s="7" t="inlineStr">
        <is>
          <t>Minor</t>
        </is>
      </c>
      <c r="G46" s="8" t="n">
        <v>46054</v>
      </c>
      <c r="H46" s="8" t="n">
        <v>46061</v>
      </c>
      <c r="I46" s="7" t="inlineStr">
        <is>
          <t>Delivered</t>
        </is>
      </c>
      <c r="J46" s="7" t="inlineStr">
        <is>
          <t>John Smith</t>
        </is>
      </c>
      <c r="K46" s="7" t="inlineStr">
        <is>
          <t>Staging</t>
        </is>
      </c>
    </row>
    <row r="47" ht="15" customHeight="1" s="5">
      <c r="A47" s="7" t="inlineStr">
        <is>
          <t>REL0046</t>
        </is>
      </c>
      <c r="B47" s="7" t="inlineStr">
        <is>
          <t>PRJ016</t>
        </is>
      </c>
      <c r="C47" s="7">
        <f>IFERROR(VLOOKUP(B47,Projects!$A:$AK,2,FALSE()),"")</f>
        <v/>
      </c>
      <c r="D47" s="7" t="inlineStr">
        <is>
          <t>Infrastructure Upg R1</t>
        </is>
      </c>
      <c r="E47" s="7" t="inlineStr">
        <is>
          <t>1.0.0</t>
        </is>
      </c>
      <c r="F47" s="7" t="inlineStr">
        <is>
          <t>Hotfix</t>
        </is>
      </c>
      <c r="G47" s="8" t="n">
        <v>46064</v>
      </c>
      <c r="H47" s="8" t="n">
        <v>46060</v>
      </c>
      <c r="I47" s="7" t="inlineStr">
        <is>
          <t>Delivered</t>
        </is>
      </c>
      <c r="J47" s="7" t="inlineStr">
        <is>
          <t>John Smith</t>
        </is>
      </c>
      <c r="K47" s="7" t="inlineStr">
        <is>
          <t>Production</t>
        </is>
      </c>
    </row>
    <row r="48" ht="15" customHeight="1" s="5">
      <c r="A48" s="7" t="inlineStr">
        <is>
          <t>REL0047</t>
        </is>
      </c>
      <c r="B48" s="7" t="inlineStr">
        <is>
          <t>PRJ016</t>
        </is>
      </c>
      <c r="C48" s="7">
        <f>IFERROR(VLOOKUP(B48,Projects!$A:$AK,2,FALSE()),"")</f>
        <v/>
      </c>
      <c r="D48" s="7" t="inlineStr">
        <is>
          <t>Infrastructure Upg R2</t>
        </is>
      </c>
      <c r="E48" s="7" t="inlineStr">
        <is>
          <t>2.0.0</t>
        </is>
      </c>
      <c r="F48" s="7" t="inlineStr">
        <is>
          <t>Minor</t>
        </is>
      </c>
      <c r="G48" s="8" t="n">
        <v>46136</v>
      </c>
      <c r="H48" s="8" t="n">
        <v>46143</v>
      </c>
      <c r="I48" s="7" t="inlineStr">
        <is>
          <t>Delivered</t>
        </is>
      </c>
      <c r="J48" s="7" t="inlineStr">
        <is>
          <t>John Smith</t>
        </is>
      </c>
      <c r="K48" s="7" t="inlineStr">
        <is>
          <t>UAT</t>
        </is>
      </c>
    </row>
    <row r="49" ht="15" customHeight="1" s="5">
      <c r="A49" s="7" t="inlineStr">
        <is>
          <t>REL0048</t>
        </is>
      </c>
      <c r="B49" s="7" t="inlineStr">
        <is>
          <t>PRJ016</t>
        </is>
      </c>
      <c r="C49" s="7">
        <f>IFERROR(VLOOKUP(B49,Projects!$A:$AK,2,FALSE()),"")</f>
        <v/>
      </c>
      <c r="D49" s="7" t="inlineStr">
        <is>
          <t>Infrastructure Upg R3</t>
        </is>
      </c>
      <c r="E49" s="7" t="inlineStr">
        <is>
          <t>3.0.0</t>
        </is>
      </c>
      <c r="F49" s="7" t="inlineStr">
        <is>
          <t>Minor</t>
        </is>
      </c>
      <c r="G49" s="8" t="n">
        <v>46208</v>
      </c>
      <c r="H49" s="8" t="n">
        <v>46213</v>
      </c>
      <c r="I49" s="7" t="inlineStr">
        <is>
          <t>Delivered</t>
        </is>
      </c>
      <c r="J49" s="7" t="inlineStr">
        <is>
          <t>John Smith</t>
        </is>
      </c>
      <c r="K49" s="7" t="inlineStr">
        <is>
          <t>UAT</t>
        </is>
      </c>
    </row>
    <row r="50" ht="15" customHeight="1" s="5">
      <c r="A50" s="7" t="inlineStr">
        <is>
          <t>REL0049</t>
        </is>
      </c>
      <c r="B50" s="7" t="inlineStr">
        <is>
          <t>PRJ016</t>
        </is>
      </c>
      <c r="C50" s="7">
        <f>IFERROR(VLOOKUP(B50,Projects!$A:$AK,2,FALSE()),"")</f>
        <v/>
      </c>
      <c r="D50" s="7" t="inlineStr">
        <is>
          <t>Infrastructure Upg R4</t>
        </is>
      </c>
      <c r="E50" s="7" t="inlineStr">
        <is>
          <t>4.0.0</t>
        </is>
      </c>
      <c r="F50" s="7" t="inlineStr">
        <is>
          <t>Minor</t>
        </is>
      </c>
      <c r="G50" s="8" t="n">
        <v>46280</v>
      </c>
      <c r="I50" s="7" t="inlineStr">
        <is>
          <t>Planned</t>
        </is>
      </c>
      <c r="J50" s="7" t="inlineStr">
        <is>
          <t>John Smith</t>
        </is>
      </c>
      <c r="K50" s="7" t="inlineStr">
        <is>
          <t>Production</t>
        </is>
      </c>
    </row>
    <row r="51" ht="15" customHeight="1" s="5">
      <c r="A51" s="7" t="inlineStr">
        <is>
          <t>REL0050</t>
        </is>
      </c>
      <c r="B51" s="7" t="inlineStr">
        <is>
          <t>PRJ017</t>
        </is>
      </c>
      <c r="C51" s="7">
        <f>IFERROR(VLOOKUP(B51,Projects!$A:$AK,2,FALSE()),"")</f>
        <v/>
      </c>
      <c r="D51" s="7" t="inlineStr">
        <is>
          <t>App Modernisation R1</t>
        </is>
      </c>
      <c r="E51" s="7" t="inlineStr">
        <is>
          <t>1.0.0</t>
        </is>
      </c>
      <c r="F51" s="7" t="inlineStr">
        <is>
          <t>Hotfix</t>
        </is>
      </c>
      <c r="G51" s="8" t="n">
        <v>45843</v>
      </c>
      <c r="H51" s="8" t="n">
        <v>45841</v>
      </c>
      <c r="I51" s="7" t="inlineStr">
        <is>
          <t>Delivered</t>
        </is>
      </c>
      <c r="J51" s="7" t="inlineStr">
        <is>
          <t>Priya Patel</t>
        </is>
      </c>
      <c r="K51" s="7" t="inlineStr">
        <is>
          <t>Staging</t>
        </is>
      </c>
    </row>
    <row r="52" ht="15" customHeight="1" s="5">
      <c r="A52" s="7" t="inlineStr">
        <is>
          <t>REL0051</t>
        </is>
      </c>
      <c r="B52" s="7" t="inlineStr">
        <is>
          <t>PRJ017</t>
        </is>
      </c>
      <c r="C52" s="7">
        <f>IFERROR(VLOOKUP(B52,Projects!$A:$AK,2,FALSE()),"")</f>
        <v/>
      </c>
      <c r="D52" s="7" t="inlineStr">
        <is>
          <t>App Modernisation R2</t>
        </is>
      </c>
      <c r="E52" s="7" t="inlineStr">
        <is>
          <t>2.0.0</t>
        </is>
      </c>
      <c r="F52" s="7" t="inlineStr">
        <is>
          <t>Minor</t>
        </is>
      </c>
      <c r="G52" s="8" t="n">
        <v>45981</v>
      </c>
      <c r="H52" s="8" t="n">
        <v>45984</v>
      </c>
      <c r="I52" s="7" t="inlineStr">
        <is>
          <t>Delivered</t>
        </is>
      </c>
      <c r="J52" s="7" t="inlineStr">
        <is>
          <t>Priya Patel</t>
        </is>
      </c>
      <c r="K52" s="7" t="inlineStr">
        <is>
          <t>UAT</t>
        </is>
      </c>
    </row>
    <row r="53" ht="15" customHeight="1" s="5">
      <c r="A53" s="7" t="inlineStr">
        <is>
          <t>REL0052</t>
        </is>
      </c>
      <c r="B53" s="7" t="inlineStr">
        <is>
          <t>PRJ018</t>
        </is>
      </c>
      <c r="C53" s="7">
        <f>IFERROR(VLOOKUP(B53,Projects!$A:$AK,2,FALSE()),"")</f>
        <v/>
      </c>
      <c r="D53" s="7" t="inlineStr">
        <is>
          <t>RPA Program R1</t>
        </is>
      </c>
      <c r="E53" s="7" t="inlineStr">
        <is>
          <t>1.0.0</t>
        </is>
      </c>
      <c r="F53" s="7" t="inlineStr">
        <is>
          <t>Major</t>
        </is>
      </c>
      <c r="G53" s="8" t="n">
        <v>46080</v>
      </c>
      <c r="H53" s="8" t="n">
        <v>46077</v>
      </c>
      <c r="I53" s="7" t="inlineStr">
        <is>
          <t>Delivered</t>
        </is>
      </c>
      <c r="J53" s="7" t="inlineStr">
        <is>
          <t>Carlos Diaz</t>
        </is>
      </c>
      <c r="K53" s="7" t="inlineStr">
        <is>
          <t>Production</t>
        </is>
      </c>
    </row>
    <row r="54" ht="15" customHeight="1" s="5">
      <c r="A54" s="7" t="inlineStr">
        <is>
          <t>REL0053</t>
        </is>
      </c>
      <c r="B54" s="7" t="inlineStr">
        <is>
          <t>PRJ018</t>
        </is>
      </c>
      <c r="C54" s="7">
        <f>IFERROR(VLOOKUP(B54,Projects!$A:$AK,2,FALSE()),"")</f>
        <v/>
      </c>
      <c r="D54" s="7" t="inlineStr">
        <is>
          <t>RPA Program R2</t>
        </is>
      </c>
      <c r="E54" s="7" t="inlineStr">
        <is>
          <t>2.0.0</t>
        </is>
      </c>
      <c r="F54" s="7" t="inlineStr">
        <is>
          <t>Major</t>
        </is>
      </c>
      <c r="G54" s="8" t="n">
        <v>46204</v>
      </c>
      <c r="H54" s="8" t="n">
        <v>46212</v>
      </c>
      <c r="I54" s="7" t="inlineStr">
        <is>
          <t>Delivered</t>
        </is>
      </c>
      <c r="J54" s="7" t="inlineStr">
        <is>
          <t>Carlos Diaz</t>
        </is>
      </c>
      <c r="K54" s="7" t="inlineStr">
        <is>
          <t>Staging</t>
        </is>
      </c>
    </row>
    <row r="55" ht="15" customHeight="1" s="5">
      <c r="A55" s="7" t="inlineStr">
        <is>
          <t>REL0054</t>
        </is>
      </c>
      <c r="B55" s="7" t="inlineStr">
        <is>
          <t>PRJ019</t>
        </is>
      </c>
      <c r="C55" s="7">
        <f>IFERROR(VLOOKUP(B55,Projects!$A:$AK,2,FALSE()),"")</f>
        <v/>
      </c>
      <c r="D55" s="7" t="inlineStr">
        <is>
          <t>Vendor Mgmt R1</t>
        </is>
      </c>
      <c r="E55" s="7" t="inlineStr">
        <is>
          <t>1.0.0</t>
        </is>
      </c>
      <c r="F55" s="7" t="inlineStr">
        <is>
          <t>Major</t>
        </is>
      </c>
      <c r="G55" s="8" t="n">
        <v>45937</v>
      </c>
      <c r="H55" s="8" t="n">
        <v>45932</v>
      </c>
      <c r="I55" s="7" t="inlineStr">
        <is>
          <t>Delivered</t>
        </is>
      </c>
      <c r="J55" s="7" t="inlineStr">
        <is>
          <t>Carlos Diaz</t>
        </is>
      </c>
      <c r="K55" s="7" t="inlineStr">
        <is>
          <t>Staging</t>
        </is>
      </c>
    </row>
    <row r="56" ht="15" customHeight="1" s="5">
      <c r="A56" s="7" t="inlineStr">
        <is>
          <t>REL0055</t>
        </is>
      </c>
      <c r="B56" s="7" t="inlineStr">
        <is>
          <t>PRJ019</t>
        </is>
      </c>
      <c r="C56" s="7">
        <f>IFERROR(VLOOKUP(B56,Projects!$A:$AK,2,FALSE()),"")</f>
        <v/>
      </c>
      <c r="D56" s="7" t="inlineStr">
        <is>
          <t>Vendor Mgmt R2</t>
        </is>
      </c>
      <c r="E56" s="7" t="inlineStr">
        <is>
          <t>2.0.0</t>
        </is>
      </c>
      <c r="F56" s="7" t="inlineStr">
        <is>
          <t>Major</t>
        </is>
      </c>
      <c r="G56" s="8" t="n">
        <v>46133</v>
      </c>
      <c r="H56" s="8" t="n">
        <v>46140</v>
      </c>
      <c r="I56" s="7" t="inlineStr">
        <is>
          <t>Delivered</t>
        </is>
      </c>
      <c r="J56" s="7" t="inlineStr">
        <is>
          <t>Carlos Diaz</t>
        </is>
      </c>
      <c r="K56" s="7" t="inlineStr">
        <is>
          <t>Staging</t>
        </is>
      </c>
    </row>
    <row r="57" ht="15" customHeight="1" s="5">
      <c r="A57" s="7" t="inlineStr">
        <is>
          <t>REL0056</t>
        </is>
      </c>
      <c r="B57" s="7" t="inlineStr">
        <is>
          <t>PRJ020</t>
        </is>
      </c>
      <c r="C57" s="7">
        <f>IFERROR(VLOOKUP(B57,Projects!$A:$AK,2,FALSE()),"")</f>
        <v/>
      </c>
      <c r="D57" s="7" t="inlineStr">
        <is>
          <t>Process Automation R1</t>
        </is>
      </c>
      <c r="E57" s="7" t="inlineStr">
        <is>
          <t>1.0.0</t>
        </is>
      </c>
      <c r="F57" s="7" t="inlineStr">
        <is>
          <t>Patch</t>
        </is>
      </c>
      <c r="G57" s="8" t="n">
        <v>45806</v>
      </c>
      <c r="H57" s="8" t="n">
        <v>45815</v>
      </c>
      <c r="I57" s="7" t="inlineStr">
        <is>
          <t>Delivered</t>
        </is>
      </c>
      <c r="J57" s="7" t="inlineStr">
        <is>
          <t>Carlos Diaz</t>
        </is>
      </c>
      <c r="K57" s="7" t="inlineStr">
        <is>
          <t>Production</t>
        </is>
      </c>
    </row>
    <row r="58" ht="15" customHeight="1" s="5">
      <c r="A58" s="7" t="inlineStr">
        <is>
          <t>REL0057</t>
        </is>
      </c>
      <c r="B58" s="7" t="inlineStr">
        <is>
          <t>PRJ020</t>
        </is>
      </c>
      <c r="C58" s="7">
        <f>IFERROR(VLOOKUP(B58,Projects!$A:$AK,2,FALSE()),"")</f>
        <v/>
      </c>
      <c r="D58" s="7" t="inlineStr">
        <is>
          <t>Process Automation R2</t>
        </is>
      </c>
      <c r="E58" s="7" t="inlineStr">
        <is>
          <t>2.0.0</t>
        </is>
      </c>
      <c r="F58" s="7" t="inlineStr">
        <is>
          <t>Minor</t>
        </is>
      </c>
      <c r="G58" s="8" t="n">
        <v>45840</v>
      </c>
      <c r="H58" s="8" t="n">
        <v>45842</v>
      </c>
      <c r="I58" s="7" t="inlineStr">
        <is>
          <t>Delivered</t>
        </is>
      </c>
      <c r="J58" s="7" t="inlineStr">
        <is>
          <t>Carlos Diaz</t>
        </is>
      </c>
      <c r="K58" s="7" t="inlineStr">
        <is>
          <t>UAT</t>
        </is>
      </c>
    </row>
    <row r="59" ht="15" customHeight="1" s="5">
      <c r="A59" s="7" t="inlineStr">
        <is>
          <t>REL0058</t>
        </is>
      </c>
      <c r="B59" s="7" t="inlineStr">
        <is>
          <t>PRJ021</t>
        </is>
      </c>
      <c r="C59" s="7">
        <f>IFERROR(VLOOKUP(B59,Projects!$A:$AK,2,FALSE()),"")</f>
        <v/>
      </c>
      <c r="D59" s="7" t="inlineStr">
        <is>
          <t>Data Warehouse R1</t>
        </is>
      </c>
      <c r="E59" s="7" t="inlineStr">
        <is>
          <t>1.0.0</t>
        </is>
      </c>
      <c r="F59" s="7" t="inlineStr">
        <is>
          <t>Hotfix</t>
        </is>
      </c>
      <c r="G59" s="8" t="n">
        <v>45725</v>
      </c>
      <c r="H59" s="8" t="n">
        <v>45727</v>
      </c>
      <c r="I59" s="7" t="inlineStr">
        <is>
          <t>Delivered</t>
        </is>
      </c>
      <c r="J59" s="7" t="inlineStr">
        <is>
          <t>Alex Brown</t>
        </is>
      </c>
      <c r="K59" s="7" t="inlineStr">
        <is>
          <t>UAT</t>
        </is>
      </c>
    </row>
    <row r="60" ht="15" customHeight="1" s="5">
      <c r="A60" s="7" t="inlineStr">
        <is>
          <t>REL0059</t>
        </is>
      </c>
      <c r="B60" s="7" t="inlineStr">
        <is>
          <t>PRJ021</t>
        </is>
      </c>
      <c r="C60" s="7">
        <f>IFERROR(VLOOKUP(B60,Projects!$A:$AK,2,FALSE()),"")</f>
        <v/>
      </c>
      <c r="D60" s="7" t="inlineStr">
        <is>
          <t>Data Warehouse R2</t>
        </is>
      </c>
      <c r="E60" s="7" t="inlineStr">
        <is>
          <t>2.0.0</t>
        </is>
      </c>
      <c r="F60" s="7" t="inlineStr">
        <is>
          <t>Patch</t>
        </is>
      </c>
      <c r="G60" s="8" t="n">
        <v>45773</v>
      </c>
      <c r="H60" s="8" t="n">
        <v>45769</v>
      </c>
      <c r="I60" s="7" t="inlineStr">
        <is>
          <t>Delivered</t>
        </is>
      </c>
      <c r="J60" s="7" t="inlineStr">
        <is>
          <t>Alex Brown</t>
        </is>
      </c>
      <c r="K60" s="7" t="inlineStr">
        <is>
          <t>Production</t>
        </is>
      </c>
    </row>
    <row r="61" ht="15" customHeight="1" s="5">
      <c r="A61" s="7" t="inlineStr">
        <is>
          <t>REL0060</t>
        </is>
      </c>
      <c r="B61" s="7" t="inlineStr">
        <is>
          <t>PRJ022</t>
        </is>
      </c>
      <c r="C61" s="7">
        <f>IFERROR(VLOOKUP(B61,Projects!$A:$AK,2,FALSE()),"")</f>
        <v/>
      </c>
      <c r="D61" s="7" t="inlineStr">
        <is>
          <t>DevOps Tools R1</t>
        </is>
      </c>
      <c r="E61" s="7" t="inlineStr">
        <is>
          <t>1.0.0</t>
        </is>
      </c>
      <c r="F61" s="7" t="inlineStr">
        <is>
          <t>Major</t>
        </is>
      </c>
      <c r="G61" s="8" t="n">
        <v>45850</v>
      </c>
      <c r="H61" s="8" t="n">
        <v>45845</v>
      </c>
      <c r="I61" s="7" t="inlineStr">
        <is>
          <t>Delivered</t>
        </is>
      </c>
      <c r="J61" s="7" t="inlineStr">
        <is>
          <t>Priya Patel</t>
        </is>
      </c>
      <c r="K61" s="7" t="inlineStr">
        <is>
          <t>Production</t>
        </is>
      </c>
    </row>
    <row r="62" ht="15" customHeight="1" s="5">
      <c r="A62" s="7" t="inlineStr">
        <is>
          <t>REL0061</t>
        </is>
      </c>
      <c r="B62" s="7" t="inlineStr">
        <is>
          <t>PRJ022</t>
        </is>
      </c>
      <c r="C62" s="7">
        <f>IFERROR(VLOOKUP(B62,Projects!$A:$AK,2,FALSE()),"")</f>
        <v/>
      </c>
      <c r="D62" s="7" t="inlineStr">
        <is>
          <t>DevOps Tools R2</t>
        </is>
      </c>
      <c r="E62" s="7" t="inlineStr">
        <is>
          <t>2.0.0</t>
        </is>
      </c>
      <c r="F62" s="7" t="inlineStr">
        <is>
          <t>Major</t>
        </is>
      </c>
      <c r="G62" s="8" t="n">
        <v>45942</v>
      </c>
      <c r="H62" s="8" t="n">
        <v>45951</v>
      </c>
      <c r="I62" s="7" t="inlineStr">
        <is>
          <t>Delivered</t>
        </is>
      </c>
      <c r="J62" s="7" t="inlineStr">
        <is>
          <t>Priya Patel</t>
        </is>
      </c>
      <c r="K62" s="7" t="inlineStr">
        <is>
          <t>Production</t>
        </is>
      </c>
    </row>
    <row r="63" ht="15" customHeight="1" s="5">
      <c r="A63" s="7" t="inlineStr">
        <is>
          <t>REL0062</t>
        </is>
      </c>
      <c r="B63" s="7" t="inlineStr">
        <is>
          <t>PRJ023</t>
        </is>
      </c>
      <c r="C63" s="7">
        <f>IFERROR(VLOOKUP(B63,Projects!$A:$AK,2,FALSE()),"")</f>
        <v/>
      </c>
      <c r="D63" s="7" t="inlineStr">
        <is>
          <t>Workforce Portal R1</t>
        </is>
      </c>
      <c r="E63" s="7" t="inlineStr">
        <is>
          <t>1.0.0</t>
        </is>
      </c>
      <c r="F63" s="7" t="inlineStr">
        <is>
          <t>Patch</t>
        </is>
      </c>
      <c r="G63" s="8" t="n">
        <v>46100</v>
      </c>
      <c r="H63" s="8" t="n">
        <v>46104</v>
      </c>
      <c r="I63" s="7" t="inlineStr">
        <is>
          <t>Delivered</t>
        </is>
      </c>
      <c r="J63" s="7" t="inlineStr">
        <is>
          <t>Jane Doe</t>
        </is>
      </c>
      <c r="K63" s="7" t="inlineStr">
        <is>
          <t>Production</t>
        </is>
      </c>
    </row>
    <row r="64" ht="15" customHeight="1" s="5">
      <c r="A64" s="7" t="inlineStr">
        <is>
          <t>REL0063</t>
        </is>
      </c>
      <c r="B64" s="7" t="inlineStr">
        <is>
          <t>PRJ023</t>
        </is>
      </c>
      <c r="C64" s="7">
        <f>IFERROR(VLOOKUP(B64,Projects!$A:$AK,2,FALSE()),"")</f>
        <v/>
      </c>
      <c r="D64" s="7" t="inlineStr">
        <is>
          <t>Workforce Portal R2</t>
        </is>
      </c>
      <c r="E64" s="7" t="inlineStr">
        <is>
          <t>2.0.0</t>
        </is>
      </c>
      <c r="F64" s="7" t="inlineStr">
        <is>
          <t>Major</t>
        </is>
      </c>
      <c r="G64" s="8" t="n">
        <v>46227</v>
      </c>
      <c r="I64" s="7" t="inlineStr">
        <is>
          <t>In Progress</t>
        </is>
      </c>
      <c r="J64" s="7" t="inlineStr">
        <is>
          <t>Jane Doe</t>
        </is>
      </c>
      <c r="K64" s="7" t="inlineStr">
        <is>
          <t>Production</t>
        </is>
      </c>
    </row>
    <row r="65" ht="15" customHeight="1" s="5">
      <c r="A65" s="7" t="inlineStr">
        <is>
          <t>REL0064</t>
        </is>
      </c>
      <c r="B65" s="7" t="inlineStr">
        <is>
          <t>PRJ024</t>
        </is>
      </c>
      <c r="C65" s="7">
        <f>IFERROR(VLOOKUP(B65,Projects!$A:$AK,2,FALSE()),"")</f>
        <v/>
      </c>
      <c r="D65" s="7" t="inlineStr">
        <is>
          <t>Process Mining R1</t>
        </is>
      </c>
      <c r="E65" s="7" t="inlineStr">
        <is>
          <t>1.0.0</t>
        </is>
      </c>
      <c r="F65" s="7" t="inlineStr">
        <is>
          <t>Minor</t>
        </is>
      </c>
      <c r="G65" s="8" t="n">
        <v>46079</v>
      </c>
      <c r="H65" s="8" t="n">
        <v>46085</v>
      </c>
      <c r="I65" s="7" t="inlineStr">
        <is>
          <t>Delivered</t>
        </is>
      </c>
      <c r="J65" s="7" t="inlineStr">
        <is>
          <t>Jane Doe</t>
        </is>
      </c>
      <c r="K65" s="7" t="inlineStr">
        <is>
          <t>UAT</t>
        </is>
      </c>
    </row>
    <row r="66" ht="15" customHeight="1" s="5">
      <c r="A66" s="7" t="inlineStr">
        <is>
          <t>REL0065</t>
        </is>
      </c>
      <c r="B66" s="7" t="inlineStr">
        <is>
          <t>PRJ024</t>
        </is>
      </c>
      <c r="C66" s="7">
        <f>IFERROR(VLOOKUP(B66,Projects!$A:$AK,2,FALSE()),"")</f>
        <v/>
      </c>
      <c r="D66" s="7" t="inlineStr">
        <is>
          <t>Process Mining R2</t>
        </is>
      </c>
      <c r="E66" s="7" t="inlineStr">
        <is>
          <t>2.0.0</t>
        </is>
      </c>
      <c r="F66" s="7" t="inlineStr">
        <is>
          <t>Hotfix</t>
        </is>
      </c>
      <c r="G66" s="8" t="n">
        <v>46162</v>
      </c>
      <c r="H66" s="8" t="n">
        <v>46160</v>
      </c>
      <c r="I66" s="7" t="inlineStr">
        <is>
          <t>Delivered</t>
        </is>
      </c>
      <c r="J66" s="7" t="inlineStr">
        <is>
          <t>Jane Doe</t>
        </is>
      </c>
      <c r="K66" s="7" t="inlineStr">
        <is>
          <t>Production</t>
        </is>
      </c>
    </row>
    <row r="67" ht="15" customHeight="1" s="5">
      <c r="A67" s="7" t="inlineStr">
        <is>
          <t>REL0066</t>
        </is>
      </c>
      <c r="B67" s="7" t="inlineStr">
        <is>
          <t>PRJ024</t>
        </is>
      </c>
      <c r="C67" s="7">
        <f>IFERROR(VLOOKUP(B67,Projects!$A:$AK,2,FALSE()),"")</f>
        <v/>
      </c>
      <c r="D67" s="7" t="inlineStr">
        <is>
          <t>Process Mining R3</t>
        </is>
      </c>
      <c r="E67" s="7" t="inlineStr">
        <is>
          <t>3.0.0</t>
        </is>
      </c>
      <c r="F67" s="7" t="inlineStr">
        <is>
          <t>Hotfix</t>
        </is>
      </c>
      <c r="G67" s="8" t="n">
        <v>46245</v>
      </c>
      <c r="I67" s="7" t="inlineStr">
        <is>
          <t>In Progress</t>
        </is>
      </c>
      <c r="J67" s="7" t="inlineStr">
        <is>
          <t>Jane Doe</t>
        </is>
      </c>
      <c r="K67" s="7" t="inlineStr">
        <is>
          <t>Production</t>
        </is>
      </c>
    </row>
    <row r="68" ht="15" customHeight="1" s="5">
      <c r="A68" s="7" t="inlineStr">
        <is>
          <t>REL0067</t>
        </is>
      </c>
      <c r="B68" s="7" t="inlineStr">
        <is>
          <t>PRJ024</t>
        </is>
      </c>
      <c r="C68" s="7">
        <f>IFERROR(VLOOKUP(B68,Projects!$A:$AK,2,FALSE()),"")</f>
        <v/>
      </c>
      <c r="D68" s="7" t="inlineStr">
        <is>
          <t>Process Mining R4</t>
        </is>
      </c>
      <c r="E68" s="7" t="inlineStr">
        <is>
          <t>4.0.0</t>
        </is>
      </c>
      <c r="F68" s="7" t="inlineStr">
        <is>
          <t>Hotfix</t>
        </is>
      </c>
      <c r="G68" s="8" t="n">
        <v>46328</v>
      </c>
      <c r="I68" s="7" t="inlineStr">
        <is>
          <t>Planned</t>
        </is>
      </c>
      <c r="J68" s="7" t="inlineStr">
        <is>
          <t>Jane Doe</t>
        </is>
      </c>
      <c r="K68" s="7" t="inlineStr">
        <is>
          <t>Staging</t>
        </is>
      </c>
    </row>
    <row r="69" ht="15" customHeight="1" s="5">
      <c r="A69" s="7" t="inlineStr">
        <is>
          <t>REL0068</t>
        </is>
      </c>
      <c r="B69" s="7" t="inlineStr">
        <is>
          <t>PRJ025</t>
        </is>
      </c>
      <c r="C69" s="7">
        <f>IFERROR(VLOOKUP(B69,Projects!$A:$AK,2,FALSE()),"")</f>
        <v/>
      </c>
      <c r="D69" s="7" t="inlineStr">
        <is>
          <t>Customer Insights R1</t>
        </is>
      </c>
      <c r="E69" s="7" t="inlineStr">
        <is>
          <t>1.0.0</t>
        </is>
      </c>
      <c r="F69" s="7" t="inlineStr">
        <is>
          <t>Hotfix</t>
        </is>
      </c>
      <c r="G69" s="8" t="n">
        <v>46214</v>
      </c>
      <c r="H69" s="8" t="n">
        <v>46215</v>
      </c>
      <c r="I69" s="7" t="inlineStr">
        <is>
          <t>Delivered</t>
        </is>
      </c>
      <c r="J69" s="7" t="inlineStr">
        <is>
          <t>Sarah Lee</t>
        </is>
      </c>
      <c r="K69" s="7" t="inlineStr">
        <is>
          <t>UAT</t>
        </is>
      </c>
    </row>
    <row r="70" ht="15" customHeight="1" s="5">
      <c r="A70" s="7" t="inlineStr">
        <is>
          <t>REL0069</t>
        </is>
      </c>
      <c r="B70" s="7" t="inlineStr">
        <is>
          <t>PRJ026</t>
        </is>
      </c>
      <c r="C70" s="7">
        <f>IFERROR(VLOOKUP(B70,Projects!$A:$AK,2,FALSE()),"")</f>
        <v/>
      </c>
      <c r="D70" s="7" t="inlineStr">
        <is>
          <t>ERP Modernisation 2 R1</t>
        </is>
      </c>
      <c r="E70" s="7" t="inlineStr">
        <is>
          <t>1.0.0</t>
        </is>
      </c>
      <c r="F70" s="7" t="inlineStr">
        <is>
          <t>Minor</t>
        </is>
      </c>
      <c r="G70" s="8" t="n">
        <v>45993</v>
      </c>
      <c r="H70" s="8" t="n">
        <v>46002</v>
      </c>
      <c r="I70" s="7" t="inlineStr">
        <is>
          <t>Delivered</t>
        </is>
      </c>
      <c r="J70" s="7" t="inlineStr">
        <is>
          <t>Carlos Diaz</t>
        </is>
      </c>
      <c r="K70" s="7" t="inlineStr">
        <is>
          <t>Production</t>
        </is>
      </c>
    </row>
    <row r="71" ht="15" customHeight="1" s="5">
      <c r="A71" s="7" t="inlineStr">
        <is>
          <t>REL0070</t>
        </is>
      </c>
      <c r="B71" s="7" t="inlineStr">
        <is>
          <t>PRJ026</t>
        </is>
      </c>
      <c r="C71" s="7">
        <f>IFERROR(VLOOKUP(B71,Projects!$A:$AK,2,FALSE()),"")</f>
        <v/>
      </c>
      <c r="D71" s="7" t="inlineStr">
        <is>
          <t>ERP Modernisation 2 R2</t>
        </is>
      </c>
      <c r="E71" s="7" t="inlineStr">
        <is>
          <t>2.0.0</t>
        </is>
      </c>
      <c r="F71" s="7" t="inlineStr">
        <is>
          <t>Major</t>
        </is>
      </c>
      <c r="G71" s="8" t="n">
        <v>46070</v>
      </c>
      <c r="H71" s="8" t="n">
        <v>46074</v>
      </c>
      <c r="I71" s="7" t="inlineStr">
        <is>
          <t>Delivered</t>
        </is>
      </c>
      <c r="J71" s="7" t="inlineStr">
        <is>
          <t>Carlos Diaz</t>
        </is>
      </c>
      <c r="K71" s="7" t="inlineStr">
        <is>
          <t>Production</t>
        </is>
      </c>
    </row>
    <row r="72" ht="15" customHeight="1" s="5">
      <c r="A72" s="7" t="inlineStr">
        <is>
          <t>REL0071</t>
        </is>
      </c>
      <c r="B72" s="7" t="inlineStr">
        <is>
          <t>PRJ026</t>
        </is>
      </c>
      <c r="C72" s="7">
        <f>IFERROR(VLOOKUP(B72,Projects!$A:$AK,2,FALSE()),"")</f>
        <v/>
      </c>
      <c r="D72" s="7" t="inlineStr">
        <is>
          <t>ERP Modernisation 2 R3</t>
        </is>
      </c>
      <c r="E72" s="7" t="inlineStr">
        <is>
          <t>3.0.0</t>
        </is>
      </c>
      <c r="F72" s="7" t="inlineStr">
        <is>
          <t>Major</t>
        </is>
      </c>
      <c r="G72" s="8" t="n">
        <v>46147</v>
      </c>
      <c r="H72" s="8" t="n">
        <v>46143</v>
      </c>
      <c r="I72" s="7" t="inlineStr">
        <is>
          <t>Delivered</t>
        </is>
      </c>
      <c r="J72" s="7" t="inlineStr">
        <is>
          <t>Carlos Diaz</t>
        </is>
      </c>
      <c r="K72" s="7" t="inlineStr">
        <is>
          <t>UAT</t>
        </is>
      </c>
    </row>
    <row r="73" ht="15" customHeight="1" s="5">
      <c r="A73" s="7" t="inlineStr">
        <is>
          <t>REL0072</t>
        </is>
      </c>
      <c r="B73" s="7" t="inlineStr">
        <is>
          <t>PRJ027</t>
        </is>
      </c>
      <c r="C73" s="7">
        <f>IFERROR(VLOOKUP(B73,Projects!$A:$AK,2,FALSE()),"")</f>
        <v/>
      </c>
      <c r="D73" s="7" t="inlineStr">
        <is>
          <t>Cyber Program R1</t>
        </is>
      </c>
      <c r="E73" s="7" t="inlineStr">
        <is>
          <t>1.0.0</t>
        </is>
      </c>
      <c r="F73" s="7" t="inlineStr">
        <is>
          <t>Major</t>
        </is>
      </c>
      <c r="G73" s="8" t="n">
        <v>45847</v>
      </c>
      <c r="H73" s="8" t="n">
        <v>45857</v>
      </c>
      <c r="I73" s="7" t="inlineStr">
        <is>
          <t>Delivered</t>
        </is>
      </c>
      <c r="J73" s="7" t="inlineStr">
        <is>
          <t>Mike Johnson</t>
        </is>
      </c>
      <c r="K73" s="7" t="inlineStr">
        <is>
          <t>Production</t>
        </is>
      </c>
    </row>
    <row r="74" ht="15" customHeight="1" s="5">
      <c r="A74" s="7" t="inlineStr">
        <is>
          <t>REL0073</t>
        </is>
      </c>
      <c r="B74" s="7" t="inlineStr">
        <is>
          <t>PRJ027</t>
        </is>
      </c>
      <c r="C74" s="7">
        <f>IFERROR(VLOOKUP(B74,Projects!$A:$AK,2,FALSE()),"")</f>
        <v/>
      </c>
      <c r="D74" s="7" t="inlineStr">
        <is>
          <t>Cyber Program R2</t>
        </is>
      </c>
      <c r="E74" s="7" t="inlineStr">
        <is>
          <t>2.0.0</t>
        </is>
      </c>
      <c r="F74" s="7" t="inlineStr">
        <is>
          <t>Major</t>
        </is>
      </c>
      <c r="G74" s="8" t="n">
        <v>45919</v>
      </c>
      <c r="H74" s="8" t="n">
        <v>45922</v>
      </c>
      <c r="I74" s="7" t="inlineStr">
        <is>
          <t>Delivered</t>
        </is>
      </c>
      <c r="J74" s="7" t="inlineStr">
        <is>
          <t>Mike Johnson</t>
        </is>
      </c>
      <c r="K74" s="7" t="inlineStr">
        <is>
          <t>Production</t>
        </is>
      </c>
    </row>
    <row r="75" ht="15" customHeight="1" s="5">
      <c r="A75" s="7" t="inlineStr">
        <is>
          <t>REL0074</t>
        </is>
      </c>
      <c r="B75" s="7" t="inlineStr">
        <is>
          <t>PRJ027</t>
        </is>
      </c>
      <c r="C75" s="7">
        <f>IFERROR(VLOOKUP(B75,Projects!$A:$AK,2,FALSE()),"")</f>
        <v/>
      </c>
      <c r="D75" s="7" t="inlineStr">
        <is>
          <t>Cyber Program R3</t>
        </is>
      </c>
      <c r="E75" s="7" t="inlineStr">
        <is>
          <t>3.0.0</t>
        </is>
      </c>
      <c r="F75" s="7" t="inlineStr">
        <is>
          <t>Major</t>
        </is>
      </c>
      <c r="G75" s="8" t="n">
        <v>45990</v>
      </c>
      <c r="H75" s="8" t="n">
        <v>45985</v>
      </c>
      <c r="I75" s="7" t="inlineStr">
        <is>
          <t>Delivered</t>
        </is>
      </c>
      <c r="J75" s="7" t="inlineStr">
        <is>
          <t>Mike Johnson</t>
        </is>
      </c>
      <c r="K75" s="7" t="inlineStr">
        <is>
          <t>Staging</t>
        </is>
      </c>
    </row>
    <row r="76" ht="15" customHeight="1" s="5">
      <c r="A76" s="7" t="inlineStr">
        <is>
          <t>REL0075</t>
        </is>
      </c>
      <c r="B76" s="7" t="inlineStr">
        <is>
          <t>PRJ028</t>
        </is>
      </c>
      <c r="C76" s="7">
        <f>IFERROR(VLOOKUP(B76,Projects!$A:$AK,2,FALSE()),"")</f>
        <v/>
      </c>
      <c r="D76" s="7" t="inlineStr">
        <is>
          <t>Mobile App 2 R1</t>
        </is>
      </c>
      <c r="E76" s="7" t="inlineStr">
        <is>
          <t>1.0.0</t>
        </is>
      </c>
      <c r="F76" s="7" t="inlineStr">
        <is>
          <t>Patch</t>
        </is>
      </c>
      <c r="G76" s="8" t="n">
        <v>45851</v>
      </c>
      <c r="H76" s="8" t="n">
        <v>45852</v>
      </c>
      <c r="I76" s="7" t="inlineStr">
        <is>
          <t>Delivered</t>
        </is>
      </c>
      <c r="J76" s="7" t="inlineStr">
        <is>
          <t>Carlos Diaz</t>
        </is>
      </c>
      <c r="K76" s="7" t="inlineStr">
        <is>
          <t>Production</t>
        </is>
      </c>
    </row>
    <row r="77" ht="15" customHeight="1" s="5">
      <c r="A77" s="7" t="inlineStr">
        <is>
          <t>REL0076</t>
        </is>
      </c>
      <c r="B77" s="7" t="inlineStr">
        <is>
          <t>PRJ028</t>
        </is>
      </c>
      <c r="C77" s="7">
        <f>IFERROR(VLOOKUP(B77,Projects!$A:$AK,2,FALSE()),"")</f>
        <v/>
      </c>
      <c r="D77" s="7" t="inlineStr">
        <is>
          <t>Mobile App 2 R2</t>
        </is>
      </c>
      <c r="E77" s="7" t="inlineStr">
        <is>
          <t>2.0.0</t>
        </is>
      </c>
      <c r="F77" s="7" t="inlineStr">
        <is>
          <t>Major</t>
        </is>
      </c>
      <c r="G77" s="8" t="n">
        <v>46042</v>
      </c>
      <c r="H77" s="8" t="n">
        <v>46043</v>
      </c>
      <c r="I77" s="7" t="inlineStr">
        <is>
          <t>Delivered</t>
        </is>
      </c>
      <c r="J77" s="7" t="inlineStr">
        <is>
          <t>Carlos Diaz</t>
        </is>
      </c>
      <c r="K77" s="7" t="inlineStr">
        <is>
          <t>UAT</t>
        </is>
      </c>
    </row>
    <row r="78" ht="15" customHeight="1" s="5">
      <c r="A78" s="7" t="inlineStr">
        <is>
          <t>REL0077</t>
        </is>
      </c>
      <c r="B78" s="7" t="inlineStr">
        <is>
          <t>PRJ029</t>
        </is>
      </c>
      <c r="C78" s="7">
        <f>IFERROR(VLOOKUP(B78,Projects!$A:$AK,2,FALSE()),"")</f>
        <v/>
      </c>
      <c r="D78" s="7" t="inlineStr">
        <is>
          <t>Analytics Platform 2 R1</t>
        </is>
      </c>
      <c r="E78" s="7" t="inlineStr">
        <is>
          <t>1.0.0</t>
        </is>
      </c>
      <c r="F78" s="7" t="inlineStr">
        <is>
          <t>Major</t>
        </is>
      </c>
      <c r="G78" s="8" t="n">
        <v>46097</v>
      </c>
      <c r="H78" s="8" t="n">
        <v>46099</v>
      </c>
      <c r="I78" s="7" t="inlineStr">
        <is>
          <t>Delivered</t>
        </is>
      </c>
      <c r="J78" s="7" t="inlineStr">
        <is>
          <t>John Smith</t>
        </is>
      </c>
      <c r="K78" s="7" t="inlineStr">
        <is>
          <t>Staging</t>
        </is>
      </c>
    </row>
    <row r="79" ht="15" customHeight="1" s="5">
      <c r="A79" s="7" t="inlineStr">
        <is>
          <t>REL0078</t>
        </is>
      </c>
      <c r="B79" s="7" t="inlineStr">
        <is>
          <t>PRJ029</t>
        </is>
      </c>
      <c r="C79" s="7">
        <f>IFERROR(VLOOKUP(B79,Projects!$A:$AK,2,FALSE()),"")</f>
        <v/>
      </c>
      <c r="D79" s="7" t="inlineStr">
        <is>
          <t>Analytics Platform 2 R2</t>
        </is>
      </c>
      <c r="E79" s="7" t="inlineStr">
        <is>
          <t>2.0.0</t>
        </is>
      </c>
      <c r="F79" s="7" t="inlineStr">
        <is>
          <t>Patch</t>
        </is>
      </c>
      <c r="G79" s="8" t="n">
        <v>46218</v>
      </c>
      <c r="H79" s="8" t="n">
        <v>46217</v>
      </c>
      <c r="I79" s="7" t="inlineStr">
        <is>
          <t>Delivered</t>
        </is>
      </c>
      <c r="J79" s="7" t="inlineStr">
        <is>
          <t>John Smith</t>
        </is>
      </c>
      <c r="K79" s="7" t="inlineStr">
        <is>
          <t>UAT</t>
        </is>
      </c>
    </row>
    <row r="80" ht="15" customHeight="1" s="5">
      <c r="A80" s="7" t="inlineStr">
        <is>
          <t>REL0079</t>
        </is>
      </c>
      <c r="B80" s="7" t="inlineStr">
        <is>
          <t>PRJ030</t>
        </is>
      </c>
      <c r="C80" s="7">
        <f>IFERROR(VLOOKUP(B80,Projects!$A:$AK,2,FALSE()),"")</f>
        <v/>
      </c>
      <c r="D80" s="7" t="inlineStr">
        <is>
          <t>Service Desk 2 R1</t>
        </is>
      </c>
      <c r="E80" s="7" t="inlineStr">
        <is>
          <t>1.0.0</t>
        </is>
      </c>
      <c r="F80" s="7" t="inlineStr">
        <is>
          <t>Major</t>
        </is>
      </c>
      <c r="G80" s="8" t="n">
        <v>45890</v>
      </c>
      <c r="H80" s="8" t="n">
        <v>45891</v>
      </c>
      <c r="I80" s="7" t="inlineStr">
        <is>
          <t>Delivered</t>
        </is>
      </c>
      <c r="J80" s="7" t="inlineStr">
        <is>
          <t>Jane Doe</t>
        </is>
      </c>
      <c r="K80" s="7" t="inlineStr">
        <is>
          <t>UAT</t>
        </is>
      </c>
    </row>
    <row r="81" ht="15" customHeight="1" s="5">
      <c r="A81" s="7" t="inlineStr">
        <is>
          <t>REL0080</t>
        </is>
      </c>
      <c r="B81" s="7" t="inlineStr">
        <is>
          <t>PRJ030</t>
        </is>
      </c>
      <c r="C81" s="7">
        <f>IFERROR(VLOOKUP(B81,Projects!$A:$AK,2,FALSE()),"")</f>
        <v/>
      </c>
      <c r="D81" s="7" t="inlineStr">
        <is>
          <t>Service Desk 2 R2</t>
        </is>
      </c>
      <c r="E81" s="7" t="inlineStr">
        <is>
          <t>2.0.0</t>
        </is>
      </c>
      <c r="F81" s="7" t="inlineStr">
        <is>
          <t>Hotfix</t>
        </is>
      </c>
      <c r="G81" s="8" t="n">
        <v>45993</v>
      </c>
      <c r="H81" s="8" t="n">
        <v>45997</v>
      </c>
      <c r="I81" s="7" t="inlineStr">
        <is>
          <t>Delivered</t>
        </is>
      </c>
      <c r="J81" s="7" t="inlineStr">
        <is>
          <t>Jane Doe</t>
        </is>
      </c>
      <c r="K81" s="7" t="inlineStr">
        <is>
          <t>Staging</t>
        </is>
      </c>
    </row>
    <row r="82" ht="15" customHeight="1" s="5">
      <c r="A82" s="7" t="inlineStr">
        <is>
          <t>REL0081</t>
        </is>
      </c>
      <c r="B82" s="7" t="inlineStr">
        <is>
          <t>PRJ030</t>
        </is>
      </c>
      <c r="C82" s="7">
        <f>IFERROR(VLOOKUP(B82,Projects!$A:$AK,2,FALSE()),"")</f>
        <v/>
      </c>
      <c r="D82" s="7" t="inlineStr">
        <is>
          <t>Service Desk 2 R3</t>
        </is>
      </c>
      <c r="E82" s="7" t="inlineStr">
        <is>
          <t>3.0.0</t>
        </is>
      </c>
      <c r="F82" s="7" t="inlineStr">
        <is>
          <t>Hotfix</t>
        </is>
      </c>
      <c r="G82" s="8" t="n">
        <v>46097</v>
      </c>
      <c r="H82" s="8" t="n">
        <v>46107</v>
      </c>
      <c r="I82" s="7" t="inlineStr">
        <is>
          <t>Delivered</t>
        </is>
      </c>
      <c r="J82" s="7" t="inlineStr">
        <is>
          <t>Jane Doe</t>
        </is>
      </c>
      <c r="K82" s="7" t="inlineStr">
        <is>
          <t>Staging</t>
        </is>
      </c>
    </row>
    <row r="83" ht="15" customHeight="1" s="5">
      <c r="A83" s="7" t="inlineStr">
        <is>
          <t>REL0082</t>
        </is>
      </c>
      <c r="B83" s="7" t="inlineStr">
        <is>
          <t>PRJ030</t>
        </is>
      </c>
      <c r="C83" s="7">
        <f>IFERROR(VLOOKUP(B83,Projects!$A:$AK,2,FALSE()),"")</f>
        <v/>
      </c>
      <c r="D83" s="7" t="inlineStr">
        <is>
          <t>Service Desk 2 R4</t>
        </is>
      </c>
      <c r="E83" s="7" t="inlineStr">
        <is>
          <t>4.0.0</t>
        </is>
      </c>
      <c r="F83" s="7" t="inlineStr">
        <is>
          <t>Minor</t>
        </is>
      </c>
      <c r="G83" s="8" t="n">
        <v>46200</v>
      </c>
      <c r="H83" s="8" t="n">
        <v>46207</v>
      </c>
      <c r="I83" s="7" t="inlineStr">
        <is>
          <t>Delivered</t>
        </is>
      </c>
      <c r="J83" s="7" t="inlineStr">
        <is>
          <t>Jane Doe</t>
        </is>
      </c>
      <c r="K83" s="7" t="inlineStr">
        <is>
          <t>UAT</t>
        </is>
      </c>
    </row>
    <row r="84" ht="15" customHeight="1" s="5">
      <c r="A84" s="7" t="inlineStr">
        <is>
          <t>REL0083</t>
        </is>
      </c>
      <c r="B84" s="7" t="inlineStr">
        <is>
          <t>PRJ031</t>
        </is>
      </c>
      <c r="C84" s="7">
        <f>IFERROR(VLOOKUP(B84,Projects!$A:$AK,2,FALSE()),"")</f>
        <v/>
      </c>
      <c r="D84" s="7" t="inlineStr">
        <is>
          <t>Quality Mgmt R1</t>
        </is>
      </c>
      <c r="E84" s="7" t="inlineStr">
        <is>
          <t>1.0.0</t>
        </is>
      </c>
      <c r="F84" s="7" t="inlineStr">
        <is>
          <t>Patch</t>
        </is>
      </c>
      <c r="G84" s="8" t="n">
        <v>46045</v>
      </c>
      <c r="H84" s="8" t="n">
        <v>46046</v>
      </c>
      <c r="I84" s="7" t="inlineStr">
        <is>
          <t>Delivered</t>
        </is>
      </c>
      <c r="J84" s="7" t="inlineStr">
        <is>
          <t>Carlos Diaz</t>
        </is>
      </c>
      <c r="K84" s="7" t="inlineStr">
        <is>
          <t>UAT</t>
        </is>
      </c>
    </row>
    <row r="85" ht="15" customHeight="1" s="5">
      <c r="A85" s="7" t="inlineStr">
        <is>
          <t>REL0084</t>
        </is>
      </c>
      <c r="B85" s="7" t="inlineStr">
        <is>
          <t>PRJ031</t>
        </is>
      </c>
      <c r="C85" s="7">
        <f>IFERROR(VLOOKUP(B85,Projects!$A:$AK,2,FALSE()),"")</f>
        <v/>
      </c>
      <c r="D85" s="7" t="inlineStr">
        <is>
          <t>Quality Mgmt R2</t>
        </is>
      </c>
      <c r="E85" s="7" t="inlineStr">
        <is>
          <t>2.0.0</t>
        </is>
      </c>
      <c r="F85" s="7" t="inlineStr">
        <is>
          <t>Patch</t>
        </is>
      </c>
      <c r="G85" s="8" t="n">
        <v>46194</v>
      </c>
      <c r="H85" s="8" t="n">
        <v>46192</v>
      </c>
      <c r="I85" s="7" t="inlineStr">
        <is>
          <t>Delivered</t>
        </is>
      </c>
      <c r="J85" s="7" t="inlineStr">
        <is>
          <t>Carlos Diaz</t>
        </is>
      </c>
      <c r="K85" s="7" t="inlineStr">
        <is>
          <t>Production</t>
        </is>
      </c>
    </row>
    <row r="86" ht="15" customHeight="1" s="5">
      <c r="A86" s="7" t="inlineStr">
        <is>
          <t>REL0085</t>
        </is>
      </c>
      <c r="B86" s="7" t="inlineStr">
        <is>
          <t>PRJ032</t>
        </is>
      </c>
      <c r="C86" s="7">
        <f>IFERROR(VLOOKUP(B86,Projects!$A:$AK,2,FALSE()),"")</f>
        <v/>
      </c>
      <c r="D86" s="7" t="inlineStr">
        <is>
          <t>Compliance Hub R1</t>
        </is>
      </c>
      <c r="E86" s="7" t="inlineStr">
        <is>
          <t>1.0.0</t>
        </is>
      </c>
      <c r="F86" s="7" t="inlineStr">
        <is>
          <t>Hotfix</t>
        </is>
      </c>
      <c r="G86" s="8" t="n">
        <v>46182</v>
      </c>
      <c r="H86" s="8" t="n">
        <v>46192</v>
      </c>
      <c r="I86" s="7" t="inlineStr">
        <is>
          <t>Delivered</t>
        </is>
      </c>
      <c r="J86" s="7" t="inlineStr">
        <is>
          <t>Carlos Diaz</t>
        </is>
      </c>
      <c r="K86" s="7" t="inlineStr">
        <is>
          <t>UAT</t>
        </is>
      </c>
    </row>
    <row r="87" ht="15" customHeight="1" s="5">
      <c r="A87" s="7" t="inlineStr">
        <is>
          <t>REL0086</t>
        </is>
      </c>
      <c r="B87" s="7" t="inlineStr">
        <is>
          <t>PRJ032</t>
        </is>
      </c>
      <c r="C87" s="7">
        <f>IFERROR(VLOOKUP(B87,Projects!$A:$AK,2,FALSE()),"")</f>
        <v/>
      </c>
      <c r="D87" s="7" t="inlineStr">
        <is>
          <t>Compliance Hub R2</t>
        </is>
      </c>
      <c r="E87" s="7" t="inlineStr">
        <is>
          <t>2.0.0</t>
        </is>
      </c>
      <c r="F87" s="7" t="inlineStr">
        <is>
          <t>Hotfix</t>
        </is>
      </c>
      <c r="G87" s="8" t="n">
        <v>46354</v>
      </c>
      <c r="I87" s="7" t="inlineStr">
        <is>
          <t>Planned</t>
        </is>
      </c>
      <c r="J87" s="7" t="inlineStr">
        <is>
          <t>Carlos Diaz</t>
        </is>
      </c>
      <c r="K87" s="7" t="inlineStr">
        <is>
          <t>Staging</t>
        </is>
      </c>
    </row>
    <row r="88" ht="15" customHeight="1" s="5">
      <c r="A88" s="7" t="inlineStr">
        <is>
          <t>REL0087</t>
        </is>
      </c>
      <c r="B88" s="7" t="inlineStr">
        <is>
          <t>PRJ033</t>
        </is>
      </c>
      <c r="C88" s="7">
        <f>IFERROR(VLOOKUP(B88,Projects!$A:$AK,2,FALSE()),"")</f>
        <v/>
      </c>
      <c r="D88" s="7" t="inlineStr">
        <is>
          <t>Risk Platform R1</t>
        </is>
      </c>
      <c r="E88" s="7" t="inlineStr">
        <is>
          <t>1.0.0</t>
        </is>
      </c>
      <c r="F88" s="7" t="inlineStr">
        <is>
          <t>Major</t>
        </is>
      </c>
      <c r="G88" s="8" t="n">
        <v>46119</v>
      </c>
      <c r="H88" s="8" t="n">
        <v>46124</v>
      </c>
      <c r="I88" s="7" t="inlineStr">
        <is>
          <t>Delivered</t>
        </is>
      </c>
      <c r="J88" s="7" t="inlineStr">
        <is>
          <t>Priya Patel</t>
        </is>
      </c>
      <c r="K88" s="7" t="inlineStr">
        <is>
          <t>Staging</t>
        </is>
      </c>
    </row>
    <row r="89" ht="15" customHeight="1" s="5">
      <c r="A89" s="7" t="inlineStr">
        <is>
          <t>REL0088</t>
        </is>
      </c>
      <c r="B89" s="7" t="inlineStr">
        <is>
          <t>PRJ033</t>
        </is>
      </c>
      <c r="C89" s="7">
        <f>IFERROR(VLOOKUP(B89,Projects!$A:$AK,2,FALSE()),"")</f>
        <v/>
      </c>
      <c r="D89" s="7" t="inlineStr">
        <is>
          <t>Risk Platform R2</t>
        </is>
      </c>
      <c r="E89" s="7" t="inlineStr">
        <is>
          <t>2.0.0</t>
        </is>
      </c>
      <c r="F89" s="7" t="inlineStr">
        <is>
          <t>Hotfix</t>
        </is>
      </c>
      <c r="G89" s="8" t="n">
        <v>46256</v>
      </c>
      <c r="I89" s="7" t="inlineStr">
        <is>
          <t>Planned</t>
        </is>
      </c>
      <c r="J89" s="7" t="inlineStr">
        <is>
          <t>Priya Patel</t>
        </is>
      </c>
      <c r="K89" s="7" t="inlineStr">
        <is>
          <t>UAT</t>
        </is>
      </c>
    </row>
    <row r="90" ht="15" customHeight="1" s="5">
      <c r="A90" s="7" t="inlineStr">
        <is>
          <t>REL0089</t>
        </is>
      </c>
      <c r="B90" s="7" t="inlineStr">
        <is>
          <t>PRJ033</t>
        </is>
      </c>
      <c r="C90" s="7">
        <f>IFERROR(VLOOKUP(B90,Projects!$A:$AK,2,FALSE()),"")</f>
        <v/>
      </c>
      <c r="D90" s="7" t="inlineStr">
        <is>
          <t>Risk Platform R3</t>
        </is>
      </c>
      <c r="E90" s="7" t="inlineStr">
        <is>
          <t>3.0.0</t>
        </is>
      </c>
      <c r="F90" s="7" t="inlineStr">
        <is>
          <t>Minor</t>
        </is>
      </c>
      <c r="G90" s="8" t="n">
        <v>46392</v>
      </c>
      <c r="I90" s="7" t="inlineStr">
        <is>
          <t>Planned</t>
        </is>
      </c>
      <c r="J90" s="7" t="inlineStr">
        <is>
          <t>Priya Patel</t>
        </is>
      </c>
      <c r="K90" s="7" t="inlineStr">
        <is>
          <t>Staging</t>
        </is>
      </c>
    </row>
    <row r="91" ht="15" customHeight="1" s="5">
      <c r="A91" s="7" t="inlineStr">
        <is>
          <t>REL0090</t>
        </is>
      </c>
      <c r="B91" s="7" t="inlineStr">
        <is>
          <t>PRJ034</t>
        </is>
      </c>
      <c r="C91" s="7">
        <f>IFERROR(VLOOKUP(B91,Projects!$A:$AK,2,FALSE()),"")</f>
        <v/>
      </c>
      <c r="D91" s="7" t="inlineStr">
        <is>
          <t>Treasury Sys R1</t>
        </is>
      </c>
      <c r="E91" s="7" t="inlineStr">
        <is>
          <t>1.0.0</t>
        </is>
      </c>
      <c r="F91" s="7" t="inlineStr">
        <is>
          <t>Major</t>
        </is>
      </c>
      <c r="G91" s="8" t="n">
        <v>46078</v>
      </c>
      <c r="H91" s="8" t="n">
        <v>46084</v>
      </c>
      <c r="I91" s="7" t="inlineStr">
        <is>
          <t>Delivered</t>
        </is>
      </c>
      <c r="J91" s="7" t="inlineStr">
        <is>
          <t>Jane Doe</t>
        </is>
      </c>
      <c r="K91" s="7" t="inlineStr">
        <is>
          <t>UAT</t>
        </is>
      </c>
    </row>
    <row r="92" ht="15" customHeight="1" s="5">
      <c r="A92" s="7" t="inlineStr">
        <is>
          <t>REL0091</t>
        </is>
      </c>
      <c r="B92" s="7" t="inlineStr">
        <is>
          <t>PRJ034</t>
        </is>
      </c>
      <c r="C92" s="7">
        <f>IFERROR(VLOOKUP(B92,Projects!$A:$AK,2,FALSE()),"")</f>
        <v/>
      </c>
      <c r="D92" s="7" t="inlineStr">
        <is>
          <t>Treasury Sys R2</t>
        </is>
      </c>
      <c r="E92" s="7" t="inlineStr">
        <is>
          <t>2.0.0</t>
        </is>
      </c>
      <c r="F92" s="7" t="inlineStr">
        <is>
          <t>Major</t>
        </is>
      </c>
      <c r="G92" s="8" t="n">
        <v>46186</v>
      </c>
      <c r="H92" s="8" t="n">
        <v>46186</v>
      </c>
      <c r="I92" s="7" t="inlineStr">
        <is>
          <t>Delivered</t>
        </is>
      </c>
      <c r="J92" s="7" t="inlineStr">
        <is>
          <t>Jane Doe</t>
        </is>
      </c>
      <c r="K92" s="7" t="inlineStr">
        <is>
          <t>Staging</t>
        </is>
      </c>
    </row>
    <row r="93" ht="15" customHeight="1" s="5">
      <c r="A93" s="7" t="inlineStr">
        <is>
          <t>REL0092</t>
        </is>
      </c>
      <c r="B93" s="7" t="inlineStr">
        <is>
          <t>PRJ034</t>
        </is>
      </c>
      <c r="C93" s="7">
        <f>IFERROR(VLOOKUP(B93,Projects!$A:$AK,2,FALSE()),"")</f>
        <v/>
      </c>
      <c r="D93" s="7" t="inlineStr">
        <is>
          <t>Treasury Sys R3</t>
        </is>
      </c>
      <c r="E93" s="7" t="inlineStr">
        <is>
          <t>3.0.0</t>
        </is>
      </c>
      <c r="F93" s="7" t="inlineStr">
        <is>
          <t>Patch</t>
        </is>
      </c>
      <c r="G93" s="8" t="n">
        <v>46294</v>
      </c>
      <c r="I93" s="7" t="inlineStr">
        <is>
          <t>Planned</t>
        </is>
      </c>
      <c r="J93" s="7" t="inlineStr">
        <is>
          <t>Jane Doe</t>
        </is>
      </c>
      <c r="K93" s="7" t="inlineStr">
        <is>
          <t>Staging</t>
        </is>
      </c>
    </row>
    <row r="94" ht="15" customHeight="1" s="5">
      <c r="A94" s="7" t="inlineStr">
        <is>
          <t>REL0093</t>
        </is>
      </c>
      <c r="B94" s="7" t="inlineStr">
        <is>
          <t>PRJ035</t>
        </is>
      </c>
      <c r="C94" s="7">
        <f>IFERROR(VLOOKUP(B94,Projects!$A:$AK,2,FALSE()),"")</f>
        <v/>
      </c>
      <c r="D94" s="7" t="inlineStr">
        <is>
          <t>Payroll Cloud R1</t>
        </is>
      </c>
      <c r="E94" s="7" t="inlineStr">
        <is>
          <t>1.0.0</t>
        </is>
      </c>
      <c r="F94" s="7" t="inlineStr">
        <is>
          <t>Patch</t>
        </is>
      </c>
      <c r="G94" s="8" t="n">
        <v>45869</v>
      </c>
      <c r="H94" s="8" t="n">
        <v>45873</v>
      </c>
      <c r="I94" s="7" t="inlineStr">
        <is>
          <t>Delivered</t>
        </is>
      </c>
      <c r="J94" s="7" t="inlineStr">
        <is>
          <t>Jane Doe</t>
        </is>
      </c>
      <c r="K94" s="7" t="inlineStr">
        <is>
          <t>UAT</t>
        </is>
      </c>
    </row>
    <row r="95" ht="15" customHeight="1" s="5">
      <c r="A95" s="7" t="inlineStr">
        <is>
          <t>REL0094</t>
        </is>
      </c>
      <c r="B95" s="7" t="inlineStr">
        <is>
          <t>PRJ035</t>
        </is>
      </c>
      <c r="C95" s="7">
        <f>IFERROR(VLOOKUP(B95,Projects!$A:$AK,2,FALSE()),"")</f>
        <v/>
      </c>
      <c r="D95" s="7" t="inlineStr">
        <is>
          <t>Payroll Cloud R2</t>
        </is>
      </c>
      <c r="E95" s="7" t="inlineStr">
        <is>
          <t>2.0.0</t>
        </is>
      </c>
      <c r="F95" s="7" t="inlineStr">
        <is>
          <t>Major</t>
        </is>
      </c>
      <c r="G95" s="8" t="n">
        <v>45958</v>
      </c>
      <c r="H95" s="8" t="n">
        <v>45953</v>
      </c>
      <c r="I95" s="7" t="inlineStr">
        <is>
          <t>Delivered</t>
        </is>
      </c>
      <c r="J95" s="7" t="inlineStr">
        <is>
          <t>Jane Doe</t>
        </is>
      </c>
      <c r="K95" s="7" t="inlineStr">
        <is>
          <t>Production</t>
        </is>
      </c>
    </row>
    <row r="96" ht="15" customHeight="1" s="5">
      <c r="A96" s="7" t="inlineStr">
        <is>
          <t>REL0095</t>
        </is>
      </c>
      <c r="B96" s="7" t="inlineStr">
        <is>
          <t>PRJ035</t>
        </is>
      </c>
      <c r="C96" s="7">
        <f>IFERROR(VLOOKUP(B96,Projects!$A:$AK,2,FALSE()),"")</f>
        <v/>
      </c>
      <c r="D96" s="7" t="inlineStr">
        <is>
          <t>Payroll Cloud R3</t>
        </is>
      </c>
      <c r="E96" s="7" t="inlineStr">
        <is>
          <t>3.0.0</t>
        </is>
      </c>
      <c r="F96" s="7" t="inlineStr">
        <is>
          <t>Hotfix</t>
        </is>
      </c>
      <c r="G96" s="8" t="n">
        <v>46046</v>
      </c>
      <c r="H96" s="8" t="n">
        <v>46051</v>
      </c>
      <c r="I96" s="7" t="inlineStr">
        <is>
          <t>Delivered</t>
        </is>
      </c>
      <c r="J96" s="7" t="inlineStr">
        <is>
          <t>Jane Doe</t>
        </is>
      </c>
      <c r="K96" s="7" t="inlineStr">
        <is>
          <t>Production</t>
        </is>
      </c>
    </row>
    <row r="97" ht="15" customHeight="1" s="5">
      <c r="A97" s="7" t="inlineStr">
        <is>
          <t>REL0096</t>
        </is>
      </c>
      <c r="B97" s="7" t="inlineStr">
        <is>
          <t>PRJ035</t>
        </is>
      </c>
      <c r="C97" s="7">
        <f>IFERROR(VLOOKUP(B97,Projects!$A:$AK,2,FALSE()),"")</f>
        <v/>
      </c>
      <c r="D97" s="7" t="inlineStr">
        <is>
          <t>Payroll Cloud R4</t>
        </is>
      </c>
      <c r="E97" s="7" t="inlineStr">
        <is>
          <t>4.0.0</t>
        </is>
      </c>
      <c r="F97" s="7" t="inlineStr">
        <is>
          <t>Minor</t>
        </is>
      </c>
      <c r="G97" s="8" t="n">
        <v>46135</v>
      </c>
      <c r="H97" s="8" t="n">
        <v>46141</v>
      </c>
      <c r="I97" s="7" t="inlineStr">
        <is>
          <t>Delivered</t>
        </is>
      </c>
      <c r="J97" s="7" t="inlineStr">
        <is>
          <t>Jane Doe</t>
        </is>
      </c>
      <c r="K97" s="7" t="inlineStr">
        <is>
          <t>Production</t>
        </is>
      </c>
    </row>
    <row r="98" ht="15" customHeight="1" s="5">
      <c r="A98" s="7" t="inlineStr">
        <is>
          <t>REL0097</t>
        </is>
      </c>
      <c r="B98" s="7" t="inlineStr">
        <is>
          <t>PRJ036</t>
        </is>
      </c>
      <c r="C98" s="7">
        <f>IFERROR(VLOOKUP(B98,Projects!$A:$AK,2,FALSE()),"")</f>
        <v/>
      </c>
      <c r="D98" s="7" t="inlineStr">
        <is>
          <t>HR Self-Service R1</t>
        </is>
      </c>
      <c r="E98" s="7" t="inlineStr">
        <is>
          <t>1.0.0</t>
        </is>
      </c>
      <c r="F98" s="7" t="inlineStr">
        <is>
          <t>Patch</t>
        </is>
      </c>
      <c r="G98" s="8" t="n">
        <v>45855</v>
      </c>
      <c r="H98" s="8" t="n">
        <v>45861</v>
      </c>
      <c r="I98" s="7" t="inlineStr">
        <is>
          <t>Delivered</t>
        </is>
      </c>
      <c r="J98" s="7" t="inlineStr">
        <is>
          <t>Jane Doe</t>
        </is>
      </c>
      <c r="K98" s="7" t="inlineStr">
        <is>
          <t>Production</t>
        </is>
      </c>
    </row>
    <row r="99" ht="15" customHeight="1" s="5">
      <c r="A99" s="7" t="inlineStr">
        <is>
          <t>REL0098</t>
        </is>
      </c>
      <c r="B99" s="7" t="inlineStr">
        <is>
          <t>PRJ036</t>
        </is>
      </c>
      <c r="C99" s="7">
        <f>IFERROR(VLOOKUP(B99,Projects!$A:$AK,2,FALSE()),"")</f>
        <v/>
      </c>
      <c r="D99" s="7" t="inlineStr">
        <is>
          <t>HR Self-Service R2</t>
        </is>
      </c>
      <c r="E99" s="7" t="inlineStr">
        <is>
          <t>2.0.0</t>
        </is>
      </c>
      <c r="F99" s="7" t="inlineStr">
        <is>
          <t>Major</t>
        </is>
      </c>
      <c r="G99" s="8" t="n">
        <v>45924</v>
      </c>
      <c r="H99" s="8" t="n">
        <v>45929</v>
      </c>
      <c r="I99" s="7" t="inlineStr">
        <is>
          <t>Delivered</t>
        </is>
      </c>
      <c r="J99" s="7" t="inlineStr">
        <is>
          <t>Jane Doe</t>
        </is>
      </c>
      <c r="K99" s="7" t="inlineStr">
        <is>
          <t>Production</t>
        </is>
      </c>
    </row>
    <row r="100" ht="15" customHeight="1" s="5">
      <c r="A100" s="7" t="inlineStr">
        <is>
          <t>REL0099</t>
        </is>
      </c>
      <c r="B100" s="7" t="inlineStr">
        <is>
          <t>PRJ037</t>
        </is>
      </c>
      <c r="C100" s="7">
        <f>IFERROR(VLOOKUP(B100,Projects!$A:$AK,2,FALSE()),"")</f>
        <v/>
      </c>
      <c r="D100" s="7" t="inlineStr">
        <is>
          <t>SAP S/4HANA R1</t>
        </is>
      </c>
      <c r="E100" s="7" t="inlineStr">
        <is>
          <t>1.0.0</t>
        </is>
      </c>
      <c r="F100" s="7" t="inlineStr">
        <is>
          <t>Patch</t>
        </is>
      </c>
      <c r="G100" s="8" t="n">
        <v>45779</v>
      </c>
      <c r="H100" s="8" t="n">
        <v>45774</v>
      </c>
      <c r="I100" s="7" t="inlineStr">
        <is>
          <t>Delivered</t>
        </is>
      </c>
      <c r="J100" s="7" t="inlineStr">
        <is>
          <t>John Smith</t>
        </is>
      </c>
      <c r="K100" s="7" t="inlineStr">
        <is>
          <t>Production</t>
        </is>
      </c>
    </row>
    <row r="101" ht="15" customHeight="1" s="5">
      <c r="A101" s="7" t="inlineStr">
        <is>
          <t>REL0100</t>
        </is>
      </c>
      <c r="B101" s="7" t="inlineStr">
        <is>
          <t>PRJ037</t>
        </is>
      </c>
      <c r="C101" s="7">
        <f>IFERROR(VLOOKUP(B101,Projects!$A:$AK,2,FALSE()),"")</f>
        <v/>
      </c>
      <c r="D101" s="7" t="inlineStr">
        <is>
          <t>SAP S/4HANA R2</t>
        </is>
      </c>
      <c r="E101" s="7" t="inlineStr">
        <is>
          <t>2.0.0</t>
        </is>
      </c>
      <c r="F101" s="7" t="inlineStr">
        <is>
          <t>Patch</t>
        </is>
      </c>
      <c r="G101" s="8" t="n">
        <v>45837</v>
      </c>
      <c r="H101" s="8" t="n">
        <v>45846</v>
      </c>
      <c r="I101" s="7" t="inlineStr">
        <is>
          <t>Delivered</t>
        </is>
      </c>
      <c r="J101" s="7" t="inlineStr">
        <is>
          <t>John Smith</t>
        </is>
      </c>
      <c r="K101" s="7" t="inlineStr">
        <is>
          <t>Production</t>
        </is>
      </c>
    </row>
    <row r="102" ht="15" customHeight="1" s="5">
      <c r="A102" s="7" t="inlineStr">
        <is>
          <t>REL0101</t>
        </is>
      </c>
      <c r="B102" s="7" t="inlineStr">
        <is>
          <t>PRJ037</t>
        </is>
      </c>
      <c r="C102" s="7">
        <f>IFERROR(VLOOKUP(B102,Projects!$A:$AK,2,FALSE()),"")</f>
        <v/>
      </c>
      <c r="D102" s="7" t="inlineStr">
        <is>
          <t>SAP S/4HANA R3</t>
        </is>
      </c>
      <c r="E102" s="7" t="inlineStr">
        <is>
          <t>3.0.0</t>
        </is>
      </c>
      <c r="F102" s="7" t="inlineStr">
        <is>
          <t>Hotfix</t>
        </is>
      </c>
      <c r="G102" s="8" t="n">
        <v>45894</v>
      </c>
      <c r="H102" s="8" t="n">
        <v>45891</v>
      </c>
      <c r="I102" s="7" t="inlineStr">
        <is>
          <t>Delivered</t>
        </is>
      </c>
      <c r="J102" s="7" t="inlineStr">
        <is>
          <t>John Smith</t>
        </is>
      </c>
      <c r="K102" s="7" t="inlineStr">
        <is>
          <t>UAT</t>
        </is>
      </c>
    </row>
    <row r="103" ht="15" customHeight="1" s="5">
      <c r="A103" s="7" t="inlineStr">
        <is>
          <t>REL0102</t>
        </is>
      </c>
      <c r="B103" s="7" t="inlineStr">
        <is>
          <t>PRJ038</t>
        </is>
      </c>
      <c r="C103" s="7">
        <f>IFERROR(VLOOKUP(B103,Projects!$A:$AK,2,FALSE()),"")</f>
        <v/>
      </c>
      <c r="D103" s="7" t="inlineStr">
        <is>
          <t>Salesforce CRM R1</t>
        </is>
      </c>
      <c r="E103" s="7" t="inlineStr">
        <is>
          <t>1.0.0</t>
        </is>
      </c>
      <c r="F103" s="7" t="inlineStr">
        <is>
          <t>Major</t>
        </is>
      </c>
      <c r="G103" s="8" t="n">
        <v>45951</v>
      </c>
      <c r="H103" s="8" t="n">
        <v>45952</v>
      </c>
      <c r="I103" s="7" t="inlineStr">
        <is>
          <t>Delivered</t>
        </is>
      </c>
      <c r="J103" s="7" t="inlineStr">
        <is>
          <t>Jane Doe</t>
        </is>
      </c>
      <c r="K103" s="7" t="inlineStr">
        <is>
          <t>Staging</t>
        </is>
      </c>
    </row>
    <row r="104" ht="15" customHeight="1" s="5">
      <c r="A104" s="7" t="inlineStr">
        <is>
          <t>REL0103</t>
        </is>
      </c>
      <c r="B104" s="7" t="inlineStr">
        <is>
          <t>PRJ038</t>
        </is>
      </c>
      <c r="C104" s="7">
        <f>IFERROR(VLOOKUP(B104,Projects!$A:$AK,2,FALSE()),"")</f>
        <v/>
      </c>
      <c r="D104" s="7" t="inlineStr">
        <is>
          <t>Salesforce CRM R2</t>
        </is>
      </c>
      <c r="E104" s="7" t="inlineStr">
        <is>
          <t>2.0.0</t>
        </is>
      </c>
      <c r="F104" s="7" t="inlineStr">
        <is>
          <t>Major</t>
        </is>
      </c>
      <c r="G104" s="8" t="n">
        <v>45993</v>
      </c>
      <c r="H104" s="8" t="n">
        <v>45996</v>
      </c>
      <c r="I104" s="7" t="inlineStr">
        <is>
          <t>Delivered</t>
        </is>
      </c>
      <c r="J104" s="7" t="inlineStr">
        <is>
          <t>Jane Doe</t>
        </is>
      </c>
      <c r="K104" s="7" t="inlineStr">
        <is>
          <t>Staging</t>
        </is>
      </c>
    </row>
    <row r="105" ht="15" customHeight="1" s="5">
      <c r="A105" s="7" t="inlineStr">
        <is>
          <t>REL0104</t>
        </is>
      </c>
      <c r="B105" s="7" t="inlineStr">
        <is>
          <t>PRJ039</t>
        </is>
      </c>
      <c r="C105" s="7">
        <f>IFERROR(VLOOKUP(B105,Projects!$A:$AK,2,FALSE()),"")</f>
        <v/>
      </c>
      <c r="D105" s="7" t="inlineStr">
        <is>
          <t>M365 Rollout R1</t>
        </is>
      </c>
      <c r="E105" s="7" t="inlineStr">
        <is>
          <t>1.0.0</t>
        </is>
      </c>
      <c r="F105" s="7" t="inlineStr">
        <is>
          <t>Patch</t>
        </is>
      </c>
      <c r="G105" s="8" t="n">
        <v>45999</v>
      </c>
      <c r="H105" s="8" t="n">
        <v>46007</v>
      </c>
      <c r="I105" s="7" t="inlineStr">
        <is>
          <t>Delivered</t>
        </is>
      </c>
      <c r="J105" s="7" t="inlineStr">
        <is>
          <t>Jane Doe</t>
        </is>
      </c>
      <c r="K105" s="7" t="inlineStr">
        <is>
          <t>UAT</t>
        </is>
      </c>
    </row>
    <row r="106" ht="15" customHeight="1" s="5">
      <c r="A106" s="7" t="inlineStr">
        <is>
          <t>REL0105</t>
        </is>
      </c>
      <c r="B106" s="7" t="inlineStr">
        <is>
          <t>PRJ039</t>
        </is>
      </c>
      <c r="C106" s="7">
        <f>IFERROR(VLOOKUP(B106,Projects!$A:$AK,2,FALSE()),"")</f>
        <v/>
      </c>
      <c r="D106" s="7" t="inlineStr">
        <is>
          <t>M365 Rollout R2</t>
        </is>
      </c>
      <c r="E106" s="7" t="inlineStr">
        <is>
          <t>2.0.0</t>
        </is>
      </c>
      <c r="F106" s="7" t="inlineStr">
        <is>
          <t>Minor</t>
        </is>
      </c>
      <c r="G106" s="8" t="n">
        <v>46023</v>
      </c>
      <c r="H106" s="8" t="n">
        <v>46024</v>
      </c>
      <c r="I106" s="7" t="inlineStr">
        <is>
          <t>Delivered</t>
        </is>
      </c>
      <c r="J106" s="7" t="inlineStr">
        <is>
          <t>Jane Doe</t>
        </is>
      </c>
      <c r="K106" s="7" t="inlineStr">
        <is>
          <t>Production</t>
        </is>
      </c>
    </row>
    <row r="107" ht="15" customHeight="1" s="5">
      <c r="A107" s="7" t="inlineStr">
        <is>
          <t>REL0106</t>
        </is>
      </c>
      <c r="B107" s="7" t="inlineStr">
        <is>
          <t>PRJ039</t>
        </is>
      </c>
      <c r="C107" s="7">
        <f>IFERROR(VLOOKUP(B107,Projects!$A:$AK,2,FALSE()),"")</f>
        <v/>
      </c>
      <c r="D107" s="7" t="inlineStr">
        <is>
          <t>M365 Rollout R3</t>
        </is>
      </c>
      <c r="E107" s="7" t="inlineStr">
        <is>
          <t>3.0.0</t>
        </is>
      </c>
      <c r="F107" s="7" t="inlineStr">
        <is>
          <t>Hotfix</t>
        </is>
      </c>
      <c r="G107" s="8" t="n">
        <v>46047</v>
      </c>
      <c r="H107" s="8" t="n">
        <v>46057</v>
      </c>
      <c r="I107" s="7" t="inlineStr">
        <is>
          <t>Delivered</t>
        </is>
      </c>
      <c r="J107" s="7" t="inlineStr">
        <is>
          <t>Jane Doe</t>
        </is>
      </c>
      <c r="K107" s="7" t="inlineStr">
        <is>
          <t>Production</t>
        </is>
      </c>
    </row>
    <row r="108" ht="15" customHeight="1" s="5">
      <c r="A108" s="7" t="inlineStr">
        <is>
          <t>REL0107</t>
        </is>
      </c>
      <c r="B108" s="7" t="inlineStr">
        <is>
          <t>PRJ039</t>
        </is>
      </c>
      <c r="C108" s="7">
        <f>IFERROR(VLOOKUP(B108,Projects!$A:$AK,2,FALSE()),"")</f>
        <v/>
      </c>
      <c r="D108" s="7" t="inlineStr">
        <is>
          <t>M365 Rollout R4</t>
        </is>
      </c>
      <c r="E108" s="7" t="inlineStr">
        <is>
          <t>4.0.0</t>
        </is>
      </c>
      <c r="F108" s="7" t="inlineStr">
        <is>
          <t>Hotfix</t>
        </is>
      </c>
      <c r="G108" s="8" t="n">
        <v>46071</v>
      </c>
      <c r="H108" s="8" t="n">
        <v>46074</v>
      </c>
      <c r="I108" s="7" t="inlineStr">
        <is>
          <t>Delivered</t>
        </is>
      </c>
      <c r="J108" s="7" t="inlineStr">
        <is>
          <t>Jane Doe</t>
        </is>
      </c>
      <c r="K108" s="7" t="inlineStr">
        <is>
          <t>Production</t>
        </is>
      </c>
    </row>
    <row r="109" ht="15" customHeight="1" s="5">
      <c r="A109" s="7" t="inlineStr">
        <is>
          <t>REL0108</t>
        </is>
      </c>
      <c r="B109" s="7" t="inlineStr">
        <is>
          <t>PRJ040</t>
        </is>
      </c>
      <c r="C109" s="7">
        <f>IFERROR(VLOOKUP(B109,Projects!$A:$AK,2,FALSE()),"")</f>
        <v/>
      </c>
      <c r="D109" s="7" t="inlineStr">
        <is>
          <t>Zero-Trust Net R1</t>
        </is>
      </c>
      <c r="E109" s="7" t="inlineStr">
        <is>
          <t>1.0.0</t>
        </is>
      </c>
      <c r="F109" s="7" t="inlineStr">
        <is>
          <t>Minor</t>
        </is>
      </c>
      <c r="G109" s="8" t="n">
        <v>45914</v>
      </c>
      <c r="H109" s="8" t="n">
        <v>45923</v>
      </c>
      <c r="I109" s="7" t="inlineStr">
        <is>
          <t>Delivered</t>
        </is>
      </c>
      <c r="J109" s="7" t="inlineStr">
        <is>
          <t>Alex Brown</t>
        </is>
      </c>
      <c r="K109" s="7" t="inlineStr">
        <is>
          <t>Staging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I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Program</t>
        </is>
      </c>
      <c r="B1" s="6" t="inlineStr">
        <is>
          <t>Owner</t>
        </is>
      </c>
      <c r="C1" s="6" t="inlineStr">
        <is>
          <t>Sponsor</t>
        </is>
      </c>
      <c r="D1" s="6" t="inlineStr">
        <is>
          <t>Budget</t>
        </is>
      </c>
      <c r="E1" s="6" t="inlineStr">
        <is>
          <t>Forecast</t>
        </is>
      </c>
      <c r="F1" s="6" t="inlineStr">
        <is>
          <t>Start FY</t>
        </is>
      </c>
      <c r="G1" s="6" t="inlineStr">
        <is>
          <t>End FY</t>
        </is>
      </c>
      <c r="H1" s="6" t="inlineStr">
        <is>
          <t>Status</t>
        </is>
      </c>
      <c r="I1" s="6" t="inlineStr">
        <is>
          <t>Notes</t>
        </is>
      </c>
    </row>
    <row r="2" ht="15" customHeight="1" s="5">
      <c r="A2" s="7" t="inlineStr">
        <is>
          <t>Digital Transformation</t>
        </is>
      </c>
      <c r="B2" s="7" t="inlineStr">
        <is>
          <t>Mike Johnson</t>
        </is>
      </c>
      <c r="C2" s="7" t="inlineStr">
        <is>
          <t>CTO</t>
        </is>
      </c>
      <c r="D2" s="7" t="n">
        <v>20682756</v>
      </c>
      <c r="E2" s="7" t="n">
        <v>19929607</v>
      </c>
      <c r="F2" s="7" t="inlineStr">
        <is>
          <t>FY25</t>
        </is>
      </c>
      <c r="G2" s="7" t="inlineStr">
        <is>
          <t>FY26</t>
        </is>
      </c>
      <c r="H2" s="7" t="inlineStr">
        <is>
          <t>Active</t>
        </is>
      </c>
    </row>
    <row r="3" ht="15" customHeight="1" s="5">
      <c r="A3" s="7" t="inlineStr">
        <is>
          <t>Cyber Security</t>
        </is>
      </c>
      <c r="B3" s="7" t="inlineStr">
        <is>
          <t>Sarah Lee</t>
        </is>
      </c>
      <c r="C3" s="7" t="inlineStr">
        <is>
          <t>CFO</t>
        </is>
      </c>
      <c r="D3" s="7" t="n">
        <v>23048795</v>
      </c>
      <c r="E3" s="7" t="n">
        <v>25365239</v>
      </c>
      <c r="F3" s="7" t="inlineStr">
        <is>
          <t>FY25</t>
        </is>
      </c>
      <c r="G3" s="7" t="inlineStr">
        <is>
          <t>FY27</t>
        </is>
      </c>
      <c r="H3" s="7" t="inlineStr">
        <is>
          <t>Active</t>
        </is>
      </c>
    </row>
    <row r="4" ht="15" customHeight="1" s="5">
      <c r="A4" s="7" t="inlineStr">
        <is>
          <t>Cloud Migration</t>
        </is>
      </c>
      <c r="B4" s="7" t="inlineStr">
        <is>
          <t>Alex Brown</t>
        </is>
      </c>
      <c r="C4" s="7" t="inlineStr">
        <is>
          <t>CIO</t>
        </is>
      </c>
      <c r="D4" s="7" t="n">
        <v>19629127</v>
      </c>
      <c r="E4" s="7" t="n">
        <v>19663839</v>
      </c>
      <c r="F4" s="7" t="inlineStr">
        <is>
          <t>FY25</t>
        </is>
      </c>
      <c r="G4" s="7" t="inlineStr">
        <is>
          <t>FY27</t>
        </is>
      </c>
      <c r="H4" s="7" t="inlineStr">
        <is>
          <t>Active</t>
        </is>
      </c>
    </row>
    <row r="5" ht="15" customHeight="1" s="5">
      <c r="A5" s="7" t="inlineStr">
        <is>
          <t>Data &amp; AI</t>
        </is>
      </c>
      <c r="B5" s="7" t="inlineStr">
        <is>
          <t>Mike Johnson</t>
        </is>
      </c>
      <c r="C5" s="7" t="inlineStr">
        <is>
          <t>CIO</t>
        </is>
      </c>
      <c r="D5" s="7" t="n">
        <v>15462956</v>
      </c>
      <c r="E5" s="7" t="n">
        <v>14369534</v>
      </c>
      <c r="F5" s="7" t="inlineStr">
        <is>
          <t>FY25</t>
        </is>
      </c>
      <c r="G5" s="7" t="inlineStr">
        <is>
          <t>FY27</t>
        </is>
      </c>
      <c r="H5" s="7" t="inlineStr">
        <is>
          <t>Active</t>
        </is>
      </c>
    </row>
    <row r="6" ht="15" customHeight="1" s="5">
      <c r="A6" s="7" t="inlineStr">
        <is>
          <t>Customer Experience</t>
        </is>
      </c>
      <c r="B6" s="7" t="inlineStr">
        <is>
          <t>Priya Patel</t>
        </is>
      </c>
      <c r="C6" s="7" t="inlineStr">
        <is>
          <t>CTO</t>
        </is>
      </c>
      <c r="D6" s="7" t="n">
        <v>10175226</v>
      </c>
      <c r="E6" s="7" t="n">
        <v>10299815</v>
      </c>
      <c r="F6" s="7" t="inlineStr">
        <is>
          <t>FY25</t>
        </is>
      </c>
      <c r="G6" s="7" t="inlineStr">
        <is>
          <t>FY26</t>
        </is>
      </c>
      <c r="H6" s="7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K3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Project ID</t>
        </is>
      </c>
      <c r="B1" s="6" t="inlineStr">
        <is>
          <t>Stage</t>
        </is>
      </c>
      <c r="C1" s="6" t="inlineStr">
        <is>
          <t>Planned Start</t>
        </is>
      </c>
      <c r="D1" s="6" t="inlineStr">
        <is>
          <t>Planned End</t>
        </is>
      </c>
      <c r="E1" s="6" t="inlineStr">
        <is>
          <t>Actual Start</t>
        </is>
      </c>
      <c r="F1" s="6" t="inlineStr">
        <is>
          <t>Actual End</t>
        </is>
      </c>
      <c r="G1" s="6" t="inlineStr">
        <is>
          <t>Phase Budget</t>
        </is>
      </c>
      <c r="H1" s="6" t="inlineStr">
        <is>
          <t>Phase Forecast</t>
        </is>
      </c>
      <c r="I1" s="6" t="inlineStr">
        <is>
          <t>Phase Actual Spend</t>
        </is>
      </c>
      <c r="J1" s="6" t="inlineStr">
        <is>
          <t>Status</t>
        </is>
      </c>
      <c r="K1" s="6" t="inlineStr">
        <is>
          <t>Notes</t>
        </is>
      </c>
    </row>
    <row r="2" ht="15" customHeight="1" s="5">
      <c r="A2" s="7" t="inlineStr">
        <is>
          <t>PRJ001</t>
        </is>
      </c>
      <c r="B2" s="7" t="inlineStr">
        <is>
          <t>Discovery</t>
        </is>
      </c>
      <c r="C2" s="8" t="n">
        <v>45702</v>
      </c>
      <c r="D2" s="8" t="n">
        <v>45751</v>
      </c>
      <c r="E2" s="8" t="n">
        <v>45702</v>
      </c>
      <c r="F2" s="8" t="n">
        <v>45751</v>
      </c>
      <c r="G2" s="7" t="n">
        <v>324221</v>
      </c>
      <c r="H2" s="7" t="n">
        <v>371877</v>
      </c>
      <c r="I2" s="7" t="n">
        <v>310352</v>
      </c>
      <c r="J2" s="7" t="inlineStr">
        <is>
          <t>Complete</t>
        </is>
      </c>
    </row>
    <row r="3" ht="15" customHeight="1" s="5">
      <c r="A3" s="7" t="inlineStr">
        <is>
          <t>PRJ001</t>
        </is>
      </c>
      <c r="B3" s="7" t="inlineStr">
        <is>
          <t>Business Case / Seed Funding</t>
        </is>
      </c>
      <c r="C3" s="8" t="n">
        <v>45751</v>
      </c>
      <c r="D3" s="8" t="n">
        <v>45800</v>
      </c>
      <c r="E3" s="8" t="n">
        <v>45751</v>
      </c>
      <c r="F3" s="8" t="n">
        <v>45800</v>
      </c>
      <c r="G3" s="7" t="n">
        <v>324221</v>
      </c>
      <c r="H3" s="7" t="n">
        <v>314848</v>
      </c>
      <c r="I3" s="7" t="n">
        <v>286522</v>
      </c>
      <c r="J3" s="7" t="inlineStr">
        <is>
          <t>Complete</t>
        </is>
      </c>
    </row>
    <row r="4" ht="15" customHeight="1" s="5">
      <c r="A4" s="7" t="inlineStr">
        <is>
          <t>PRJ001</t>
        </is>
      </c>
      <c r="B4" s="7" t="inlineStr">
        <is>
          <t>Design</t>
        </is>
      </c>
      <c r="C4" s="8" t="n">
        <v>45800</v>
      </c>
      <c r="D4" s="8" t="n">
        <v>45849</v>
      </c>
      <c r="E4" s="8" t="n">
        <v>45800</v>
      </c>
      <c r="F4" s="8" t="n">
        <v>45849</v>
      </c>
      <c r="G4" s="7" t="n">
        <v>324221</v>
      </c>
      <c r="H4" s="7" t="n">
        <v>324448</v>
      </c>
      <c r="I4" s="7" t="n">
        <v>304969</v>
      </c>
      <c r="J4" s="7" t="inlineStr">
        <is>
          <t>Complete</t>
        </is>
      </c>
    </row>
    <row r="5" ht="15" customHeight="1" s="5">
      <c r="A5" s="7" t="inlineStr">
        <is>
          <t>PRJ001</t>
        </is>
      </c>
      <c r="B5" s="7" t="inlineStr">
        <is>
          <t>Business Case / Full Funding</t>
        </is>
      </c>
      <c r="C5" s="8" t="n">
        <v>45849</v>
      </c>
      <c r="D5" s="8" t="n">
        <v>45898</v>
      </c>
      <c r="E5" s="8" t="n">
        <v>45849</v>
      </c>
      <c r="F5" s="8" t="n">
        <v>45898</v>
      </c>
      <c r="G5" s="7" t="n">
        <v>324221</v>
      </c>
      <c r="H5" s="7" t="n">
        <v>366210</v>
      </c>
      <c r="I5" s="7" t="n">
        <v>13318</v>
      </c>
      <c r="J5" s="7" t="inlineStr">
        <is>
          <t>Complete</t>
        </is>
      </c>
    </row>
    <row r="6" ht="15" customHeight="1" s="5">
      <c r="A6" s="7" t="inlineStr">
        <is>
          <t>PRJ001</t>
        </is>
      </c>
      <c r="B6" s="7" t="inlineStr">
        <is>
          <t>Build</t>
        </is>
      </c>
      <c r="C6" s="8" t="n">
        <v>45898</v>
      </c>
      <c r="D6" s="8" t="n">
        <v>45947</v>
      </c>
      <c r="E6" s="8" t="n">
        <v>45898</v>
      </c>
      <c r="F6" s="8" t="n">
        <v>45947</v>
      </c>
      <c r="G6" s="7" t="n">
        <v>324221</v>
      </c>
      <c r="H6" s="7" t="n">
        <v>344061</v>
      </c>
      <c r="I6" s="7" t="n">
        <v>23644</v>
      </c>
      <c r="J6" s="7" t="inlineStr">
        <is>
          <t>Complete</t>
        </is>
      </c>
    </row>
    <row r="7" ht="15" customHeight="1" s="5">
      <c r="A7" s="7" t="inlineStr">
        <is>
          <t>PRJ001</t>
        </is>
      </c>
      <c r="B7" s="7" t="inlineStr">
        <is>
          <t>Testing</t>
        </is>
      </c>
      <c r="C7" s="8" t="n">
        <v>45947</v>
      </c>
      <c r="D7" s="8" t="n">
        <v>45996</v>
      </c>
      <c r="E7" s="8" t="n">
        <v>45947</v>
      </c>
      <c r="F7" s="8" t="n">
        <v>45996</v>
      </c>
      <c r="G7" s="7" t="n">
        <v>324221</v>
      </c>
      <c r="H7" s="7" t="n">
        <v>299509</v>
      </c>
      <c r="I7" s="7" t="n">
        <v>273201</v>
      </c>
      <c r="J7" s="7" t="inlineStr">
        <is>
          <t>Complete</t>
        </is>
      </c>
    </row>
    <row r="8" ht="15" customHeight="1" s="5">
      <c r="A8" s="7" t="inlineStr">
        <is>
          <t>PRJ001</t>
        </is>
      </c>
      <c r="B8" s="7" t="inlineStr">
        <is>
          <t>Deployment</t>
        </is>
      </c>
      <c r="C8" s="8" t="n">
        <v>45996</v>
      </c>
      <c r="D8" s="8" t="n">
        <v>46045</v>
      </c>
      <c r="E8" s="8" t="n">
        <v>45996</v>
      </c>
      <c r="F8" s="8" t="n">
        <v>46045</v>
      </c>
      <c r="G8" s="7" t="n">
        <v>324221</v>
      </c>
      <c r="H8" s="7" t="n">
        <v>350422</v>
      </c>
      <c r="I8" s="7" t="n">
        <v>93508</v>
      </c>
      <c r="J8" s="7" t="inlineStr">
        <is>
          <t>Complete</t>
        </is>
      </c>
    </row>
    <row r="9" ht="15" customHeight="1" s="5">
      <c r="A9" s="7" t="inlineStr">
        <is>
          <t>PRJ001</t>
        </is>
      </c>
      <c r="B9" s="7" t="inlineStr">
        <is>
          <t>Handover</t>
        </is>
      </c>
      <c r="C9" s="8" t="n">
        <v>46045</v>
      </c>
      <c r="D9" s="8" t="n">
        <v>46094</v>
      </c>
      <c r="E9" s="8" t="n">
        <v>46045</v>
      </c>
      <c r="F9" s="8" t="n">
        <v>46094</v>
      </c>
      <c r="G9" s="7" t="n">
        <v>324221</v>
      </c>
      <c r="H9" s="7" t="n">
        <v>352889</v>
      </c>
      <c r="I9" s="7" t="n">
        <v>136290</v>
      </c>
      <c r="J9" s="7" t="inlineStr">
        <is>
          <t>Complete</t>
        </is>
      </c>
    </row>
    <row r="10" ht="15" customHeight="1" s="5">
      <c r="A10" s="7" t="inlineStr">
        <is>
          <t>PRJ002</t>
        </is>
      </c>
      <c r="B10" s="7" t="inlineStr">
        <is>
          <t>Discovery</t>
        </is>
      </c>
      <c r="C10" s="8" t="n">
        <v>45737</v>
      </c>
      <c r="D10" s="8" t="n">
        <v>45762</v>
      </c>
      <c r="E10" s="8" t="n">
        <v>45737</v>
      </c>
      <c r="F10" s="8" t="n">
        <v>45762</v>
      </c>
      <c r="G10" s="7" t="n">
        <v>231489</v>
      </c>
      <c r="H10" s="7" t="n">
        <v>240544</v>
      </c>
      <c r="I10" s="7" t="n">
        <v>76121</v>
      </c>
      <c r="J10" s="7" t="inlineStr">
        <is>
          <t>Complete</t>
        </is>
      </c>
    </row>
    <row r="11" ht="15" customHeight="1" s="5">
      <c r="A11" s="7" t="inlineStr">
        <is>
          <t>PRJ002</t>
        </is>
      </c>
      <c r="B11" s="7" t="inlineStr">
        <is>
          <t>Business Case / Seed Funding</t>
        </is>
      </c>
      <c r="C11" s="8" t="n">
        <v>45762</v>
      </c>
      <c r="D11" s="8" t="n">
        <v>45787</v>
      </c>
      <c r="E11" s="8" t="n">
        <v>45762</v>
      </c>
      <c r="F11" s="8" t="n">
        <v>45787</v>
      </c>
      <c r="G11" s="7" t="n">
        <v>231489</v>
      </c>
      <c r="H11" s="7" t="n">
        <v>243777</v>
      </c>
      <c r="I11" s="7" t="n">
        <v>95604</v>
      </c>
      <c r="J11" s="7" t="inlineStr">
        <is>
          <t>Complete</t>
        </is>
      </c>
    </row>
    <row r="12" ht="15" customHeight="1" s="5">
      <c r="A12" s="7" t="inlineStr">
        <is>
          <t>PRJ002</t>
        </is>
      </c>
      <c r="B12" s="7" t="inlineStr">
        <is>
          <t>Design</t>
        </is>
      </c>
      <c r="C12" s="8" t="n">
        <v>45787</v>
      </c>
      <c r="D12" s="8" t="n">
        <v>45812</v>
      </c>
      <c r="E12" s="8" t="n">
        <v>45787</v>
      </c>
      <c r="F12" s="8" t="n">
        <v>45812</v>
      </c>
      <c r="G12" s="7" t="n">
        <v>231489</v>
      </c>
      <c r="H12" s="7" t="n">
        <v>248646</v>
      </c>
      <c r="I12" s="7" t="n">
        <v>110492</v>
      </c>
      <c r="J12" s="7" t="inlineStr">
        <is>
          <t>Complete</t>
        </is>
      </c>
    </row>
    <row r="13" ht="15" customHeight="1" s="5">
      <c r="A13" s="7" t="inlineStr">
        <is>
          <t>PRJ002</t>
        </is>
      </c>
      <c r="B13" s="7" t="inlineStr">
        <is>
          <t>Business Case / Full Funding</t>
        </is>
      </c>
      <c r="C13" s="8" t="n">
        <v>45812</v>
      </c>
      <c r="D13" s="8" t="n">
        <v>45837</v>
      </c>
      <c r="E13" s="8" t="n">
        <v>45812</v>
      </c>
      <c r="F13" s="8" t="n">
        <v>45837</v>
      </c>
      <c r="G13" s="7" t="n">
        <v>231489</v>
      </c>
      <c r="H13" s="7" t="n">
        <v>257455</v>
      </c>
      <c r="I13" s="7" t="n">
        <v>235080</v>
      </c>
      <c r="J13" s="7" t="inlineStr">
        <is>
          <t>Complete</t>
        </is>
      </c>
    </row>
    <row r="14" ht="15" customHeight="1" s="5">
      <c r="A14" s="7" t="inlineStr">
        <is>
          <t>PRJ002</t>
        </is>
      </c>
      <c r="B14" s="7" t="inlineStr">
        <is>
          <t>Build</t>
        </is>
      </c>
      <c r="C14" s="8" t="n">
        <v>45837</v>
      </c>
      <c r="D14" s="8" t="n">
        <v>45862</v>
      </c>
      <c r="E14" s="8" t="n">
        <v>45837</v>
      </c>
      <c r="F14" s="8" t="n">
        <v>45862</v>
      </c>
      <c r="G14" s="7" t="n">
        <v>231489</v>
      </c>
      <c r="H14" s="7" t="n">
        <v>215367</v>
      </c>
      <c r="I14" s="7" t="n">
        <v>90883</v>
      </c>
      <c r="J14" s="7" t="inlineStr">
        <is>
          <t>Complete</t>
        </is>
      </c>
    </row>
    <row r="15" ht="15" customHeight="1" s="5">
      <c r="A15" s="7" t="inlineStr">
        <is>
          <t>PRJ002</t>
        </is>
      </c>
      <c r="B15" s="7" t="inlineStr">
        <is>
          <t>Testing</t>
        </is>
      </c>
      <c r="C15" s="8" t="n">
        <v>45862</v>
      </c>
      <c r="D15" s="8" t="n">
        <v>45887</v>
      </c>
      <c r="E15" s="8" t="n">
        <v>45862</v>
      </c>
      <c r="F15" s="8" t="n">
        <v>45887</v>
      </c>
      <c r="G15" s="7" t="n">
        <v>231489</v>
      </c>
      <c r="H15" s="7" t="n">
        <v>244104</v>
      </c>
      <c r="I15" s="7" t="n">
        <v>7119</v>
      </c>
      <c r="J15" s="7" t="inlineStr">
        <is>
          <t>Complete</t>
        </is>
      </c>
    </row>
    <row r="16" ht="15" customHeight="1" s="5">
      <c r="A16" s="7" t="inlineStr">
        <is>
          <t>PRJ002</t>
        </is>
      </c>
      <c r="B16" s="7" t="inlineStr">
        <is>
          <t>Deployment</t>
        </is>
      </c>
      <c r="C16" s="8" t="n">
        <v>45887</v>
      </c>
      <c r="D16" s="8" t="n">
        <v>45912</v>
      </c>
      <c r="E16" s="8" t="n">
        <v>45887</v>
      </c>
      <c r="F16" s="8" t="n">
        <v>45912</v>
      </c>
      <c r="G16" s="7" t="n">
        <v>231489</v>
      </c>
      <c r="H16" s="7" t="n">
        <v>211109</v>
      </c>
      <c r="I16" s="7" t="n">
        <v>2527</v>
      </c>
      <c r="J16" s="7" t="inlineStr">
        <is>
          <t>Complete</t>
        </is>
      </c>
    </row>
    <row r="17" ht="15" customHeight="1" s="5">
      <c r="A17" s="7" t="inlineStr">
        <is>
          <t>PRJ002</t>
        </is>
      </c>
      <c r="B17" s="7" t="inlineStr">
        <is>
          <t>Handover</t>
        </is>
      </c>
      <c r="C17" s="8" t="n">
        <v>45912</v>
      </c>
      <c r="D17" s="8" t="n">
        <v>45937</v>
      </c>
      <c r="E17" s="8" t="n">
        <v>45912</v>
      </c>
      <c r="F17" s="8" t="n">
        <v>45937</v>
      </c>
      <c r="G17" s="7" t="n">
        <v>231489</v>
      </c>
      <c r="H17" s="7" t="n">
        <v>214425</v>
      </c>
      <c r="I17" s="7" t="n">
        <v>78475</v>
      </c>
      <c r="J17" s="7" t="inlineStr">
        <is>
          <t>Complete</t>
        </is>
      </c>
    </row>
    <row r="18" ht="15" customHeight="1" s="5">
      <c r="A18" s="7" t="inlineStr">
        <is>
          <t>PRJ003</t>
        </is>
      </c>
      <c r="B18" s="7" t="inlineStr">
        <is>
          <t>Discovery</t>
        </is>
      </c>
      <c r="C18" s="8" t="n">
        <v>45756</v>
      </c>
      <c r="D18" s="8" t="n">
        <v>45812</v>
      </c>
      <c r="E18" s="8" t="n">
        <v>45756</v>
      </c>
      <c r="F18" s="8" t="n">
        <v>45812</v>
      </c>
      <c r="G18" s="7" t="n">
        <v>486894</v>
      </c>
      <c r="H18" s="7" t="n">
        <v>521901</v>
      </c>
      <c r="I18" s="7" t="n">
        <v>222738</v>
      </c>
      <c r="J18" s="7" t="inlineStr">
        <is>
          <t>Complete</t>
        </is>
      </c>
    </row>
    <row r="19" ht="15" customHeight="1" s="5">
      <c r="A19" s="7" t="inlineStr">
        <is>
          <t>PRJ003</t>
        </is>
      </c>
      <c r="B19" s="7" t="inlineStr">
        <is>
          <t>Business Case / Seed Funding</t>
        </is>
      </c>
      <c r="C19" s="8" t="n">
        <v>45812</v>
      </c>
      <c r="D19" s="8" t="n">
        <v>45868</v>
      </c>
      <c r="E19" s="8" t="n">
        <v>45812</v>
      </c>
      <c r="F19" s="8" t="n">
        <v>45868</v>
      </c>
      <c r="G19" s="7" t="n">
        <v>486894</v>
      </c>
      <c r="H19" s="7" t="n">
        <v>458921</v>
      </c>
      <c r="I19" s="7" t="n">
        <v>97728</v>
      </c>
      <c r="J19" s="7" t="inlineStr">
        <is>
          <t>Complete</t>
        </is>
      </c>
    </row>
    <row r="20" ht="15" customHeight="1" s="5">
      <c r="A20" s="7" t="inlineStr">
        <is>
          <t>PRJ003</t>
        </is>
      </c>
      <c r="B20" s="7" t="inlineStr">
        <is>
          <t>Design</t>
        </is>
      </c>
      <c r="C20" s="8" t="n">
        <v>45868</v>
      </c>
      <c r="D20" s="8" t="n">
        <v>45924</v>
      </c>
      <c r="E20" s="8" t="n">
        <v>45868</v>
      </c>
      <c r="F20" s="8" t="n">
        <v>45924</v>
      </c>
      <c r="G20" s="7" t="n">
        <v>486894</v>
      </c>
      <c r="H20" s="7" t="n">
        <v>548033</v>
      </c>
      <c r="I20" s="7" t="n">
        <v>188585</v>
      </c>
      <c r="J20" s="7" t="inlineStr">
        <is>
          <t>Complete</t>
        </is>
      </c>
    </row>
    <row r="21" ht="15" customHeight="1" s="5">
      <c r="A21" s="7" t="inlineStr">
        <is>
          <t>PRJ003</t>
        </is>
      </c>
      <c r="B21" s="7" t="inlineStr">
        <is>
          <t>Business Case / Full Funding</t>
        </is>
      </c>
      <c r="C21" s="8" t="n">
        <v>45924</v>
      </c>
      <c r="D21" s="8" t="n">
        <v>45980</v>
      </c>
      <c r="E21" s="8" t="n">
        <v>45924</v>
      </c>
      <c r="F21" s="8" t="n">
        <v>45980</v>
      </c>
      <c r="G21" s="7" t="n">
        <v>486894</v>
      </c>
      <c r="H21" s="7" t="n">
        <v>548106</v>
      </c>
      <c r="I21" s="7" t="n">
        <v>505904</v>
      </c>
      <c r="J21" s="7" t="inlineStr">
        <is>
          <t>Complete</t>
        </is>
      </c>
    </row>
    <row r="22" ht="15" customHeight="1" s="5">
      <c r="A22" s="7" t="inlineStr">
        <is>
          <t>PRJ003</t>
        </is>
      </c>
      <c r="B22" s="7" t="inlineStr">
        <is>
          <t>Build</t>
        </is>
      </c>
      <c r="C22" s="8" t="n">
        <v>45980</v>
      </c>
      <c r="D22" s="8" t="n">
        <v>46036</v>
      </c>
      <c r="E22" s="8" t="n">
        <v>45980</v>
      </c>
      <c r="F22" s="8" t="n">
        <v>46036</v>
      </c>
      <c r="G22" s="7" t="n">
        <v>486894</v>
      </c>
      <c r="H22" s="7" t="n">
        <v>551908</v>
      </c>
      <c r="I22" s="7" t="n">
        <v>443763</v>
      </c>
      <c r="J22" s="7" t="inlineStr">
        <is>
          <t>Complete</t>
        </is>
      </c>
    </row>
    <row r="23" ht="15" customHeight="1" s="5">
      <c r="A23" s="7" t="inlineStr">
        <is>
          <t>PRJ003</t>
        </is>
      </c>
      <c r="B23" s="7" t="inlineStr">
        <is>
          <t>Testing</t>
        </is>
      </c>
      <c r="C23" s="8" t="n">
        <v>46036</v>
      </c>
      <c r="D23" s="8" t="n">
        <v>46092</v>
      </c>
      <c r="E23" s="8" t="n">
        <v>46036</v>
      </c>
      <c r="F23" s="8" t="n">
        <v>46092</v>
      </c>
      <c r="G23" s="7" t="n">
        <v>486894</v>
      </c>
      <c r="H23" s="7" t="n">
        <v>469815</v>
      </c>
      <c r="I23" s="7" t="n">
        <v>401294</v>
      </c>
      <c r="J23" s="7" t="inlineStr">
        <is>
          <t>Complete</t>
        </is>
      </c>
    </row>
    <row r="24" ht="15" customHeight="1" s="5">
      <c r="A24" s="7" t="inlineStr">
        <is>
          <t>PRJ003</t>
        </is>
      </c>
      <c r="B24" s="7" t="inlineStr">
        <is>
          <t>Deployment</t>
        </is>
      </c>
      <c r="C24" s="8" t="n">
        <v>46092</v>
      </c>
      <c r="D24" s="8" t="n">
        <v>46148</v>
      </c>
      <c r="E24" s="8" t="n">
        <v>46092</v>
      </c>
      <c r="F24" s="8" t="n">
        <v>46148</v>
      </c>
      <c r="G24" s="7" t="n">
        <v>486894</v>
      </c>
      <c r="H24" s="7" t="n">
        <v>451692</v>
      </c>
      <c r="I24" s="7" t="n">
        <v>484217</v>
      </c>
      <c r="J24" s="7" t="inlineStr">
        <is>
          <t>Complete</t>
        </is>
      </c>
    </row>
    <row r="25" ht="15" customHeight="1" s="5">
      <c r="A25" s="7" t="inlineStr">
        <is>
          <t>PRJ003</t>
        </is>
      </c>
      <c r="B25" s="7" t="inlineStr">
        <is>
          <t>Handover</t>
        </is>
      </c>
      <c r="C25" s="8" t="n">
        <v>46148</v>
      </c>
      <c r="D25" s="8" t="n">
        <v>46204</v>
      </c>
      <c r="E25" s="8" t="n">
        <v>46148</v>
      </c>
      <c r="F25" s="8" t="n">
        <v>46204</v>
      </c>
      <c r="G25" s="7" t="n">
        <v>486894</v>
      </c>
      <c r="H25" s="7" t="n">
        <v>447339</v>
      </c>
      <c r="I25" s="7" t="n">
        <v>168366</v>
      </c>
      <c r="J25" s="7" t="inlineStr">
        <is>
          <t>Complete</t>
        </is>
      </c>
    </row>
    <row r="26" ht="15" customHeight="1" s="5">
      <c r="A26" s="7" t="inlineStr">
        <is>
          <t>PRJ004</t>
        </is>
      </c>
      <c r="B26" s="7" t="inlineStr">
        <is>
          <t>Discovery</t>
        </is>
      </c>
      <c r="C26" s="8" t="n">
        <v>45931</v>
      </c>
      <c r="D26" s="8" t="n">
        <v>45988</v>
      </c>
      <c r="E26" s="8" t="n">
        <v>45931</v>
      </c>
      <c r="F26" s="8" t="n">
        <v>45988</v>
      </c>
      <c r="G26" s="7" t="n">
        <v>192963</v>
      </c>
      <c r="H26" s="7" t="n">
        <v>203227</v>
      </c>
      <c r="I26" s="7" t="n">
        <v>164619</v>
      </c>
      <c r="J26" s="7" t="inlineStr">
        <is>
          <t>Complete</t>
        </is>
      </c>
    </row>
    <row r="27" ht="15" customHeight="1" s="5">
      <c r="A27" s="7" t="inlineStr">
        <is>
          <t>PRJ004</t>
        </is>
      </c>
      <c r="B27" s="7" t="inlineStr">
        <is>
          <t>Business Case / Seed Funding</t>
        </is>
      </c>
      <c r="C27" s="8" t="n">
        <v>45988</v>
      </c>
      <c r="D27" s="8" t="n">
        <v>46045</v>
      </c>
      <c r="E27" s="8" t="n">
        <v>45988</v>
      </c>
      <c r="F27" s="8" t="n">
        <v>46045</v>
      </c>
      <c r="G27" s="7" t="n">
        <v>192963</v>
      </c>
      <c r="H27" s="7" t="n">
        <v>186688</v>
      </c>
      <c r="I27" s="7" t="n">
        <v>34513</v>
      </c>
      <c r="J27" s="7" t="inlineStr">
        <is>
          <t>Complete</t>
        </is>
      </c>
    </row>
    <row r="28" ht="15" customHeight="1" s="5">
      <c r="A28" s="7" t="inlineStr">
        <is>
          <t>PRJ004</t>
        </is>
      </c>
      <c r="B28" s="7" t="inlineStr">
        <is>
          <t>Design</t>
        </is>
      </c>
      <c r="C28" s="8" t="n">
        <v>46045</v>
      </c>
      <c r="D28" s="8" t="n">
        <v>46102</v>
      </c>
      <c r="E28" s="8" t="n">
        <v>46045</v>
      </c>
      <c r="F28" s="8" t="n">
        <v>46102</v>
      </c>
      <c r="G28" s="7" t="n">
        <v>192963</v>
      </c>
      <c r="H28" s="7" t="n">
        <v>180313</v>
      </c>
      <c r="I28" s="7" t="n">
        <v>93342</v>
      </c>
      <c r="J28" s="7" t="inlineStr">
        <is>
          <t>Complete</t>
        </is>
      </c>
    </row>
    <row r="29" ht="15" customHeight="1" s="5">
      <c r="A29" s="7" t="inlineStr">
        <is>
          <t>PRJ004</t>
        </is>
      </c>
      <c r="B29" s="7" t="inlineStr">
        <is>
          <t>Business Case / Full Funding</t>
        </is>
      </c>
      <c r="C29" s="8" t="n">
        <v>46102</v>
      </c>
      <c r="D29" s="8" t="n">
        <v>46159</v>
      </c>
      <c r="E29" s="8" t="n">
        <v>46102</v>
      </c>
      <c r="F29" s="8" t="n">
        <v>46159</v>
      </c>
      <c r="G29" s="7" t="n">
        <v>192963</v>
      </c>
      <c r="H29" s="7" t="n">
        <v>179759</v>
      </c>
      <c r="I29" s="7" t="n">
        <v>174630</v>
      </c>
      <c r="J29" s="7" t="inlineStr">
        <is>
          <t>Complete</t>
        </is>
      </c>
    </row>
    <row r="30" ht="15" customHeight="1" s="5">
      <c r="A30" s="7" t="inlineStr">
        <is>
          <t>PRJ004</t>
        </is>
      </c>
      <c r="B30" s="7" t="inlineStr">
        <is>
          <t>Build</t>
        </is>
      </c>
      <c r="C30" s="8" t="n">
        <v>46159</v>
      </c>
      <c r="D30" s="8" t="n">
        <v>46216</v>
      </c>
      <c r="E30" s="8" t="n">
        <v>46159</v>
      </c>
      <c r="F30" s="8" t="n">
        <v>46216</v>
      </c>
      <c r="G30" s="7" t="n">
        <v>192963</v>
      </c>
      <c r="H30" s="7" t="n">
        <v>209994</v>
      </c>
      <c r="I30" s="7" t="n">
        <v>179878</v>
      </c>
      <c r="J30" s="7" t="inlineStr">
        <is>
          <t>Complete</t>
        </is>
      </c>
    </row>
    <row r="31" ht="15" customHeight="1" s="5">
      <c r="A31" s="7" t="inlineStr">
        <is>
          <t>PRJ004</t>
        </is>
      </c>
      <c r="B31" s="7" t="inlineStr">
        <is>
          <t>Testing</t>
        </is>
      </c>
      <c r="C31" s="8" t="n">
        <v>46216</v>
      </c>
      <c r="D31" s="8" t="n">
        <v>46273</v>
      </c>
      <c r="E31" s="8" t="n">
        <v>46216</v>
      </c>
      <c r="G31" s="7" t="n">
        <v>192963</v>
      </c>
      <c r="H31" s="7" t="n">
        <v>220260</v>
      </c>
      <c r="I31" s="7" t="n">
        <v>83738</v>
      </c>
      <c r="J31" s="7" t="inlineStr">
        <is>
          <t>In Progress</t>
        </is>
      </c>
    </row>
    <row r="32" ht="15" customHeight="1" s="5">
      <c r="A32" s="7" t="inlineStr">
        <is>
          <t>PRJ004</t>
        </is>
      </c>
      <c r="B32" s="7" t="inlineStr">
        <is>
          <t>Deployment</t>
        </is>
      </c>
      <c r="C32" s="8" t="n">
        <v>46273</v>
      </c>
      <c r="D32" s="8" t="n">
        <v>46330</v>
      </c>
      <c r="G32" s="7" t="n">
        <v>192963</v>
      </c>
      <c r="H32" s="7" t="n">
        <v>195220</v>
      </c>
      <c r="I32" s="7" t="n">
        <v>0</v>
      </c>
      <c r="J32" s="7" t="inlineStr">
        <is>
          <t>Planned</t>
        </is>
      </c>
    </row>
    <row r="33" ht="15" customHeight="1" s="5">
      <c r="A33" s="7" t="inlineStr">
        <is>
          <t>PRJ004</t>
        </is>
      </c>
      <c r="B33" s="7" t="inlineStr">
        <is>
          <t>Handover</t>
        </is>
      </c>
      <c r="C33" s="8" t="n">
        <v>46330</v>
      </c>
      <c r="D33" s="8" t="n">
        <v>46387</v>
      </c>
      <c r="G33" s="7" t="n">
        <v>192963</v>
      </c>
      <c r="H33" s="7" t="n">
        <v>179570</v>
      </c>
      <c r="I33" s="7" t="n">
        <v>0</v>
      </c>
      <c r="J33" s="7" t="inlineStr">
        <is>
          <t>Planned</t>
        </is>
      </c>
    </row>
    <row r="34" ht="15" customHeight="1" s="5">
      <c r="A34" s="7" t="inlineStr">
        <is>
          <t>PRJ005</t>
        </is>
      </c>
      <c r="B34" s="7" t="inlineStr">
        <is>
          <t>Discovery</t>
        </is>
      </c>
      <c r="C34" s="8" t="n">
        <v>45860</v>
      </c>
      <c r="D34" s="8" t="n">
        <v>45927</v>
      </c>
      <c r="E34" s="8" t="n">
        <v>45860</v>
      </c>
      <c r="F34" s="8" t="n">
        <v>45927</v>
      </c>
      <c r="G34" s="7" t="n">
        <v>208068</v>
      </c>
      <c r="H34" s="7" t="n">
        <v>214705</v>
      </c>
      <c r="I34" s="7" t="n">
        <v>126251</v>
      </c>
      <c r="J34" s="7" t="inlineStr">
        <is>
          <t>Complete</t>
        </is>
      </c>
    </row>
    <row r="35" ht="15" customHeight="1" s="5">
      <c r="A35" s="7" t="inlineStr">
        <is>
          <t>PRJ005</t>
        </is>
      </c>
      <c r="B35" s="7" t="inlineStr">
        <is>
          <t>Business Case / Seed Funding</t>
        </is>
      </c>
      <c r="C35" s="8" t="n">
        <v>45927</v>
      </c>
      <c r="D35" s="8" t="n">
        <v>45994</v>
      </c>
      <c r="E35" s="8" t="n">
        <v>45927</v>
      </c>
      <c r="F35" s="8" t="n">
        <v>45994</v>
      </c>
      <c r="G35" s="7" t="n">
        <v>208068</v>
      </c>
      <c r="H35" s="7" t="n">
        <v>221658</v>
      </c>
      <c r="I35" s="7" t="n">
        <v>213304</v>
      </c>
      <c r="J35" s="7" t="inlineStr">
        <is>
          <t>Complete</t>
        </is>
      </c>
    </row>
    <row r="36" ht="15" customHeight="1" s="5">
      <c r="A36" s="7" t="inlineStr">
        <is>
          <t>PRJ005</t>
        </is>
      </c>
      <c r="B36" s="7" t="inlineStr">
        <is>
          <t>Design</t>
        </is>
      </c>
      <c r="C36" s="8" t="n">
        <v>45994</v>
      </c>
      <c r="D36" s="8" t="n">
        <v>46061</v>
      </c>
      <c r="E36" s="8" t="n">
        <v>45994</v>
      </c>
      <c r="F36" s="8" t="n">
        <v>46061</v>
      </c>
      <c r="G36" s="7" t="n">
        <v>208068</v>
      </c>
      <c r="H36" s="7" t="n">
        <v>204006</v>
      </c>
      <c r="I36" s="7" t="n">
        <v>159673</v>
      </c>
      <c r="J36" s="7" t="inlineStr">
        <is>
          <t>Complete</t>
        </is>
      </c>
    </row>
    <row r="37" ht="15" customHeight="1" s="5">
      <c r="A37" s="7" t="inlineStr">
        <is>
          <t>PRJ005</t>
        </is>
      </c>
      <c r="B37" s="7" t="inlineStr">
        <is>
          <t>Business Case / Full Funding</t>
        </is>
      </c>
      <c r="C37" s="8" t="n">
        <v>46061</v>
      </c>
      <c r="D37" s="8" t="n">
        <v>46128</v>
      </c>
      <c r="E37" s="8" t="n">
        <v>46061</v>
      </c>
      <c r="F37" s="8" t="n">
        <v>46128</v>
      </c>
      <c r="G37" s="7" t="n">
        <v>208068</v>
      </c>
      <c r="H37" s="7" t="n">
        <v>199008</v>
      </c>
      <c r="I37" s="7" t="n">
        <v>57635</v>
      </c>
      <c r="J37" s="7" t="inlineStr">
        <is>
          <t>Complete</t>
        </is>
      </c>
    </row>
    <row r="38" ht="15" customHeight="1" s="5">
      <c r="A38" s="7" t="inlineStr">
        <is>
          <t>PRJ005</t>
        </is>
      </c>
      <c r="B38" s="7" t="inlineStr">
        <is>
          <t>Build</t>
        </is>
      </c>
      <c r="C38" s="8" t="n">
        <v>46128</v>
      </c>
      <c r="D38" s="8" t="n">
        <v>46195</v>
      </c>
      <c r="E38" s="8" t="n">
        <v>46128</v>
      </c>
      <c r="F38" s="8" t="n">
        <v>46195</v>
      </c>
      <c r="G38" s="7" t="n">
        <v>208068</v>
      </c>
      <c r="H38" s="7" t="n">
        <v>202670</v>
      </c>
      <c r="I38" s="7" t="n">
        <v>18088</v>
      </c>
      <c r="J38" s="7" t="inlineStr">
        <is>
          <t>Complete</t>
        </is>
      </c>
    </row>
    <row r="39" ht="15" customHeight="1" s="5">
      <c r="A39" s="7" t="inlineStr">
        <is>
          <t>PRJ005</t>
        </is>
      </c>
      <c r="B39" s="7" t="inlineStr">
        <is>
          <t>Testing</t>
        </is>
      </c>
      <c r="C39" s="8" t="n">
        <v>46195</v>
      </c>
      <c r="D39" s="8" t="n">
        <v>46262</v>
      </c>
      <c r="E39" s="8" t="n">
        <v>46195</v>
      </c>
      <c r="G39" s="7" t="n">
        <v>208068</v>
      </c>
      <c r="H39" s="7" t="n">
        <v>216313</v>
      </c>
      <c r="I39" s="7" t="n">
        <v>190698</v>
      </c>
      <c r="J39" s="7" t="inlineStr">
        <is>
          <t>In Progress</t>
        </is>
      </c>
    </row>
    <row r="40" ht="15" customHeight="1" s="5">
      <c r="A40" s="7" t="inlineStr">
        <is>
          <t>PRJ005</t>
        </is>
      </c>
      <c r="B40" s="7" t="inlineStr">
        <is>
          <t>Deployment</t>
        </is>
      </c>
      <c r="C40" s="8" t="n">
        <v>46262</v>
      </c>
      <c r="D40" s="8" t="n">
        <v>46329</v>
      </c>
      <c r="G40" s="7" t="n">
        <v>208068</v>
      </c>
      <c r="H40" s="7" t="n">
        <v>221565</v>
      </c>
      <c r="I40" s="7" t="n">
        <v>0</v>
      </c>
      <c r="J40" s="7" t="inlineStr">
        <is>
          <t>Planned</t>
        </is>
      </c>
    </row>
    <row r="41" ht="15" customHeight="1" s="5">
      <c r="A41" s="7" t="inlineStr">
        <is>
          <t>PRJ005</t>
        </is>
      </c>
      <c r="B41" s="7" t="inlineStr">
        <is>
          <t>Handover</t>
        </is>
      </c>
      <c r="C41" s="8" t="n">
        <v>46329</v>
      </c>
      <c r="D41" s="8" t="n">
        <v>46396</v>
      </c>
      <c r="G41" s="7" t="n">
        <v>208068</v>
      </c>
      <c r="H41" s="7" t="n">
        <v>225508</v>
      </c>
      <c r="I41" s="7" t="n">
        <v>0</v>
      </c>
      <c r="J41" s="7" t="inlineStr">
        <is>
          <t>Planned</t>
        </is>
      </c>
    </row>
    <row r="42" ht="15" customHeight="1" s="5">
      <c r="A42" s="7" t="inlineStr">
        <is>
          <t>PRJ006</t>
        </is>
      </c>
      <c r="B42" s="7" t="inlineStr">
        <is>
          <t>Discovery</t>
        </is>
      </c>
      <c r="C42" s="8" t="n">
        <v>45736</v>
      </c>
      <c r="D42" s="8" t="n">
        <v>45787</v>
      </c>
      <c r="E42" s="8" t="n">
        <v>45736</v>
      </c>
      <c r="F42" s="8" t="n">
        <v>45787</v>
      </c>
      <c r="G42" s="7" t="n">
        <v>207208</v>
      </c>
      <c r="H42" s="7" t="n">
        <v>197153</v>
      </c>
      <c r="I42" s="7" t="n">
        <v>16974</v>
      </c>
      <c r="J42" s="7" t="inlineStr">
        <is>
          <t>Complete</t>
        </is>
      </c>
    </row>
    <row r="43" ht="15" customHeight="1" s="5">
      <c r="A43" s="7" t="inlineStr">
        <is>
          <t>PRJ006</t>
        </is>
      </c>
      <c r="B43" s="7" t="inlineStr">
        <is>
          <t>Business Case / Seed Funding</t>
        </is>
      </c>
      <c r="C43" s="8" t="n">
        <v>45787</v>
      </c>
      <c r="D43" s="8" t="n">
        <v>45838</v>
      </c>
      <c r="E43" s="8" t="n">
        <v>45787</v>
      </c>
      <c r="F43" s="8" t="n">
        <v>45838</v>
      </c>
      <c r="G43" s="7" t="n">
        <v>207208</v>
      </c>
      <c r="H43" s="7" t="n">
        <v>236826</v>
      </c>
      <c r="I43" s="7" t="n">
        <v>13112</v>
      </c>
      <c r="J43" s="7" t="inlineStr">
        <is>
          <t>Complete</t>
        </is>
      </c>
    </row>
    <row r="44" ht="15" customHeight="1" s="5">
      <c r="A44" s="7" t="inlineStr">
        <is>
          <t>PRJ006</t>
        </is>
      </c>
      <c r="B44" s="7" t="inlineStr">
        <is>
          <t>Design</t>
        </is>
      </c>
      <c r="C44" s="8" t="n">
        <v>45838</v>
      </c>
      <c r="D44" s="8" t="n">
        <v>45889</v>
      </c>
      <c r="E44" s="8" t="n">
        <v>45838</v>
      </c>
      <c r="F44" s="8" t="n">
        <v>45889</v>
      </c>
      <c r="G44" s="7" t="n">
        <v>207208</v>
      </c>
      <c r="H44" s="7" t="n">
        <v>187167</v>
      </c>
      <c r="I44" s="7" t="n">
        <v>47024</v>
      </c>
      <c r="J44" s="7" t="inlineStr">
        <is>
          <t>Complete</t>
        </is>
      </c>
    </row>
    <row r="45" ht="15" customHeight="1" s="5">
      <c r="A45" s="7" t="inlineStr">
        <is>
          <t>PRJ006</t>
        </is>
      </c>
      <c r="B45" s="7" t="inlineStr">
        <is>
          <t>Business Case / Full Funding</t>
        </is>
      </c>
      <c r="C45" s="8" t="n">
        <v>45889</v>
      </c>
      <c r="D45" s="8" t="n">
        <v>45940</v>
      </c>
      <c r="E45" s="8" t="n">
        <v>45889</v>
      </c>
      <c r="F45" s="8" t="n">
        <v>45940</v>
      </c>
      <c r="G45" s="7" t="n">
        <v>207208</v>
      </c>
      <c r="H45" s="7" t="n">
        <v>228887</v>
      </c>
      <c r="I45" s="7" t="n">
        <v>40885</v>
      </c>
      <c r="J45" s="7" t="inlineStr">
        <is>
          <t>Complete</t>
        </is>
      </c>
    </row>
    <row r="46" ht="15" customHeight="1" s="5">
      <c r="A46" s="7" t="inlineStr">
        <is>
          <t>PRJ006</t>
        </is>
      </c>
      <c r="B46" s="7" t="inlineStr">
        <is>
          <t>Build</t>
        </is>
      </c>
      <c r="C46" s="8" t="n">
        <v>45940</v>
      </c>
      <c r="D46" s="8" t="n">
        <v>45991</v>
      </c>
      <c r="E46" s="8" t="n">
        <v>45940</v>
      </c>
      <c r="F46" s="8" t="n">
        <v>45991</v>
      </c>
      <c r="G46" s="7" t="n">
        <v>207208</v>
      </c>
      <c r="H46" s="7" t="n">
        <v>191902</v>
      </c>
      <c r="I46" s="7" t="n">
        <v>45398</v>
      </c>
      <c r="J46" s="7" t="inlineStr">
        <is>
          <t>Complete</t>
        </is>
      </c>
    </row>
    <row r="47" ht="15" customHeight="1" s="5">
      <c r="A47" s="7" t="inlineStr">
        <is>
          <t>PRJ006</t>
        </is>
      </c>
      <c r="B47" s="7" t="inlineStr">
        <is>
          <t>Testing</t>
        </is>
      </c>
      <c r="C47" s="8" t="n">
        <v>45991</v>
      </c>
      <c r="D47" s="8" t="n">
        <v>46042</v>
      </c>
      <c r="E47" s="8" t="n">
        <v>45991</v>
      </c>
      <c r="F47" s="8" t="n">
        <v>46042</v>
      </c>
      <c r="G47" s="7" t="n">
        <v>207208</v>
      </c>
      <c r="H47" s="7" t="n">
        <v>217077</v>
      </c>
      <c r="I47" s="7" t="n">
        <v>114799</v>
      </c>
      <c r="J47" s="7" t="inlineStr">
        <is>
          <t>Complete</t>
        </is>
      </c>
    </row>
    <row r="48" ht="15" customHeight="1" s="5">
      <c r="A48" s="7" t="inlineStr">
        <is>
          <t>PRJ006</t>
        </is>
      </c>
      <c r="B48" s="7" t="inlineStr">
        <is>
          <t>Deployment</t>
        </is>
      </c>
      <c r="C48" s="8" t="n">
        <v>46042</v>
      </c>
      <c r="D48" s="8" t="n">
        <v>46093</v>
      </c>
      <c r="E48" s="8" t="n">
        <v>46042</v>
      </c>
      <c r="F48" s="8" t="n">
        <v>46093</v>
      </c>
      <c r="G48" s="7" t="n">
        <v>207208</v>
      </c>
      <c r="H48" s="7" t="n">
        <v>230957</v>
      </c>
      <c r="I48" s="7" t="n">
        <v>165458</v>
      </c>
      <c r="J48" s="7" t="inlineStr">
        <is>
          <t>Complete</t>
        </is>
      </c>
    </row>
    <row r="49" ht="15" customHeight="1" s="5">
      <c r="A49" s="7" t="inlineStr">
        <is>
          <t>PRJ006</t>
        </is>
      </c>
      <c r="B49" s="7" t="inlineStr">
        <is>
          <t>Handover</t>
        </is>
      </c>
      <c r="C49" s="8" t="n">
        <v>46093</v>
      </c>
      <c r="D49" s="8" t="n">
        <v>46144</v>
      </c>
      <c r="E49" s="8" t="n">
        <v>46093</v>
      </c>
      <c r="F49" s="8" t="n">
        <v>46144</v>
      </c>
      <c r="G49" s="7" t="n">
        <v>207208</v>
      </c>
      <c r="H49" s="7" t="n">
        <v>202640</v>
      </c>
      <c r="I49" s="7" t="n">
        <v>98781</v>
      </c>
      <c r="J49" s="7" t="inlineStr">
        <is>
          <t>Complete</t>
        </is>
      </c>
    </row>
    <row r="50" ht="15" customHeight="1" s="5">
      <c r="A50" s="7" t="inlineStr">
        <is>
          <t>PRJ007</t>
        </is>
      </c>
      <c r="B50" s="7" t="inlineStr">
        <is>
          <t>Discovery</t>
        </is>
      </c>
      <c r="C50" s="8" t="n">
        <v>45792</v>
      </c>
      <c r="D50" s="8" t="n">
        <v>45865</v>
      </c>
      <c r="E50" s="8" t="n">
        <v>45792</v>
      </c>
      <c r="F50" s="8" t="n">
        <v>45865</v>
      </c>
      <c r="G50" s="7" t="n">
        <v>443834</v>
      </c>
      <c r="H50" s="7" t="n">
        <v>416538</v>
      </c>
      <c r="I50" s="7" t="n">
        <v>235115</v>
      </c>
      <c r="J50" s="7" t="inlineStr">
        <is>
          <t>Complete</t>
        </is>
      </c>
    </row>
    <row r="51" ht="15" customHeight="1" s="5">
      <c r="A51" s="7" t="inlineStr">
        <is>
          <t>PRJ007</t>
        </is>
      </c>
      <c r="B51" s="7" t="inlineStr">
        <is>
          <t>Business Case / Seed Funding</t>
        </is>
      </c>
      <c r="C51" s="8" t="n">
        <v>45865</v>
      </c>
      <c r="D51" s="8" t="n">
        <v>45938</v>
      </c>
      <c r="E51" s="8" t="n">
        <v>45865</v>
      </c>
      <c r="F51" s="8" t="n">
        <v>45938</v>
      </c>
      <c r="G51" s="7" t="n">
        <v>443834</v>
      </c>
      <c r="H51" s="7" t="n">
        <v>500881</v>
      </c>
      <c r="I51" s="7" t="n">
        <v>101959</v>
      </c>
      <c r="J51" s="7" t="inlineStr">
        <is>
          <t>Complete</t>
        </is>
      </c>
    </row>
    <row r="52" ht="15" customHeight="1" s="5">
      <c r="A52" s="7" t="inlineStr">
        <is>
          <t>PRJ007</t>
        </is>
      </c>
      <c r="B52" s="7" t="inlineStr">
        <is>
          <t>Design</t>
        </is>
      </c>
      <c r="C52" s="8" t="n">
        <v>45938</v>
      </c>
      <c r="D52" s="8" t="n">
        <v>46011</v>
      </c>
      <c r="E52" s="8" t="n">
        <v>45938</v>
      </c>
      <c r="F52" s="8" t="n">
        <v>46011</v>
      </c>
      <c r="G52" s="7" t="n">
        <v>443834</v>
      </c>
      <c r="H52" s="7" t="n">
        <v>439800</v>
      </c>
      <c r="I52" s="7" t="n">
        <v>454406</v>
      </c>
      <c r="J52" s="7" t="inlineStr">
        <is>
          <t>Complete</t>
        </is>
      </c>
    </row>
    <row r="53" ht="15" customHeight="1" s="5">
      <c r="A53" s="7" t="inlineStr">
        <is>
          <t>PRJ007</t>
        </is>
      </c>
      <c r="B53" s="7" t="inlineStr">
        <is>
          <t>Business Case / Full Funding</t>
        </is>
      </c>
      <c r="C53" s="8" t="n">
        <v>46011</v>
      </c>
      <c r="D53" s="8" t="n">
        <v>46084</v>
      </c>
      <c r="E53" s="8" t="n">
        <v>46011</v>
      </c>
      <c r="F53" s="8" t="n">
        <v>46084</v>
      </c>
      <c r="G53" s="7" t="n">
        <v>443834</v>
      </c>
      <c r="H53" s="7" t="n">
        <v>495747</v>
      </c>
      <c r="I53" s="7" t="n">
        <v>239288</v>
      </c>
      <c r="J53" s="7" t="inlineStr">
        <is>
          <t>Complete</t>
        </is>
      </c>
    </row>
    <row r="54" ht="15" customHeight="1" s="5">
      <c r="A54" s="7" t="inlineStr">
        <is>
          <t>PRJ007</t>
        </is>
      </c>
      <c r="B54" s="7" t="inlineStr">
        <is>
          <t>Build</t>
        </is>
      </c>
      <c r="C54" s="8" t="n">
        <v>46084</v>
      </c>
      <c r="D54" s="8" t="n">
        <v>46157</v>
      </c>
      <c r="E54" s="8" t="n">
        <v>46084</v>
      </c>
      <c r="F54" s="8" t="n">
        <v>46157</v>
      </c>
      <c r="G54" s="7" t="n">
        <v>443834</v>
      </c>
      <c r="H54" s="7" t="n">
        <v>486001</v>
      </c>
      <c r="I54" s="7" t="n">
        <v>87591</v>
      </c>
      <c r="J54" s="7" t="inlineStr">
        <is>
          <t>Complete</t>
        </is>
      </c>
    </row>
    <row r="55" ht="15" customHeight="1" s="5">
      <c r="A55" s="7" t="inlineStr">
        <is>
          <t>PRJ007</t>
        </is>
      </c>
      <c r="B55" s="7" t="inlineStr">
        <is>
          <t>Testing</t>
        </is>
      </c>
      <c r="C55" s="8" t="n">
        <v>46157</v>
      </c>
      <c r="D55" s="8" t="n">
        <v>46230</v>
      </c>
      <c r="E55" s="8" t="n">
        <v>46157</v>
      </c>
      <c r="G55" s="7" t="n">
        <v>443834</v>
      </c>
      <c r="H55" s="7" t="n">
        <v>430279</v>
      </c>
      <c r="I55" s="7" t="n">
        <v>76520</v>
      </c>
      <c r="J55" s="7" t="inlineStr">
        <is>
          <t>In Progress</t>
        </is>
      </c>
    </row>
    <row r="56" ht="15" customHeight="1" s="5">
      <c r="A56" s="7" t="inlineStr">
        <is>
          <t>PRJ007</t>
        </is>
      </c>
      <c r="B56" s="7" t="inlineStr">
        <is>
          <t>Deployment</t>
        </is>
      </c>
      <c r="C56" s="8" t="n">
        <v>46230</v>
      </c>
      <c r="D56" s="8" t="n">
        <v>46303</v>
      </c>
      <c r="G56" s="7" t="n">
        <v>443834</v>
      </c>
      <c r="H56" s="7" t="n">
        <v>433532</v>
      </c>
      <c r="I56" s="7" t="n">
        <v>0</v>
      </c>
      <c r="J56" s="7" t="inlineStr">
        <is>
          <t>Planned</t>
        </is>
      </c>
    </row>
    <row r="57" ht="15" customHeight="1" s="5">
      <c r="A57" s="7" t="inlineStr">
        <is>
          <t>PRJ007</t>
        </is>
      </c>
      <c r="B57" s="7" t="inlineStr">
        <is>
          <t>Handover</t>
        </is>
      </c>
      <c r="C57" s="8" t="n">
        <v>46303</v>
      </c>
      <c r="D57" s="8" t="n">
        <v>46376</v>
      </c>
      <c r="G57" s="7" t="n">
        <v>443834</v>
      </c>
      <c r="H57" s="7" t="n">
        <v>495966</v>
      </c>
      <c r="I57" s="7" t="n">
        <v>0</v>
      </c>
      <c r="J57" s="7" t="inlineStr">
        <is>
          <t>Planned</t>
        </is>
      </c>
    </row>
    <row r="58" ht="15" customHeight="1" s="5">
      <c r="A58" s="7" t="inlineStr">
        <is>
          <t>PRJ008</t>
        </is>
      </c>
      <c r="B58" s="7" t="inlineStr">
        <is>
          <t>Discovery</t>
        </is>
      </c>
      <c r="C58" s="8" t="n">
        <v>45780</v>
      </c>
      <c r="D58" s="8" t="n">
        <v>45794</v>
      </c>
      <c r="E58" s="8" t="n">
        <v>45780</v>
      </c>
      <c r="F58" s="8" t="n">
        <v>45794</v>
      </c>
      <c r="G58" s="7" t="n">
        <v>460266</v>
      </c>
      <c r="H58" s="7" t="n">
        <v>488846</v>
      </c>
      <c r="I58" s="7" t="n">
        <v>71182</v>
      </c>
      <c r="J58" s="7" t="inlineStr">
        <is>
          <t>Complete</t>
        </is>
      </c>
    </row>
    <row r="59" ht="15" customHeight="1" s="5">
      <c r="A59" s="7" t="inlineStr">
        <is>
          <t>PRJ008</t>
        </is>
      </c>
      <c r="B59" s="7" t="inlineStr">
        <is>
          <t>Business Case / Seed Funding</t>
        </is>
      </c>
      <c r="C59" s="8" t="n">
        <v>45794</v>
      </c>
      <c r="D59" s="8" t="n">
        <v>45808</v>
      </c>
      <c r="E59" s="8" t="n">
        <v>45794</v>
      </c>
      <c r="F59" s="8" t="n">
        <v>45808</v>
      </c>
      <c r="G59" s="7" t="n">
        <v>460266</v>
      </c>
      <c r="H59" s="7" t="n">
        <v>515060</v>
      </c>
      <c r="I59" s="7" t="n">
        <v>360055</v>
      </c>
      <c r="J59" s="7" t="inlineStr">
        <is>
          <t>Complete</t>
        </is>
      </c>
    </row>
    <row r="60" ht="15" customHeight="1" s="5">
      <c r="A60" s="7" t="inlineStr">
        <is>
          <t>PRJ008</t>
        </is>
      </c>
      <c r="B60" s="7" t="inlineStr">
        <is>
          <t>Design</t>
        </is>
      </c>
      <c r="C60" s="8" t="n">
        <v>45808</v>
      </c>
      <c r="D60" s="8" t="n">
        <v>45822</v>
      </c>
      <c r="E60" s="8" t="n">
        <v>45808</v>
      </c>
      <c r="F60" s="8" t="n">
        <v>45822</v>
      </c>
      <c r="G60" s="7" t="n">
        <v>460266</v>
      </c>
      <c r="H60" s="7" t="n">
        <v>441920</v>
      </c>
      <c r="I60" s="7" t="n">
        <v>432099</v>
      </c>
      <c r="J60" s="7" t="inlineStr">
        <is>
          <t>Complete</t>
        </is>
      </c>
    </row>
    <row r="61" ht="15" customHeight="1" s="5">
      <c r="A61" s="7" t="inlineStr">
        <is>
          <t>PRJ008</t>
        </is>
      </c>
      <c r="B61" s="7" t="inlineStr">
        <is>
          <t>Business Case / Full Funding</t>
        </is>
      </c>
      <c r="C61" s="8" t="n">
        <v>45822</v>
      </c>
      <c r="D61" s="8" t="n">
        <v>45836</v>
      </c>
      <c r="E61" s="8" t="n">
        <v>45822</v>
      </c>
      <c r="F61" s="8" t="n">
        <v>45836</v>
      </c>
      <c r="G61" s="7" t="n">
        <v>460266</v>
      </c>
      <c r="H61" s="7" t="n">
        <v>435760</v>
      </c>
      <c r="I61" s="7" t="n">
        <v>13815</v>
      </c>
      <c r="J61" s="7" t="inlineStr">
        <is>
          <t>Complete</t>
        </is>
      </c>
    </row>
    <row r="62" ht="15" customHeight="1" s="5">
      <c r="A62" s="7" t="inlineStr">
        <is>
          <t>PRJ008</t>
        </is>
      </c>
      <c r="B62" s="7" t="inlineStr">
        <is>
          <t>Build</t>
        </is>
      </c>
      <c r="C62" s="8" t="n">
        <v>45836</v>
      </c>
      <c r="D62" s="8" t="n">
        <v>45850</v>
      </c>
      <c r="E62" s="8" t="n">
        <v>45836</v>
      </c>
      <c r="F62" s="8" t="n">
        <v>45850</v>
      </c>
      <c r="G62" s="7" t="n">
        <v>460266</v>
      </c>
      <c r="H62" s="7" t="n">
        <v>490400</v>
      </c>
      <c r="I62" s="7" t="n">
        <v>218752</v>
      </c>
      <c r="J62" s="7" t="inlineStr">
        <is>
          <t>Complete</t>
        </is>
      </c>
    </row>
    <row r="63" ht="15" customHeight="1" s="5">
      <c r="A63" s="7" t="inlineStr">
        <is>
          <t>PRJ008</t>
        </is>
      </c>
      <c r="B63" s="7" t="inlineStr">
        <is>
          <t>Testing</t>
        </is>
      </c>
      <c r="C63" s="8" t="n">
        <v>45850</v>
      </c>
      <c r="D63" s="8" t="n">
        <v>45864</v>
      </c>
      <c r="E63" s="8" t="n">
        <v>45850</v>
      </c>
      <c r="F63" s="8" t="n">
        <v>45864</v>
      </c>
      <c r="G63" s="7" t="n">
        <v>460266</v>
      </c>
      <c r="H63" s="7" t="n">
        <v>444798</v>
      </c>
      <c r="I63" s="7" t="n">
        <v>447965</v>
      </c>
      <c r="J63" s="7" t="inlineStr">
        <is>
          <t>Complete</t>
        </is>
      </c>
    </row>
    <row r="64" ht="15" customHeight="1" s="5">
      <c r="A64" s="7" t="inlineStr">
        <is>
          <t>PRJ008</t>
        </is>
      </c>
      <c r="B64" s="7" t="inlineStr">
        <is>
          <t>Deployment</t>
        </is>
      </c>
      <c r="C64" s="8" t="n">
        <v>45864</v>
      </c>
      <c r="D64" s="8" t="n">
        <v>45878</v>
      </c>
      <c r="E64" s="8" t="n">
        <v>45864</v>
      </c>
      <c r="F64" s="8" t="n">
        <v>45878</v>
      </c>
      <c r="G64" s="7" t="n">
        <v>460266</v>
      </c>
      <c r="H64" s="7" t="n">
        <v>423912</v>
      </c>
      <c r="I64" s="7" t="n">
        <v>208522</v>
      </c>
      <c r="J64" s="7" t="inlineStr">
        <is>
          <t>Complete</t>
        </is>
      </c>
    </row>
    <row r="65" ht="15" customHeight="1" s="5">
      <c r="A65" s="7" t="inlineStr">
        <is>
          <t>PRJ008</t>
        </is>
      </c>
      <c r="B65" s="7" t="inlineStr">
        <is>
          <t>Handover</t>
        </is>
      </c>
      <c r="C65" s="8" t="n">
        <v>45878</v>
      </c>
      <c r="D65" s="8" t="n">
        <v>45892</v>
      </c>
      <c r="E65" s="8" t="n">
        <v>45878</v>
      </c>
      <c r="F65" s="8" t="n">
        <v>45892</v>
      </c>
      <c r="G65" s="7" t="n">
        <v>460266</v>
      </c>
      <c r="H65" s="7" t="n">
        <v>431570</v>
      </c>
      <c r="I65" s="7" t="n">
        <v>242698</v>
      </c>
      <c r="J65" s="7" t="inlineStr">
        <is>
          <t>Complete</t>
        </is>
      </c>
    </row>
    <row r="66" ht="15" customHeight="1" s="5">
      <c r="A66" s="7" t="inlineStr">
        <is>
          <t>PRJ009</t>
        </is>
      </c>
      <c r="B66" s="7" t="inlineStr">
        <is>
          <t>Discovery</t>
        </is>
      </c>
      <c r="C66" s="8" t="n">
        <v>46023</v>
      </c>
      <c r="D66" s="8" t="n">
        <v>46054</v>
      </c>
      <c r="E66" s="8" t="n">
        <v>46023</v>
      </c>
      <c r="F66" s="8" t="n">
        <v>46054</v>
      </c>
      <c r="G66" s="7" t="n">
        <v>141715</v>
      </c>
      <c r="H66" s="7" t="n">
        <v>145539</v>
      </c>
      <c r="I66" s="7" t="n">
        <v>7910</v>
      </c>
      <c r="J66" s="7" t="inlineStr">
        <is>
          <t>Complete</t>
        </is>
      </c>
    </row>
    <row r="67" ht="15" customHeight="1" s="5">
      <c r="A67" s="7" t="inlineStr">
        <is>
          <t>PRJ009</t>
        </is>
      </c>
      <c r="B67" s="7" t="inlineStr">
        <is>
          <t>Business Case / Seed Funding</t>
        </is>
      </c>
      <c r="C67" s="8" t="n">
        <v>46054</v>
      </c>
      <c r="D67" s="8" t="n">
        <v>46085</v>
      </c>
      <c r="E67" s="8" t="n">
        <v>46054</v>
      </c>
      <c r="F67" s="8" t="n">
        <v>46085</v>
      </c>
      <c r="G67" s="7" t="n">
        <v>141715</v>
      </c>
      <c r="H67" s="7" t="n">
        <v>137201</v>
      </c>
      <c r="I67" s="7" t="n">
        <v>14555</v>
      </c>
      <c r="J67" s="7" t="inlineStr">
        <is>
          <t>Complete</t>
        </is>
      </c>
    </row>
    <row r="68" ht="15" customHeight="1" s="5">
      <c r="A68" s="7" t="inlineStr">
        <is>
          <t>PRJ009</t>
        </is>
      </c>
      <c r="B68" s="7" t="inlineStr">
        <is>
          <t>Design</t>
        </is>
      </c>
      <c r="C68" s="8" t="n">
        <v>46085</v>
      </c>
      <c r="D68" s="8" t="n">
        <v>46116</v>
      </c>
      <c r="E68" s="8" t="n">
        <v>46085</v>
      </c>
      <c r="F68" s="8" t="n">
        <v>46116</v>
      </c>
      <c r="G68" s="7" t="n">
        <v>141715</v>
      </c>
      <c r="H68" s="7" t="n">
        <v>150523</v>
      </c>
      <c r="I68" s="7" t="n">
        <v>108922</v>
      </c>
      <c r="J68" s="7" t="inlineStr">
        <is>
          <t>Complete</t>
        </is>
      </c>
    </row>
    <row r="69" ht="15" customHeight="1" s="5">
      <c r="A69" s="7" t="inlineStr">
        <is>
          <t>PRJ009</t>
        </is>
      </c>
      <c r="B69" s="7" t="inlineStr">
        <is>
          <t>Business Case / Full Funding</t>
        </is>
      </c>
      <c r="C69" s="8" t="n">
        <v>46116</v>
      </c>
      <c r="D69" s="8" t="n">
        <v>46147</v>
      </c>
      <c r="E69" s="8" t="n">
        <v>46116</v>
      </c>
      <c r="F69" s="8" t="n">
        <v>46147</v>
      </c>
      <c r="G69" s="7" t="n">
        <v>141715</v>
      </c>
      <c r="H69" s="7" t="n">
        <v>142515</v>
      </c>
      <c r="I69" s="7" t="n">
        <v>43748</v>
      </c>
      <c r="J69" s="7" t="inlineStr">
        <is>
          <t>Complete</t>
        </is>
      </c>
    </row>
    <row r="70" ht="15" customHeight="1" s="5">
      <c r="A70" s="7" t="inlineStr">
        <is>
          <t>PRJ009</t>
        </is>
      </c>
      <c r="B70" s="7" t="inlineStr">
        <is>
          <t>Build</t>
        </is>
      </c>
      <c r="C70" s="8" t="n">
        <v>46147</v>
      </c>
      <c r="D70" s="8" t="n">
        <v>46178</v>
      </c>
      <c r="E70" s="8" t="n">
        <v>46147</v>
      </c>
      <c r="F70" s="8" t="n">
        <v>46178</v>
      </c>
      <c r="G70" s="7" t="n">
        <v>141715</v>
      </c>
      <c r="H70" s="7" t="n">
        <v>141811</v>
      </c>
      <c r="I70" s="7" t="n">
        <v>88395</v>
      </c>
      <c r="J70" s="7" t="inlineStr">
        <is>
          <t>Complete</t>
        </is>
      </c>
    </row>
    <row r="71" ht="15" customHeight="1" s="5">
      <c r="A71" s="7" t="inlineStr">
        <is>
          <t>PRJ009</t>
        </is>
      </c>
      <c r="B71" s="7" t="inlineStr">
        <is>
          <t>Testing</t>
        </is>
      </c>
      <c r="C71" s="8" t="n">
        <v>46178</v>
      </c>
      <c r="D71" s="8" t="n">
        <v>46209</v>
      </c>
      <c r="E71" s="8" t="n">
        <v>46178</v>
      </c>
      <c r="F71" s="8" t="n">
        <v>46209</v>
      </c>
      <c r="G71" s="7" t="n">
        <v>141715</v>
      </c>
      <c r="H71" s="7" t="n">
        <v>146305</v>
      </c>
      <c r="I71" s="7" t="n">
        <v>73451</v>
      </c>
      <c r="J71" s="7" t="inlineStr">
        <is>
          <t>Complete</t>
        </is>
      </c>
    </row>
    <row r="72" ht="15" customHeight="1" s="5">
      <c r="A72" s="7" t="inlineStr">
        <is>
          <t>PRJ009</t>
        </is>
      </c>
      <c r="B72" s="7" t="inlineStr">
        <is>
          <t>Deployment</t>
        </is>
      </c>
      <c r="C72" s="8" t="n">
        <v>46209</v>
      </c>
      <c r="D72" s="8" t="n">
        <v>46240</v>
      </c>
      <c r="E72" s="8" t="n">
        <v>46209</v>
      </c>
      <c r="G72" s="7" t="n">
        <v>141715</v>
      </c>
      <c r="H72" s="7" t="n">
        <v>142904</v>
      </c>
      <c r="I72" s="7" t="n">
        <v>101357</v>
      </c>
      <c r="J72" s="7" t="inlineStr">
        <is>
          <t>In Progress</t>
        </is>
      </c>
    </row>
    <row r="73" ht="15" customHeight="1" s="5">
      <c r="A73" s="7" t="inlineStr">
        <is>
          <t>PRJ009</t>
        </is>
      </c>
      <c r="B73" s="7" t="inlineStr">
        <is>
          <t>Handover</t>
        </is>
      </c>
      <c r="C73" s="8" t="n">
        <v>46240</v>
      </c>
      <c r="D73" s="8" t="n">
        <v>46271</v>
      </c>
      <c r="G73" s="7" t="n">
        <v>141715</v>
      </c>
      <c r="H73" s="7" t="n">
        <v>150443</v>
      </c>
      <c r="I73" s="7" t="n">
        <v>0</v>
      </c>
      <c r="J73" s="7" t="inlineStr">
        <is>
          <t>Planned</t>
        </is>
      </c>
    </row>
    <row r="74" ht="15" customHeight="1" s="5">
      <c r="A74" s="7" t="inlineStr">
        <is>
          <t>PRJ010</t>
        </is>
      </c>
      <c r="B74" s="7" t="inlineStr">
        <is>
          <t>Discovery</t>
        </is>
      </c>
      <c r="C74" s="8" t="n">
        <v>45694</v>
      </c>
      <c r="D74" s="8" t="n">
        <v>45738</v>
      </c>
      <c r="E74" s="8" t="n">
        <v>45694</v>
      </c>
      <c r="F74" s="8" t="n">
        <v>45738</v>
      </c>
      <c r="G74" s="7" t="n">
        <v>299364</v>
      </c>
      <c r="H74" s="7" t="n">
        <v>341199</v>
      </c>
      <c r="I74" s="7" t="n">
        <v>69021</v>
      </c>
      <c r="J74" s="7" t="inlineStr">
        <is>
          <t>Complete</t>
        </is>
      </c>
    </row>
    <row r="75" ht="15" customHeight="1" s="5">
      <c r="A75" s="7" t="inlineStr">
        <is>
          <t>PRJ010</t>
        </is>
      </c>
      <c r="B75" s="7" t="inlineStr">
        <is>
          <t>Business Case / Seed Funding</t>
        </is>
      </c>
      <c r="C75" s="8" t="n">
        <v>45738</v>
      </c>
      <c r="D75" s="8" t="n">
        <v>45782</v>
      </c>
      <c r="E75" s="8" t="n">
        <v>45738</v>
      </c>
      <c r="F75" s="8" t="n">
        <v>45782</v>
      </c>
      <c r="G75" s="7" t="n">
        <v>299364</v>
      </c>
      <c r="H75" s="7" t="n">
        <v>273405</v>
      </c>
      <c r="I75" s="7" t="n">
        <v>11218</v>
      </c>
      <c r="J75" s="7" t="inlineStr">
        <is>
          <t>Complete</t>
        </is>
      </c>
    </row>
    <row r="76" ht="15" customHeight="1" s="5">
      <c r="A76" s="7" t="inlineStr">
        <is>
          <t>PRJ010</t>
        </is>
      </c>
      <c r="B76" s="7" t="inlineStr">
        <is>
          <t>Design</t>
        </is>
      </c>
      <c r="C76" s="8" t="n">
        <v>45782</v>
      </c>
      <c r="D76" s="8" t="n">
        <v>45826</v>
      </c>
      <c r="E76" s="8" t="n">
        <v>45782</v>
      </c>
      <c r="F76" s="8" t="n">
        <v>45826</v>
      </c>
      <c r="G76" s="7" t="n">
        <v>299364</v>
      </c>
      <c r="H76" s="7" t="n">
        <v>289349</v>
      </c>
      <c r="I76" s="7" t="n">
        <v>20698</v>
      </c>
      <c r="J76" s="7" t="inlineStr">
        <is>
          <t>Complete</t>
        </is>
      </c>
    </row>
    <row r="77" ht="15" customHeight="1" s="5">
      <c r="A77" s="7" t="inlineStr">
        <is>
          <t>PRJ010</t>
        </is>
      </c>
      <c r="B77" s="7" t="inlineStr">
        <is>
          <t>Business Case / Full Funding</t>
        </is>
      </c>
      <c r="C77" s="8" t="n">
        <v>45826</v>
      </c>
      <c r="D77" s="8" t="n">
        <v>45870</v>
      </c>
      <c r="E77" s="8" t="n">
        <v>45826</v>
      </c>
      <c r="F77" s="8" t="n">
        <v>45870</v>
      </c>
      <c r="G77" s="7" t="n">
        <v>299364</v>
      </c>
      <c r="H77" s="7" t="n">
        <v>276989</v>
      </c>
      <c r="I77" s="7" t="n">
        <v>71185</v>
      </c>
      <c r="J77" s="7" t="inlineStr">
        <is>
          <t>Complete</t>
        </is>
      </c>
    </row>
    <row r="78" ht="15" customHeight="1" s="5">
      <c r="A78" s="7" t="inlineStr">
        <is>
          <t>PRJ010</t>
        </is>
      </c>
      <c r="B78" s="7" t="inlineStr">
        <is>
          <t>Build</t>
        </is>
      </c>
      <c r="C78" s="8" t="n">
        <v>45870</v>
      </c>
      <c r="D78" s="8" t="n">
        <v>45914</v>
      </c>
      <c r="E78" s="8" t="n">
        <v>45870</v>
      </c>
      <c r="F78" s="8" t="n">
        <v>45914</v>
      </c>
      <c r="G78" s="7" t="n">
        <v>299364</v>
      </c>
      <c r="H78" s="7" t="n">
        <v>315846</v>
      </c>
      <c r="I78" s="7" t="n">
        <v>225007</v>
      </c>
      <c r="J78" s="7" t="inlineStr">
        <is>
          <t>Complete</t>
        </is>
      </c>
    </row>
    <row r="79" ht="15" customHeight="1" s="5">
      <c r="A79" s="7" t="inlineStr">
        <is>
          <t>PRJ010</t>
        </is>
      </c>
      <c r="B79" s="7" t="inlineStr">
        <is>
          <t>Testing</t>
        </is>
      </c>
      <c r="C79" s="8" t="n">
        <v>45914</v>
      </c>
      <c r="D79" s="8" t="n">
        <v>45958</v>
      </c>
      <c r="E79" s="8" t="n">
        <v>45914</v>
      </c>
      <c r="F79" s="8" t="n">
        <v>45958</v>
      </c>
      <c r="G79" s="7" t="n">
        <v>299364</v>
      </c>
      <c r="H79" s="7" t="n">
        <v>298759</v>
      </c>
      <c r="I79" s="7" t="n">
        <v>31843</v>
      </c>
      <c r="J79" s="7" t="inlineStr">
        <is>
          <t>Complete</t>
        </is>
      </c>
    </row>
    <row r="80" ht="15" customHeight="1" s="5">
      <c r="A80" s="7" t="inlineStr">
        <is>
          <t>PRJ010</t>
        </is>
      </c>
      <c r="B80" s="7" t="inlineStr">
        <is>
          <t>Deployment</t>
        </is>
      </c>
      <c r="C80" s="8" t="n">
        <v>45958</v>
      </c>
      <c r="D80" s="8" t="n">
        <v>46002</v>
      </c>
      <c r="E80" s="8" t="n">
        <v>45958</v>
      </c>
      <c r="F80" s="8" t="n">
        <v>46002</v>
      </c>
      <c r="G80" s="7" t="n">
        <v>299364</v>
      </c>
      <c r="H80" s="7" t="n">
        <v>324356</v>
      </c>
      <c r="I80" s="7" t="n">
        <v>276464</v>
      </c>
      <c r="J80" s="7" t="inlineStr">
        <is>
          <t>Complete</t>
        </is>
      </c>
    </row>
    <row r="81" ht="15" customHeight="1" s="5">
      <c r="A81" s="7" t="inlineStr">
        <is>
          <t>PRJ010</t>
        </is>
      </c>
      <c r="B81" s="7" t="inlineStr">
        <is>
          <t>Handover</t>
        </is>
      </c>
      <c r="C81" s="8" t="n">
        <v>46002</v>
      </c>
      <c r="D81" s="8" t="n">
        <v>46046</v>
      </c>
      <c r="E81" s="8" t="n">
        <v>46002</v>
      </c>
      <c r="F81" s="8" t="n">
        <v>46046</v>
      </c>
      <c r="G81" s="7" t="n">
        <v>299364</v>
      </c>
      <c r="H81" s="7" t="n">
        <v>289505</v>
      </c>
      <c r="I81" s="7" t="n">
        <v>64660</v>
      </c>
      <c r="J81" s="7" t="inlineStr">
        <is>
          <t>Complete</t>
        </is>
      </c>
    </row>
    <row r="82" ht="15" customHeight="1" s="5">
      <c r="A82" s="7" t="inlineStr">
        <is>
          <t>PRJ011</t>
        </is>
      </c>
      <c r="B82" s="7" t="inlineStr">
        <is>
          <t>Discovery</t>
        </is>
      </c>
      <c r="C82" s="8" t="n">
        <v>45988</v>
      </c>
      <c r="D82" s="8" t="n">
        <v>46005</v>
      </c>
      <c r="E82" s="8" t="n">
        <v>45988</v>
      </c>
      <c r="F82" s="8" t="n">
        <v>46005</v>
      </c>
      <c r="G82" s="7" t="n">
        <v>58484</v>
      </c>
      <c r="H82" s="7" t="n">
        <v>64124</v>
      </c>
      <c r="I82" s="7" t="n">
        <v>21347</v>
      </c>
      <c r="J82" s="7" t="inlineStr">
        <is>
          <t>Complete</t>
        </is>
      </c>
    </row>
    <row r="83" ht="15" customHeight="1" s="5">
      <c r="A83" s="7" t="inlineStr">
        <is>
          <t>PRJ011</t>
        </is>
      </c>
      <c r="B83" s="7" t="inlineStr">
        <is>
          <t>Business Case / Seed Funding</t>
        </is>
      </c>
      <c r="C83" s="8" t="n">
        <v>46005</v>
      </c>
      <c r="D83" s="8" t="n">
        <v>46022</v>
      </c>
      <c r="E83" s="8" t="n">
        <v>46005</v>
      </c>
      <c r="F83" s="8" t="n">
        <v>46022</v>
      </c>
      <c r="G83" s="7" t="n">
        <v>58484</v>
      </c>
      <c r="H83" s="7" t="n">
        <v>56846</v>
      </c>
      <c r="I83" s="7" t="n">
        <v>36618</v>
      </c>
      <c r="J83" s="7" t="inlineStr">
        <is>
          <t>Complete</t>
        </is>
      </c>
    </row>
    <row r="84" ht="15" customHeight="1" s="5">
      <c r="A84" s="7" t="inlineStr">
        <is>
          <t>PRJ011</t>
        </is>
      </c>
      <c r="B84" s="7" t="inlineStr">
        <is>
          <t>Design</t>
        </is>
      </c>
      <c r="C84" s="8" t="n">
        <v>46022</v>
      </c>
      <c r="D84" s="8" t="n">
        <v>46039</v>
      </c>
      <c r="E84" s="8" t="n">
        <v>46022</v>
      </c>
      <c r="F84" s="8" t="n">
        <v>46039</v>
      </c>
      <c r="G84" s="7" t="n">
        <v>58484</v>
      </c>
      <c r="H84" s="7" t="n">
        <v>63366</v>
      </c>
      <c r="I84" s="7" t="n">
        <v>5787</v>
      </c>
      <c r="J84" s="7" t="inlineStr">
        <is>
          <t>Complete</t>
        </is>
      </c>
    </row>
    <row r="85" ht="15" customHeight="1" s="5">
      <c r="A85" s="7" t="inlineStr">
        <is>
          <t>PRJ011</t>
        </is>
      </c>
      <c r="B85" s="7" t="inlineStr">
        <is>
          <t>Business Case / Full Funding</t>
        </is>
      </c>
      <c r="C85" s="8" t="n">
        <v>46039</v>
      </c>
      <c r="D85" s="8" t="n">
        <v>46056</v>
      </c>
      <c r="E85" s="8" t="n">
        <v>46039</v>
      </c>
      <c r="F85" s="8" t="n">
        <v>46056</v>
      </c>
      <c r="G85" s="7" t="n">
        <v>58484</v>
      </c>
      <c r="H85" s="7" t="n">
        <v>59993</v>
      </c>
      <c r="I85" s="7" t="n">
        <v>43015</v>
      </c>
      <c r="J85" s="7" t="inlineStr">
        <is>
          <t>Complete</t>
        </is>
      </c>
    </row>
    <row r="86" ht="15" customHeight="1" s="5">
      <c r="A86" s="7" t="inlineStr">
        <is>
          <t>PRJ011</t>
        </is>
      </c>
      <c r="B86" s="7" t="inlineStr">
        <is>
          <t>Build</t>
        </is>
      </c>
      <c r="C86" s="8" t="n">
        <v>46056</v>
      </c>
      <c r="D86" s="8" t="n">
        <v>46073</v>
      </c>
      <c r="E86" s="8" t="n">
        <v>46056</v>
      </c>
      <c r="F86" s="8" t="n">
        <v>46073</v>
      </c>
      <c r="G86" s="7" t="n">
        <v>58484</v>
      </c>
      <c r="H86" s="7" t="n">
        <v>59606</v>
      </c>
      <c r="I86" s="7" t="n">
        <v>18749</v>
      </c>
      <c r="J86" s="7" t="inlineStr">
        <is>
          <t>Complete</t>
        </is>
      </c>
    </row>
    <row r="87" ht="15" customHeight="1" s="5">
      <c r="A87" s="7" t="inlineStr">
        <is>
          <t>PRJ011</t>
        </is>
      </c>
      <c r="B87" s="7" t="inlineStr">
        <is>
          <t>Testing</t>
        </is>
      </c>
      <c r="C87" s="8" t="n">
        <v>46073</v>
      </c>
      <c r="D87" s="8" t="n">
        <v>46090</v>
      </c>
      <c r="E87" s="8" t="n">
        <v>46073</v>
      </c>
      <c r="F87" s="8" t="n">
        <v>46090</v>
      </c>
      <c r="G87" s="7" t="n">
        <v>58484</v>
      </c>
      <c r="H87" s="7" t="n">
        <v>65892</v>
      </c>
      <c r="I87" s="7" t="n">
        <v>14653</v>
      </c>
      <c r="J87" s="7" t="inlineStr">
        <is>
          <t>Complete</t>
        </is>
      </c>
    </row>
    <row r="88" ht="15" customHeight="1" s="5">
      <c r="A88" s="7" t="inlineStr">
        <is>
          <t>PRJ011</t>
        </is>
      </c>
      <c r="B88" s="7" t="inlineStr">
        <is>
          <t>Deployment</t>
        </is>
      </c>
      <c r="C88" s="8" t="n">
        <v>46090</v>
      </c>
      <c r="D88" s="8" t="n">
        <v>46107</v>
      </c>
      <c r="E88" s="8" t="n">
        <v>46090</v>
      </c>
      <c r="F88" s="8" t="n">
        <v>46107</v>
      </c>
      <c r="G88" s="7" t="n">
        <v>58484</v>
      </c>
      <c r="H88" s="7" t="n">
        <v>57243</v>
      </c>
      <c r="I88" s="7" t="n">
        <v>4265</v>
      </c>
      <c r="J88" s="7" t="inlineStr">
        <is>
          <t>Complete</t>
        </is>
      </c>
    </row>
    <row r="89" ht="15" customHeight="1" s="5">
      <c r="A89" s="7" t="inlineStr">
        <is>
          <t>PRJ011</t>
        </is>
      </c>
      <c r="B89" s="7" t="inlineStr">
        <is>
          <t>Handover</t>
        </is>
      </c>
      <c r="C89" s="8" t="n">
        <v>46107</v>
      </c>
      <c r="D89" s="8" t="n">
        <v>46124</v>
      </c>
      <c r="E89" s="8" t="n">
        <v>46107</v>
      </c>
      <c r="F89" s="8" t="n">
        <v>46124</v>
      </c>
      <c r="G89" s="7" t="n">
        <v>58484</v>
      </c>
      <c r="H89" s="7" t="n">
        <v>55375</v>
      </c>
      <c r="I89" s="7" t="n">
        <v>55259</v>
      </c>
      <c r="J89" s="7" t="inlineStr">
        <is>
          <t>Complete</t>
        </is>
      </c>
    </row>
    <row r="90" ht="15" customHeight="1" s="5">
      <c r="A90" s="7" t="inlineStr">
        <is>
          <t>PRJ012</t>
        </is>
      </c>
      <c r="B90" s="7" t="inlineStr">
        <is>
          <t>Discovery</t>
        </is>
      </c>
      <c r="C90" s="8" t="n">
        <v>45934</v>
      </c>
      <c r="D90" s="8" t="n">
        <v>45998</v>
      </c>
      <c r="E90" s="8" t="n">
        <v>45934</v>
      </c>
      <c r="F90" s="8" t="n">
        <v>45998</v>
      </c>
      <c r="G90" s="7" t="n">
        <v>238031</v>
      </c>
      <c r="H90" s="7" t="n">
        <v>222668</v>
      </c>
      <c r="I90" s="7" t="n">
        <v>3183</v>
      </c>
      <c r="J90" s="7" t="inlineStr">
        <is>
          <t>Complete</t>
        </is>
      </c>
    </row>
    <row r="91" ht="15" customHeight="1" s="5">
      <c r="A91" s="7" t="inlineStr">
        <is>
          <t>PRJ012</t>
        </is>
      </c>
      <c r="B91" s="7" t="inlineStr">
        <is>
          <t>Business Case / Seed Funding</t>
        </is>
      </c>
      <c r="C91" s="8" t="n">
        <v>45998</v>
      </c>
      <c r="D91" s="8" t="n">
        <v>46062</v>
      </c>
      <c r="E91" s="8" t="n">
        <v>45998</v>
      </c>
      <c r="F91" s="8" t="n">
        <v>46062</v>
      </c>
      <c r="G91" s="7" t="n">
        <v>238031</v>
      </c>
      <c r="H91" s="7" t="n">
        <v>242470</v>
      </c>
      <c r="I91" s="7" t="n">
        <v>83491</v>
      </c>
      <c r="J91" s="7" t="inlineStr">
        <is>
          <t>Complete</t>
        </is>
      </c>
    </row>
    <row r="92" ht="15" customHeight="1" s="5">
      <c r="A92" s="7" t="inlineStr">
        <is>
          <t>PRJ012</t>
        </is>
      </c>
      <c r="B92" s="7" t="inlineStr">
        <is>
          <t>Design</t>
        </is>
      </c>
      <c r="C92" s="8" t="n">
        <v>46062</v>
      </c>
      <c r="D92" s="8" t="n">
        <v>46126</v>
      </c>
      <c r="E92" s="8" t="n">
        <v>46062</v>
      </c>
      <c r="F92" s="8" t="n">
        <v>46126</v>
      </c>
      <c r="G92" s="7" t="n">
        <v>238031</v>
      </c>
      <c r="H92" s="7" t="n">
        <v>224792</v>
      </c>
      <c r="I92" s="7" t="n">
        <v>65940</v>
      </c>
      <c r="J92" s="7" t="inlineStr">
        <is>
          <t>Complete</t>
        </is>
      </c>
    </row>
    <row r="93" ht="15" customHeight="1" s="5">
      <c r="A93" s="7" t="inlineStr">
        <is>
          <t>PRJ012</t>
        </is>
      </c>
      <c r="B93" s="7" t="inlineStr">
        <is>
          <t>Business Case / Full Funding</t>
        </is>
      </c>
      <c r="C93" s="8" t="n">
        <v>46126</v>
      </c>
      <c r="D93" s="8" t="n">
        <v>46190</v>
      </c>
      <c r="E93" s="8" t="n">
        <v>46126</v>
      </c>
      <c r="F93" s="8" t="n">
        <v>46190</v>
      </c>
      <c r="G93" s="7" t="n">
        <v>238031</v>
      </c>
      <c r="H93" s="7" t="n">
        <v>218809</v>
      </c>
      <c r="I93" s="7" t="n">
        <v>169755</v>
      </c>
      <c r="J93" s="7" t="inlineStr">
        <is>
          <t>Complete</t>
        </is>
      </c>
    </row>
    <row r="94" ht="15" customHeight="1" s="5">
      <c r="A94" s="7" t="inlineStr">
        <is>
          <t>PRJ012</t>
        </is>
      </c>
      <c r="B94" s="7" t="inlineStr">
        <is>
          <t>Build</t>
        </is>
      </c>
      <c r="C94" s="8" t="n">
        <v>46190</v>
      </c>
      <c r="D94" s="8" t="n">
        <v>46254</v>
      </c>
      <c r="E94" s="8" t="n">
        <v>46190</v>
      </c>
      <c r="G94" s="7" t="n">
        <v>238031</v>
      </c>
      <c r="H94" s="7" t="n">
        <v>264993</v>
      </c>
      <c r="I94" s="7" t="n">
        <v>148461</v>
      </c>
      <c r="J94" s="7" t="inlineStr">
        <is>
          <t>In Progress</t>
        </is>
      </c>
    </row>
    <row r="95" ht="15" customHeight="1" s="5">
      <c r="A95" s="7" t="inlineStr">
        <is>
          <t>PRJ012</t>
        </is>
      </c>
      <c r="B95" s="7" t="inlineStr">
        <is>
          <t>Testing</t>
        </is>
      </c>
      <c r="C95" s="8" t="n">
        <v>46254</v>
      </c>
      <c r="D95" s="8" t="n">
        <v>46318</v>
      </c>
      <c r="G95" s="7" t="n">
        <v>238031</v>
      </c>
      <c r="H95" s="7" t="n">
        <v>271923</v>
      </c>
      <c r="I95" s="7" t="n">
        <v>0</v>
      </c>
      <c r="J95" s="7" t="inlineStr">
        <is>
          <t>Planned</t>
        </is>
      </c>
    </row>
    <row r="96" ht="15" customHeight="1" s="5">
      <c r="A96" s="7" t="inlineStr">
        <is>
          <t>PRJ012</t>
        </is>
      </c>
      <c r="B96" s="7" t="inlineStr">
        <is>
          <t>Deployment</t>
        </is>
      </c>
      <c r="C96" s="8" t="n">
        <v>46318</v>
      </c>
      <c r="D96" s="8" t="n">
        <v>46382</v>
      </c>
      <c r="G96" s="7" t="n">
        <v>238031</v>
      </c>
      <c r="H96" s="7" t="n">
        <v>248931</v>
      </c>
      <c r="I96" s="7" t="n">
        <v>0</v>
      </c>
      <c r="J96" s="7" t="inlineStr">
        <is>
          <t>Planned</t>
        </is>
      </c>
    </row>
    <row r="97" ht="15" customHeight="1" s="5">
      <c r="A97" s="7" t="inlineStr">
        <is>
          <t>PRJ012</t>
        </is>
      </c>
      <c r="B97" s="7" t="inlineStr">
        <is>
          <t>Handover</t>
        </is>
      </c>
      <c r="C97" s="8" t="n">
        <v>46382</v>
      </c>
      <c r="D97" s="8" t="n">
        <v>46446</v>
      </c>
      <c r="G97" s="7" t="n">
        <v>238031</v>
      </c>
      <c r="H97" s="7" t="n">
        <v>243286</v>
      </c>
      <c r="I97" s="7" t="n">
        <v>0</v>
      </c>
      <c r="J97" s="7" t="inlineStr">
        <is>
          <t>Planned</t>
        </is>
      </c>
    </row>
    <row r="98" ht="15" customHeight="1" s="5">
      <c r="A98" s="7" t="inlineStr">
        <is>
          <t>PRJ013</t>
        </is>
      </c>
      <c r="B98" s="7" t="inlineStr">
        <is>
          <t>Discovery</t>
        </is>
      </c>
      <c r="C98" s="8" t="n">
        <v>45996</v>
      </c>
      <c r="D98" s="8" t="n">
        <v>46053</v>
      </c>
      <c r="E98" s="8" t="n">
        <v>45996</v>
      </c>
      <c r="F98" s="8" t="n">
        <v>46053</v>
      </c>
      <c r="G98" s="7" t="n">
        <v>492838</v>
      </c>
      <c r="H98" s="7" t="n">
        <v>474050</v>
      </c>
      <c r="I98" s="7" t="n">
        <v>56605</v>
      </c>
      <c r="J98" s="7" t="inlineStr">
        <is>
          <t>Complete</t>
        </is>
      </c>
    </row>
    <row r="99" ht="15" customHeight="1" s="5">
      <c r="A99" s="7" t="inlineStr">
        <is>
          <t>PRJ013</t>
        </is>
      </c>
      <c r="B99" s="7" t="inlineStr">
        <is>
          <t>Business Case / Seed Funding</t>
        </is>
      </c>
      <c r="C99" s="8" t="n">
        <v>46053</v>
      </c>
      <c r="D99" s="8" t="n">
        <v>46110</v>
      </c>
      <c r="E99" s="8" t="n">
        <v>46053</v>
      </c>
      <c r="F99" s="8" t="n">
        <v>46110</v>
      </c>
      <c r="G99" s="7" t="n">
        <v>492838</v>
      </c>
      <c r="H99" s="7" t="n">
        <v>544454</v>
      </c>
      <c r="I99" s="7" t="n">
        <v>293549</v>
      </c>
      <c r="J99" s="7" t="inlineStr">
        <is>
          <t>Complete</t>
        </is>
      </c>
    </row>
    <row r="100" ht="15" customHeight="1" s="5">
      <c r="A100" s="7" t="inlineStr">
        <is>
          <t>PRJ013</t>
        </is>
      </c>
      <c r="B100" s="7" t="inlineStr">
        <is>
          <t>Design</t>
        </is>
      </c>
      <c r="C100" s="8" t="n">
        <v>46110</v>
      </c>
      <c r="D100" s="8" t="n">
        <v>46167</v>
      </c>
      <c r="E100" s="8" t="n">
        <v>46110</v>
      </c>
      <c r="F100" s="8" t="n">
        <v>46167</v>
      </c>
      <c r="G100" s="7" t="n">
        <v>492838</v>
      </c>
      <c r="H100" s="7" t="n">
        <v>565583</v>
      </c>
      <c r="I100" s="7" t="n">
        <v>432282</v>
      </c>
      <c r="J100" s="7" t="inlineStr">
        <is>
          <t>Complete</t>
        </is>
      </c>
    </row>
    <row r="101" ht="15" customHeight="1" s="5">
      <c r="A101" s="7" t="inlineStr">
        <is>
          <t>PRJ013</t>
        </is>
      </c>
      <c r="B101" s="7" t="inlineStr">
        <is>
          <t>Business Case / Full Funding</t>
        </is>
      </c>
      <c r="C101" s="8" t="n">
        <v>46167</v>
      </c>
      <c r="D101" s="8" t="n">
        <v>46224</v>
      </c>
      <c r="E101" s="8" t="n">
        <v>46167</v>
      </c>
      <c r="G101" s="7" t="n">
        <v>492838</v>
      </c>
      <c r="H101" s="7" t="n">
        <v>508272</v>
      </c>
      <c r="I101" s="7" t="n">
        <v>86577</v>
      </c>
      <c r="J101" s="7" t="inlineStr">
        <is>
          <t>In Progress</t>
        </is>
      </c>
    </row>
    <row r="102" ht="15" customHeight="1" s="5">
      <c r="A102" s="7" t="inlineStr">
        <is>
          <t>PRJ013</t>
        </is>
      </c>
      <c r="B102" s="7" t="inlineStr">
        <is>
          <t>Build</t>
        </is>
      </c>
      <c r="C102" s="8" t="n">
        <v>46224</v>
      </c>
      <c r="D102" s="8" t="n">
        <v>46281</v>
      </c>
      <c r="G102" s="7" t="n">
        <v>492838</v>
      </c>
      <c r="H102" s="7" t="n">
        <v>461615</v>
      </c>
      <c r="I102" s="7" t="n">
        <v>0</v>
      </c>
      <c r="J102" s="7" t="inlineStr">
        <is>
          <t>Planned</t>
        </is>
      </c>
    </row>
    <row r="103" ht="15" customHeight="1" s="5">
      <c r="A103" s="7" t="inlineStr">
        <is>
          <t>PRJ013</t>
        </is>
      </c>
      <c r="B103" s="7" t="inlineStr">
        <is>
          <t>Testing</t>
        </is>
      </c>
      <c r="C103" s="8" t="n">
        <v>46281</v>
      </c>
      <c r="D103" s="8" t="n">
        <v>46338</v>
      </c>
      <c r="G103" s="7" t="n">
        <v>492838</v>
      </c>
      <c r="H103" s="7" t="n">
        <v>455125</v>
      </c>
      <c r="I103" s="7" t="n">
        <v>0</v>
      </c>
      <c r="J103" s="7" t="inlineStr">
        <is>
          <t>Planned</t>
        </is>
      </c>
    </row>
    <row r="104" ht="15" customHeight="1" s="5">
      <c r="A104" s="7" t="inlineStr">
        <is>
          <t>PRJ013</t>
        </is>
      </c>
      <c r="B104" s="7" t="inlineStr">
        <is>
          <t>Deployment</t>
        </is>
      </c>
      <c r="C104" s="8" t="n">
        <v>46338</v>
      </c>
      <c r="D104" s="8" t="n">
        <v>46395</v>
      </c>
      <c r="G104" s="7" t="n">
        <v>492838</v>
      </c>
      <c r="H104" s="7" t="n">
        <v>481084</v>
      </c>
      <c r="I104" s="7" t="n">
        <v>0</v>
      </c>
      <c r="J104" s="7" t="inlineStr">
        <is>
          <t>Planned</t>
        </is>
      </c>
    </row>
    <row r="105" ht="15" customHeight="1" s="5">
      <c r="A105" s="7" t="inlineStr">
        <is>
          <t>PRJ013</t>
        </is>
      </c>
      <c r="B105" s="7" t="inlineStr">
        <is>
          <t>Handover</t>
        </is>
      </c>
      <c r="C105" s="8" t="n">
        <v>46395</v>
      </c>
      <c r="D105" s="8" t="n">
        <v>46452</v>
      </c>
      <c r="G105" s="7" t="n">
        <v>492838</v>
      </c>
      <c r="H105" s="7" t="n">
        <v>534259</v>
      </c>
      <c r="I105" s="7" t="n">
        <v>0</v>
      </c>
      <c r="J105" s="7" t="inlineStr">
        <is>
          <t>Planned</t>
        </is>
      </c>
    </row>
    <row r="106" ht="15" customHeight="1" s="5">
      <c r="A106" s="7" t="inlineStr">
        <is>
          <t>PRJ014</t>
        </is>
      </c>
      <c r="B106" s="7" t="inlineStr">
        <is>
          <t>Discovery</t>
        </is>
      </c>
      <c r="C106" s="8" t="n">
        <v>45693</v>
      </c>
      <c r="D106" s="8" t="n">
        <v>45742</v>
      </c>
      <c r="E106" s="8" t="n">
        <v>45693</v>
      </c>
      <c r="F106" s="8" t="n">
        <v>45742</v>
      </c>
      <c r="G106" s="7" t="n">
        <v>297287</v>
      </c>
      <c r="H106" s="7" t="n">
        <v>301197</v>
      </c>
      <c r="I106" s="7" t="n">
        <v>229373</v>
      </c>
      <c r="J106" s="7" t="inlineStr">
        <is>
          <t>Complete</t>
        </is>
      </c>
    </row>
    <row r="107" ht="15" customHeight="1" s="5">
      <c r="A107" s="7" t="inlineStr">
        <is>
          <t>PRJ014</t>
        </is>
      </c>
      <c r="B107" s="7" t="inlineStr">
        <is>
          <t>Business Case / Seed Funding</t>
        </is>
      </c>
      <c r="C107" s="8" t="n">
        <v>45742</v>
      </c>
      <c r="D107" s="8" t="n">
        <v>45791</v>
      </c>
      <c r="E107" s="8" t="n">
        <v>45742</v>
      </c>
      <c r="F107" s="8" t="n">
        <v>45791</v>
      </c>
      <c r="G107" s="7" t="n">
        <v>297287</v>
      </c>
      <c r="H107" s="7" t="n">
        <v>341121</v>
      </c>
      <c r="I107" s="7" t="n">
        <v>80329</v>
      </c>
      <c r="J107" s="7" t="inlineStr">
        <is>
          <t>Complete</t>
        </is>
      </c>
    </row>
    <row r="108" ht="15" customHeight="1" s="5">
      <c r="A108" s="7" t="inlineStr">
        <is>
          <t>PRJ014</t>
        </is>
      </c>
      <c r="B108" s="7" t="inlineStr">
        <is>
          <t>Design</t>
        </is>
      </c>
      <c r="C108" s="8" t="n">
        <v>45791</v>
      </c>
      <c r="D108" s="8" t="n">
        <v>45840</v>
      </c>
      <c r="E108" s="8" t="n">
        <v>45791</v>
      </c>
      <c r="F108" s="8" t="n">
        <v>45840</v>
      </c>
      <c r="G108" s="7" t="n">
        <v>297287</v>
      </c>
      <c r="H108" s="7" t="n">
        <v>303715</v>
      </c>
      <c r="I108" s="7" t="n">
        <v>113713</v>
      </c>
      <c r="J108" s="7" t="inlineStr">
        <is>
          <t>Complete</t>
        </is>
      </c>
    </row>
    <row r="109" ht="15" customHeight="1" s="5">
      <c r="A109" s="7" t="inlineStr">
        <is>
          <t>PRJ014</t>
        </is>
      </c>
      <c r="B109" s="7" t="inlineStr">
        <is>
          <t>Business Case / Full Funding</t>
        </is>
      </c>
      <c r="C109" s="8" t="n">
        <v>45840</v>
      </c>
      <c r="D109" s="8" t="n">
        <v>45889</v>
      </c>
      <c r="E109" s="8" t="n">
        <v>45840</v>
      </c>
      <c r="F109" s="8" t="n">
        <v>45889</v>
      </c>
      <c r="G109" s="7" t="n">
        <v>297287</v>
      </c>
      <c r="H109" s="7" t="n">
        <v>268566</v>
      </c>
      <c r="I109" s="7" t="n">
        <v>110073</v>
      </c>
      <c r="J109" s="7" t="inlineStr">
        <is>
          <t>Complete</t>
        </is>
      </c>
    </row>
    <row r="110" ht="15" customHeight="1" s="5">
      <c r="A110" s="7" t="inlineStr">
        <is>
          <t>PRJ014</t>
        </is>
      </c>
      <c r="B110" s="7" t="inlineStr">
        <is>
          <t>Build</t>
        </is>
      </c>
      <c r="C110" s="8" t="n">
        <v>45889</v>
      </c>
      <c r="D110" s="8" t="n">
        <v>45938</v>
      </c>
      <c r="E110" s="8" t="n">
        <v>45889</v>
      </c>
      <c r="F110" s="8" t="n">
        <v>45938</v>
      </c>
      <c r="G110" s="7" t="n">
        <v>297287</v>
      </c>
      <c r="H110" s="7" t="n">
        <v>320338</v>
      </c>
      <c r="I110" s="7" t="n">
        <v>278243</v>
      </c>
      <c r="J110" s="7" t="inlineStr">
        <is>
          <t>Complete</t>
        </is>
      </c>
    </row>
    <row r="111" ht="15" customHeight="1" s="5">
      <c r="A111" s="7" t="inlineStr">
        <is>
          <t>PRJ014</t>
        </is>
      </c>
      <c r="B111" s="7" t="inlineStr">
        <is>
          <t>Testing</t>
        </is>
      </c>
      <c r="C111" s="8" t="n">
        <v>45938</v>
      </c>
      <c r="D111" s="8" t="n">
        <v>45987</v>
      </c>
      <c r="E111" s="8" t="n">
        <v>45938</v>
      </c>
      <c r="F111" s="8" t="n">
        <v>45987</v>
      </c>
      <c r="G111" s="7" t="n">
        <v>297287</v>
      </c>
      <c r="H111" s="7" t="n">
        <v>325122</v>
      </c>
      <c r="I111" s="7" t="n">
        <v>267500</v>
      </c>
      <c r="J111" s="7" t="inlineStr">
        <is>
          <t>Complete</t>
        </is>
      </c>
    </row>
    <row r="112" ht="15" customHeight="1" s="5">
      <c r="A112" s="7" t="inlineStr">
        <is>
          <t>PRJ014</t>
        </is>
      </c>
      <c r="B112" s="7" t="inlineStr">
        <is>
          <t>Deployment</t>
        </is>
      </c>
      <c r="C112" s="8" t="n">
        <v>45987</v>
      </c>
      <c r="D112" s="8" t="n">
        <v>46036</v>
      </c>
      <c r="E112" s="8" t="n">
        <v>45987</v>
      </c>
      <c r="F112" s="8" t="n">
        <v>46036</v>
      </c>
      <c r="G112" s="7" t="n">
        <v>297287</v>
      </c>
      <c r="H112" s="7" t="n">
        <v>334608</v>
      </c>
      <c r="I112" s="7" t="n">
        <v>185962</v>
      </c>
      <c r="J112" s="7" t="inlineStr">
        <is>
          <t>Complete</t>
        </is>
      </c>
    </row>
    <row r="113" ht="15" customHeight="1" s="5">
      <c r="A113" s="7" t="inlineStr">
        <is>
          <t>PRJ014</t>
        </is>
      </c>
      <c r="B113" s="7" t="inlineStr">
        <is>
          <t>Handover</t>
        </is>
      </c>
      <c r="C113" s="8" t="n">
        <v>46036</v>
      </c>
      <c r="D113" s="8" t="n">
        <v>46085</v>
      </c>
      <c r="E113" s="8" t="n">
        <v>46036</v>
      </c>
      <c r="F113" s="8" t="n">
        <v>46085</v>
      </c>
      <c r="G113" s="7" t="n">
        <v>297287</v>
      </c>
      <c r="H113" s="7" t="n">
        <v>275939</v>
      </c>
      <c r="I113" s="7" t="n">
        <v>214068</v>
      </c>
      <c r="J113" s="7" t="inlineStr">
        <is>
          <t>Complete</t>
        </is>
      </c>
    </row>
    <row r="114" ht="15" customHeight="1" s="5">
      <c r="A114" s="7" t="inlineStr">
        <is>
          <t>PRJ015</t>
        </is>
      </c>
      <c r="B114" s="7" t="inlineStr">
        <is>
          <t>Discovery</t>
        </is>
      </c>
      <c r="C114" s="8" t="n">
        <v>45811</v>
      </c>
      <c r="D114" s="8" t="n">
        <v>45851</v>
      </c>
      <c r="E114" s="8" t="n">
        <v>45811</v>
      </c>
      <c r="F114" s="8" t="n">
        <v>45851</v>
      </c>
      <c r="G114" s="7" t="n">
        <v>166730</v>
      </c>
      <c r="H114" s="7" t="n">
        <v>180411</v>
      </c>
      <c r="I114" s="7" t="n">
        <v>3629</v>
      </c>
      <c r="J114" s="7" t="inlineStr">
        <is>
          <t>Complete</t>
        </is>
      </c>
    </row>
    <row r="115" ht="15" customHeight="1" s="5">
      <c r="A115" s="7" t="inlineStr">
        <is>
          <t>PRJ015</t>
        </is>
      </c>
      <c r="B115" s="7" t="inlineStr">
        <is>
          <t>Business Case / Seed Funding</t>
        </is>
      </c>
      <c r="C115" s="8" t="n">
        <v>45851</v>
      </c>
      <c r="D115" s="8" t="n">
        <v>45891</v>
      </c>
      <c r="E115" s="8" t="n">
        <v>45851</v>
      </c>
      <c r="F115" s="8" t="n">
        <v>45891</v>
      </c>
      <c r="G115" s="7" t="n">
        <v>166730</v>
      </c>
      <c r="H115" s="7" t="n">
        <v>190849</v>
      </c>
      <c r="I115" s="7" t="n">
        <v>149904</v>
      </c>
      <c r="J115" s="7" t="inlineStr">
        <is>
          <t>Complete</t>
        </is>
      </c>
    </row>
    <row r="116" ht="15" customHeight="1" s="5">
      <c r="A116" s="7" t="inlineStr">
        <is>
          <t>PRJ015</t>
        </is>
      </c>
      <c r="B116" s="7" t="inlineStr">
        <is>
          <t>Design</t>
        </is>
      </c>
      <c r="C116" s="8" t="n">
        <v>45891</v>
      </c>
      <c r="D116" s="8" t="n">
        <v>45931</v>
      </c>
      <c r="E116" s="8" t="n">
        <v>45891</v>
      </c>
      <c r="F116" s="8" t="n">
        <v>45931</v>
      </c>
      <c r="G116" s="7" t="n">
        <v>166730</v>
      </c>
      <c r="H116" s="7" t="n">
        <v>177541</v>
      </c>
      <c r="I116" s="7" t="n">
        <v>24795</v>
      </c>
      <c r="J116" s="7" t="inlineStr">
        <is>
          <t>Complete</t>
        </is>
      </c>
    </row>
    <row r="117" ht="15" customHeight="1" s="5">
      <c r="A117" s="7" t="inlineStr">
        <is>
          <t>PRJ015</t>
        </is>
      </c>
      <c r="B117" s="7" t="inlineStr">
        <is>
          <t>Business Case / Full Funding</t>
        </is>
      </c>
      <c r="C117" s="8" t="n">
        <v>45931</v>
      </c>
      <c r="D117" s="8" t="n">
        <v>45971</v>
      </c>
      <c r="E117" s="8" t="n">
        <v>45931</v>
      </c>
      <c r="F117" s="8" t="n">
        <v>45971</v>
      </c>
      <c r="G117" s="7" t="n">
        <v>166730</v>
      </c>
      <c r="H117" s="7" t="n">
        <v>170808</v>
      </c>
      <c r="I117" s="7" t="n">
        <v>42781</v>
      </c>
      <c r="J117" s="7" t="inlineStr">
        <is>
          <t>Complete</t>
        </is>
      </c>
    </row>
    <row r="118" ht="15" customHeight="1" s="5">
      <c r="A118" s="7" t="inlineStr">
        <is>
          <t>PRJ015</t>
        </is>
      </c>
      <c r="B118" s="7" t="inlineStr">
        <is>
          <t>Build</t>
        </is>
      </c>
      <c r="C118" s="8" t="n">
        <v>45971</v>
      </c>
      <c r="D118" s="8" t="n">
        <v>46011</v>
      </c>
      <c r="E118" s="8" t="n">
        <v>45971</v>
      </c>
      <c r="F118" s="8" t="n">
        <v>46011</v>
      </c>
      <c r="G118" s="7" t="n">
        <v>166730</v>
      </c>
      <c r="H118" s="7" t="n">
        <v>180945</v>
      </c>
      <c r="I118" s="7" t="n">
        <v>170391</v>
      </c>
      <c r="J118" s="7" t="inlineStr">
        <is>
          <t>Complete</t>
        </is>
      </c>
    </row>
    <row r="119" ht="15" customHeight="1" s="5">
      <c r="A119" s="7" t="inlineStr">
        <is>
          <t>PRJ015</t>
        </is>
      </c>
      <c r="B119" s="7" t="inlineStr">
        <is>
          <t>Testing</t>
        </is>
      </c>
      <c r="C119" s="8" t="n">
        <v>46011</v>
      </c>
      <c r="D119" s="8" t="n">
        <v>46051</v>
      </c>
      <c r="E119" s="8" t="n">
        <v>46011</v>
      </c>
      <c r="F119" s="8" t="n">
        <v>46051</v>
      </c>
      <c r="G119" s="7" t="n">
        <v>166730</v>
      </c>
      <c r="H119" s="7" t="n">
        <v>165039</v>
      </c>
      <c r="I119" s="7" t="n">
        <v>130314</v>
      </c>
      <c r="J119" s="7" t="inlineStr">
        <is>
          <t>Complete</t>
        </is>
      </c>
    </row>
    <row r="120" ht="15" customHeight="1" s="5">
      <c r="A120" s="7" t="inlineStr">
        <is>
          <t>PRJ015</t>
        </is>
      </c>
      <c r="B120" s="7" t="inlineStr">
        <is>
          <t>Deployment</t>
        </is>
      </c>
      <c r="C120" s="8" t="n">
        <v>46051</v>
      </c>
      <c r="D120" s="8" t="n">
        <v>46091</v>
      </c>
      <c r="E120" s="8" t="n">
        <v>46051</v>
      </c>
      <c r="F120" s="8" t="n">
        <v>46091</v>
      </c>
      <c r="G120" s="7" t="n">
        <v>166730</v>
      </c>
      <c r="H120" s="7" t="n">
        <v>158137</v>
      </c>
      <c r="I120" s="7" t="n">
        <v>167156</v>
      </c>
      <c r="J120" s="7" t="inlineStr">
        <is>
          <t>Complete</t>
        </is>
      </c>
    </row>
    <row r="121" ht="15" customHeight="1" s="5">
      <c r="A121" s="7" t="inlineStr">
        <is>
          <t>PRJ015</t>
        </is>
      </c>
      <c r="B121" s="7" t="inlineStr">
        <is>
          <t>Handover</t>
        </is>
      </c>
      <c r="C121" s="8" t="n">
        <v>46091</v>
      </c>
      <c r="D121" s="8" t="n">
        <v>46131</v>
      </c>
      <c r="E121" s="8" t="n">
        <v>46091</v>
      </c>
      <c r="F121" s="8" t="n">
        <v>46131</v>
      </c>
      <c r="G121" s="7" t="n">
        <v>166730</v>
      </c>
      <c r="H121" s="7" t="n">
        <v>176681</v>
      </c>
      <c r="I121" s="7" t="n">
        <v>169019</v>
      </c>
      <c r="J121" s="7" t="inlineStr">
        <is>
          <t>Complete</t>
        </is>
      </c>
    </row>
    <row r="122" ht="15" customHeight="1" s="5">
      <c r="A122" s="7" t="inlineStr">
        <is>
          <t>PRJ016</t>
        </is>
      </c>
      <c r="B122" s="7" t="inlineStr">
        <is>
          <t>Discovery</t>
        </is>
      </c>
      <c r="C122" s="8" t="n">
        <v>45992</v>
      </c>
      <c r="D122" s="8" t="n">
        <v>46037</v>
      </c>
      <c r="E122" s="8" t="n">
        <v>45992</v>
      </c>
      <c r="F122" s="8" t="n">
        <v>46037</v>
      </c>
      <c r="G122" s="7" t="n">
        <v>441921</v>
      </c>
      <c r="H122" s="7" t="n">
        <v>494636</v>
      </c>
      <c r="I122" s="7" t="n">
        <v>314976</v>
      </c>
      <c r="J122" s="7" t="inlineStr">
        <is>
          <t>Complete</t>
        </is>
      </c>
    </row>
    <row r="123" ht="15" customHeight="1" s="5">
      <c r="A123" s="7" t="inlineStr">
        <is>
          <t>PRJ016</t>
        </is>
      </c>
      <c r="B123" s="7" t="inlineStr">
        <is>
          <t>Business Case / Seed Funding</t>
        </is>
      </c>
      <c r="C123" s="8" t="n">
        <v>46037</v>
      </c>
      <c r="D123" s="8" t="n">
        <v>46082</v>
      </c>
      <c r="E123" s="8" t="n">
        <v>46037</v>
      </c>
      <c r="F123" s="8" t="n">
        <v>46082</v>
      </c>
      <c r="G123" s="7" t="n">
        <v>441921</v>
      </c>
      <c r="H123" s="7" t="n">
        <v>497075</v>
      </c>
      <c r="I123" s="7" t="n">
        <v>208469</v>
      </c>
      <c r="J123" s="7" t="inlineStr">
        <is>
          <t>Complete</t>
        </is>
      </c>
    </row>
    <row r="124" ht="15" customHeight="1" s="5">
      <c r="A124" s="7" t="inlineStr">
        <is>
          <t>PRJ016</t>
        </is>
      </c>
      <c r="B124" s="7" t="inlineStr">
        <is>
          <t>Design</t>
        </is>
      </c>
      <c r="C124" s="8" t="n">
        <v>46082</v>
      </c>
      <c r="D124" s="8" t="n">
        <v>46127</v>
      </c>
      <c r="E124" s="8" t="n">
        <v>46082</v>
      </c>
      <c r="F124" s="8" t="n">
        <v>46127</v>
      </c>
      <c r="G124" s="7" t="n">
        <v>441921</v>
      </c>
      <c r="H124" s="7" t="n">
        <v>503603</v>
      </c>
      <c r="I124" s="7" t="n">
        <v>244494</v>
      </c>
      <c r="J124" s="7" t="inlineStr">
        <is>
          <t>Complete</t>
        </is>
      </c>
    </row>
    <row r="125" ht="15" customHeight="1" s="5">
      <c r="A125" s="7" t="inlineStr">
        <is>
          <t>PRJ016</t>
        </is>
      </c>
      <c r="B125" s="7" t="inlineStr">
        <is>
          <t>Business Case / Full Funding</t>
        </is>
      </c>
      <c r="C125" s="8" t="n">
        <v>46127</v>
      </c>
      <c r="D125" s="8" t="n">
        <v>46172</v>
      </c>
      <c r="E125" s="8" t="n">
        <v>46127</v>
      </c>
      <c r="F125" s="8" t="n">
        <v>46172</v>
      </c>
      <c r="G125" s="7" t="n">
        <v>441921</v>
      </c>
      <c r="H125" s="7" t="n">
        <v>427041</v>
      </c>
      <c r="I125" s="7" t="n">
        <v>315099</v>
      </c>
      <c r="J125" s="7" t="inlineStr">
        <is>
          <t>Complete</t>
        </is>
      </c>
    </row>
    <row r="126" ht="15" customHeight="1" s="5">
      <c r="A126" s="7" t="inlineStr">
        <is>
          <t>PRJ016</t>
        </is>
      </c>
      <c r="B126" s="7" t="inlineStr">
        <is>
          <t>Build</t>
        </is>
      </c>
      <c r="C126" s="8" t="n">
        <v>46172</v>
      </c>
      <c r="D126" s="8" t="n">
        <v>46217</v>
      </c>
      <c r="E126" s="8" t="n">
        <v>46172</v>
      </c>
      <c r="F126" s="8" t="n">
        <v>46217</v>
      </c>
      <c r="G126" s="7" t="n">
        <v>441921</v>
      </c>
      <c r="H126" s="7" t="n">
        <v>495835</v>
      </c>
      <c r="I126" s="7" t="n">
        <v>181443</v>
      </c>
      <c r="J126" s="7" t="inlineStr">
        <is>
          <t>Complete</t>
        </is>
      </c>
    </row>
    <row r="127" ht="15" customHeight="1" s="5">
      <c r="A127" s="7" t="inlineStr">
        <is>
          <t>PRJ016</t>
        </is>
      </c>
      <c r="B127" s="7" t="inlineStr">
        <is>
          <t>Testing</t>
        </is>
      </c>
      <c r="C127" s="8" t="n">
        <v>46217</v>
      </c>
      <c r="D127" s="8" t="n">
        <v>46262</v>
      </c>
      <c r="E127" s="8" t="n">
        <v>46217</v>
      </c>
      <c r="G127" s="7" t="n">
        <v>441921</v>
      </c>
      <c r="H127" s="7" t="n">
        <v>443832</v>
      </c>
      <c r="I127" s="7" t="n">
        <v>461207</v>
      </c>
      <c r="J127" s="7" t="inlineStr">
        <is>
          <t>In Progress</t>
        </is>
      </c>
    </row>
    <row r="128" ht="15" customHeight="1" s="5">
      <c r="A128" s="7" t="inlineStr">
        <is>
          <t>PRJ016</t>
        </is>
      </c>
      <c r="B128" s="7" t="inlineStr">
        <is>
          <t>Deployment</t>
        </is>
      </c>
      <c r="C128" s="8" t="n">
        <v>46262</v>
      </c>
      <c r="D128" s="8" t="n">
        <v>46307</v>
      </c>
      <c r="G128" s="7" t="n">
        <v>441921</v>
      </c>
      <c r="H128" s="7" t="n">
        <v>431903</v>
      </c>
      <c r="I128" s="7" t="n">
        <v>0</v>
      </c>
      <c r="J128" s="7" t="inlineStr">
        <is>
          <t>Planned</t>
        </is>
      </c>
    </row>
    <row r="129" ht="15" customHeight="1" s="5">
      <c r="A129" s="7" t="inlineStr">
        <is>
          <t>PRJ016</t>
        </is>
      </c>
      <c r="B129" s="7" t="inlineStr">
        <is>
          <t>Handover</t>
        </is>
      </c>
      <c r="C129" s="8" t="n">
        <v>46307</v>
      </c>
      <c r="D129" s="8" t="n">
        <v>46352</v>
      </c>
      <c r="G129" s="7" t="n">
        <v>441921</v>
      </c>
      <c r="H129" s="7" t="n">
        <v>402270</v>
      </c>
      <c r="I129" s="7" t="n">
        <v>0</v>
      </c>
      <c r="J129" s="7" t="inlineStr">
        <is>
          <t>Planned</t>
        </is>
      </c>
    </row>
    <row r="130" ht="15" customHeight="1" s="5">
      <c r="A130" s="7" t="inlineStr">
        <is>
          <t>PRJ017</t>
        </is>
      </c>
      <c r="B130" s="7" t="inlineStr">
        <is>
          <t>Discovery</t>
        </is>
      </c>
      <c r="C130" s="8" t="n">
        <v>45705</v>
      </c>
      <c r="D130" s="8" t="n">
        <v>45756</v>
      </c>
      <c r="E130" s="8" t="n">
        <v>45705</v>
      </c>
      <c r="F130" s="8" t="n">
        <v>45756</v>
      </c>
      <c r="G130" s="7" t="n">
        <v>362336</v>
      </c>
      <c r="H130" s="7" t="n">
        <v>373213</v>
      </c>
      <c r="I130" s="7" t="n">
        <v>130600</v>
      </c>
      <c r="J130" s="7" t="inlineStr">
        <is>
          <t>Complete</t>
        </is>
      </c>
    </row>
    <row r="131" ht="15" customHeight="1" s="5">
      <c r="A131" s="7" t="inlineStr">
        <is>
          <t>PRJ017</t>
        </is>
      </c>
      <c r="B131" s="7" t="inlineStr">
        <is>
          <t>Business Case / Seed Funding</t>
        </is>
      </c>
      <c r="C131" s="8" t="n">
        <v>45756</v>
      </c>
      <c r="D131" s="8" t="n">
        <v>45807</v>
      </c>
      <c r="E131" s="8" t="n">
        <v>45756</v>
      </c>
      <c r="F131" s="8" t="n">
        <v>45807</v>
      </c>
      <c r="G131" s="7" t="n">
        <v>362336</v>
      </c>
      <c r="H131" s="7" t="n">
        <v>381573</v>
      </c>
      <c r="I131" s="7" t="n">
        <v>164911</v>
      </c>
      <c r="J131" s="7" t="inlineStr">
        <is>
          <t>Complete</t>
        </is>
      </c>
    </row>
    <row r="132" ht="15" customHeight="1" s="5">
      <c r="A132" s="7" t="inlineStr">
        <is>
          <t>PRJ017</t>
        </is>
      </c>
      <c r="B132" s="7" t="inlineStr">
        <is>
          <t>Design</t>
        </is>
      </c>
      <c r="C132" s="8" t="n">
        <v>45807</v>
      </c>
      <c r="D132" s="8" t="n">
        <v>45858</v>
      </c>
      <c r="E132" s="8" t="n">
        <v>45807</v>
      </c>
      <c r="F132" s="8" t="n">
        <v>45858</v>
      </c>
      <c r="G132" s="7" t="n">
        <v>362336</v>
      </c>
      <c r="H132" s="7" t="n">
        <v>367321</v>
      </c>
      <c r="I132" s="7" t="n">
        <v>368337</v>
      </c>
      <c r="J132" s="7" t="inlineStr">
        <is>
          <t>Complete</t>
        </is>
      </c>
    </row>
    <row r="133" ht="15" customHeight="1" s="5">
      <c r="A133" s="7" t="inlineStr">
        <is>
          <t>PRJ017</t>
        </is>
      </c>
      <c r="B133" s="7" t="inlineStr">
        <is>
          <t>Business Case / Full Funding</t>
        </is>
      </c>
      <c r="C133" s="8" t="n">
        <v>45858</v>
      </c>
      <c r="D133" s="8" t="n">
        <v>45909</v>
      </c>
      <c r="E133" s="8" t="n">
        <v>45858</v>
      </c>
      <c r="F133" s="8" t="n">
        <v>45909</v>
      </c>
      <c r="G133" s="7" t="n">
        <v>362336</v>
      </c>
      <c r="H133" s="7" t="n">
        <v>397876</v>
      </c>
      <c r="I133" s="7" t="n">
        <v>109726</v>
      </c>
      <c r="J133" s="7" t="inlineStr">
        <is>
          <t>Complete</t>
        </is>
      </c>
    </row>
    <row r="134" ht="15" customHeight="1" s="5">
      <c r="A134" s="7" t="inlineStr">
        <is>
          <t>PRJ017</t>
        </is>
      </c>
      <c r="B134" s="7" t="inlineStr">
        <is>
          <t>Build</t>
        </is>
      </c>
      <c r="C134" s="8" t="n">
        <v>45909</v>
      </c>
      <c r="D134" s="8" t="n">
        <v>45960</v>
      </c>
      <c r="E134" s="8" t="n">
        <v>45909</v>
      </c>
      <c r="F134" s="8" t="n">
        <v>45960</v>
      </c>
      <c r="G134" s="7" t="n">
        <v>362336</v>
      </c>
      <c r="H134" s="7" t="n">
        <v>413921</v>
      </c>
      <c r="I134" s="7" t="n">
        <v>189818</v>
      </c>
      <c r="J134" s="7" t="inlineStr">
        <is>
          <t>Complete</t>
        </is>
      </c>
    </row>
    <row r="135" ht="15" customHeight="1" s="5">
      <c r="A135" s="7" t="inlineStr">
        <is>
          <t>PRJ017</t>
        </is>
      </c>
      <c r="B135" s="7" t="inlineStr">
        <is>
          <t>Testing</t>
        </is>
      </c>
      <c r="C135" s="8" t="n">
        <v>45960</v>
      </c>
      <c r="D135" s="8" t="n">
        <v>46011</v>
      </c>
      <c r="E135" s="8" t="n">
        <v>45960</v>
      </c>
      <c r="F135" s="8" t="n">
        <v>46011</v>
      </c>
      <c r="G135" s="7" t="n">
        <v>362336</v>
      </c>
      <c r="H135" s="7" t="n">
        <v>388200</v>
      </c>
      <c r="I135" s="7" t="n">
        <v>177412</v>
      </c>
      <c r="J135" s="7" t="inlineStr">
        <is>
          <t>Complete</t>
        </is>
      </c>
    </row>
    <row r="136" ht="15" customHeight="1" s="5">
      <c r="A136" s="7" t="inlineStr">
        <is>
          <t>PRJ017</t>
        </is>
      </c>
      <c r="B136" s="7" t="inlineStr">
        <is>
          <t>Deployment</t>
        </is>
      </c>
      <c r="C136" s="8" t="n">
        <v>46011</v>
      </c>
      <c r="D136" s="8" t="n">
        <v>46062</v>
      </c>
      <c r="E136" s="8" t="n">
        <v>46011</v>
      </c>
      <c r="F136" s="8" t="n">
        <v>46062</v>
      </c>
      <c r="G136" s="7" t="n">
        <v>362336</v>
      </c>
      <c r="H136" s="7" t="n">
        <v>339711</v>
      </c>
      <c r="I136" s="7" t="n">
        <v>367773</v>
      </c>
      <c r="J136" s="7" t="inlineStr">
        <is>
          <t>Complete</t>
        </is>
      </c>
    </row>
    <row r="137" ht="15" customHeight="1" s="5">
      <c r="A137" s="7" t="inlineStr">
        <is>
          <t>PRJ017</t>
        </is>
      </c>
      <c r="B137" s="7" t="inlineStr">
        <is>
          <t>Handover</t>
        </is>
      </c>
      <c r="C137" s="8" t="n">
        <v>46062</v>
      </c>
      <c r="D137" s="8" t="n">
        <v>46113</v>
      </c>
      <c r="E137" s="8" t="n">
        <v>46062</v>
      </c>
      <c r="F137" s="8" t="n">
        <v>46113</v>
      </c>
      <c r="G137" s="7" t="n">
        <v>362336</v>
      </c>
      <c r="H137" s="7" t="n">
        <v>382608</v>
      </c>
      <c r="I137" s="7" t="n">
        <v>252743</v>
      </c>
      <c r="J137" s="7" t="inlineStr">
        <is>
          <t>Complete</t>
        </is>
      </c>
    </row>
    <row r="138" ht="15" customHeight="1" s="5">
      <c r="A138" s="7" t="inlineStr">
        <is>
          <t>PRJ018</t>
        </is>
      </c>
      <c r="B138" s="7" t="inlineStr">
        <is>
          <t>Discovery</t>
        </is>
      </c>
      <c r="C138" s="8" t="n">
        <v>45956</v>
      </c>
      <c r="D138" s="8" t="n">
        <v>46002</v>
      </c>
      <c r="E138" s="8" t="n">
        <v>45956</v>
      </c>
      <c r="F138" s="8" t="n">
        <v>46002</v>
      </c>
      <c r="G138" s="7" t="n">
        <v>220997</v>
      </c>
      <c r="H138" s="7" t="n">
        <v>215674</v>
      </c>
      <c r="I138" s="7" t="n">
        <v>66890</v>
      </c>
      <c r="J138" s="7" t="inlineStr">
        <is>
          <t>Complete</t>
        </is>
      </c>
    </row>
    <row r="139" ht="15" customHeight="1" s="5">
      <c r="A139" s="7" t="inlineStr">
        <is>
          <t>PRJ018</t>
        </is>
      </c>
      <c r="B139" s="7" t="inlineStr">
        <is>
          <t>Business Case / Seed Funding</t>
        </is>
      </c>
      <c r="C139" s="8" t="n">
        <v>46002</v>
      </c>
      <c r="D139" s="8" t="n">
        <v>46048</v>
      </c>
      <c r="E139" s="8" t="n">
        <v>46002</v>
      </c>
      <c r="F139" s="8" t="n">
        <v>46048</v>
      </c>
      <c r="G139" s="7" t="n">
        <v>220997</v>
      </c>
      <c r="H139" s="7" t="n">
        <v>243085</v>
      </c>
      <c r="I139" s="7" t="n">
        <v>3618</v>
      </c>
      <c r="J139" s="7" t="inlineStr">
        <is>
          <t>Complete</t>
        </is>
      </c>
    </row>
    <row r="140" ht="15" customHeight="1" s="5">
      <c r="A140" s="7" t="inlineStr">
        <is>
          <t>PRJ018</t>
        </is>
      </c>
      <c r="B140" s="7" t="inlineStr">
        <is>
          <t>Design</t>
        </is>
      </c>
      <c r="C140" s="8" t="n">
        <v>46048</v>
      </c>
      <c r="D140" s="8" t="n">
        <v>46094</v>
      </c>
      <c r="E140" s="8" t="n">
        <v>46048</v>
      </c>
      <c r="F140" s="8" t="n">
        <v>46094</v>
      </c>
      <c r="G140" s="7" t="n">
        <v>220997</v>
      </c>
      <c r="H140" s="7" t="n">
        <v>201160</v>
      </c>
      <c r="I140" s="7" t="n">
        <v>65673</v>
      </c>
      <c r="J140" s="7" t="inlineStr">
        <is>
          <t>Complete</t>
        </is>
      </c>
    </row>
    <row r="141" ht="15" customHeight="1" s="5">
      <c r="A141" s="7" t="inlineStr">
        <is>
          <t>PRJ018</t>
        </is>
      </c>
      <c r="B141" s="7" t="inlineStr">
        <is>
          <t>Business Case / Full Funding</t>
        </is>
      </c>
      <c r="C141" s="8" t="n">
        <v>46094</v>
      </c>
      <c r="D141" s="8" t="n">
        <v>46140</v>
      </c>
      <c r="E141" s="8" t="n">
        <v>46094</v>
      </c>
      <c r="F141" s="8" t="n">
        <v>46140</v>
      </c>
      <c r="G141" s="7" t="n">
        <v>220997</v>
      </c>
      <c r="H141" s="7" t="n">
        <v>231664</v>
      </c>
      <c r="I141" s="7" t="n">
        <v>12343</v>
      </c>
      <c r="J141" s="7" t="inlineStr">
        <is>
          <t>Complete</t>
        </is>
      </c>
    </row>
    <row r="142" ht="15" customHeight="1" s="5">
      <c r="A142" s="7" t="inlineStr">
        <is>
          <t>PRJ018</t>
        </is>
      </c>
      <c r="B142" s="7" t="inlineStr">
        <is>
          <t>Build</t>
        </is>
      </c>
      <c r="C142" s="8" t="n">
        <v>46140</v>
      </c>
      <c r="D142" s="8" t="n">
        <v>46186</v>
      </c>
      <c r="E142" s="8" t="n">
        <v>46140</v>
      </c>
      <c r="F142" s="8" t="n">
        <v>46186</v>
      </c>
      <c r="G142" s="7" t="n">
        <v>220997</v>
      </c>
      <c r="H142" s="7" t="n">
        <v>215794</v>
      </c>
      <c r="I142" s="7" t="n">
        <v>99855</v>
      </c>
      <c r="J142" s="7" t="inlineStr">
        <is>
          <t>Complete</t>
        </is>
      </c>
    </row>
    <row r="143" ht="15" customHeight="1" s="5">
      <c r="A143" s="7" t="inlineStr">
        <is>
          <t>PRJ018</t>
        </is>
      </c>
      <c r="B143" s="7" t="inlineStr">
        <is>
          <t>Testing</t>
        </is>
      </c>
      <c r="C143" s="8" t="n">
        <v>46186</v>
      </c>
      <c r="D143" s="8" t="n">
        <v>46232</v>
      </c>
      <c r="E143" s="8" t="n">
        <v>46186</v>
      </c>
      <c r="G143" s="7" t="n">
        <v>220997</v>
      </c>
      <c r="H143" s="7" t="n">
        <v>235376</v>
      </c>
      <c r="I143" s="7" t="n">
        <v>149</v>
      </c>
      <c r="J143" s="7" t="inlineStr">
        <is>
          <t>In Progress</t>
        </is>
      </c>
    </row>
    <row r="144" ht="15" customHeight="1" s="5">
      <c r="A144" s="7" t="inlineStr">
        <is>
          <t>PRJ018</t>
        </is>
      </c>
      <c r="B144" s="7" t="inlineStr">
        <is>
          <t>Deployment</t>
        </is>
      </c>
      <c r="C144" s="8" t="n">
        <v>46232</v>
      </c>
      <c r="D144" s="8" t="n">
        <v>46278</v>
      </c>
      <c r="G144" s="7" t="n">
        <v>220997</v>
      </c>
      <c r="H144" s="7" t="n">
        <v>212789</v>
      </c>
      <c r="I144" s="7" t="n">
        <v>0</v>
      </c>
      <c r="J144" s="7" t="inlineStr">
        <is>
          <t>Planned</t>
        </is>
      </c>
    </row>
    <row r="145" ht="15" customHeight="1" s="5">
      <c r="A145" s="7" t="inlineStr">
        <is>
          <t>PRJ018</t>
        </is>
      </c>
      <c r="B145" s="7" t="inlineStr">
        <is>
          <t>Handover</t>
        </is>
      </c>
      <c r="C145" s="8" t="n">
        <v>46278</v>
      </c>
      <c r="D145" s="8" t="n">
        <v>46324</v>
      </c>
      <c r="G145" s="7" t="n">
        <v>220997</v>
      </c>
      <c r="H145" s="7" t="n">
        <v>218247</v>
      </c>
      <c r="I145" s="7" t="n">
        <v>0</v>
      </c>
      <c r="J145" s="7" t="inlineStr">
        <is>
          <t>Planned</t>
        </is>
      </c>
    </row>
    <row r="146" ht="15" customHeight="1" s="5">
      <c r="A146" s="7" t="inlineStr">
        <is>
          <t>PRJ019</t>
        </is>
      </c>
      <c r="B146" s="7" t="inlineStr">
        <is>
          <t>Discovery</t>
        </is>
      </c>
      <c r="C146" s="8" t="n">
        <v>45741</v>
      </c>
      <c r="D146" s="8" t="n">
        <v>45814</v>
      </c>
      <c r="E146" s="8" t="n">
        <v>45741</v>
      </c>
      <c r="F146" s="8" t="n">
        <v>45814</v>
      </c>
      <c r="G146" s="7" t="n">
        <v>62612</v>
      </c>
      <c r="H146" s="7" t="n">
        <v>60785</v>
      </c>
      <c r="I146" s="7" t="n">
        <v>56473</v>
      </c>
      <c r="J146" s="7" t="inlineStr">
        <is>
          <t>Complete</t>
        </is>
      </c>
    </row>
    <row r="147" ht="15" customHeight="1" s="5">
      <c r="A147" s="7" t="inlineStr">
        <is>
          <t>PRJ019</t>
        </is>
      </c>
      <c r="B147" s="7" t="inlineStr">
        <is>
          <t>Business Case / Seed Funding</t>
        </is>
      </c>
      <c r="C147" s="8" t="n">
        <v>45814</v>
      </c>
      <c r="D147" s="8" t="n">
        <v>45887</v>
      </c>
      <c r="E147" s="8" t="n">
        <v>45814</v>
      </c>
      <c r="F147" s="8" t="n">
        <v>45887</v>
      </c>
      <c r="G147" s="7" t="n">
        <v>62612</v>
      </c>
      <c r="H147" s="7" t="n">
        <v>66765</v>
      </c>
      <c r="I147" s="7" t="n">
        <v>50548</v>
      </c>
      <c r="J147" s="7" t="inlineStr">
        <is>
          <t>Complete</t>
        </is>
      </c>
    </row>
    <row r="148" ht="15" customHeight="1" s="5">
      <c r="A148" s="7" t="inlineStr">
        <is>
          <t>PRJ019</t>
        </is>
      </c>
      <c r="B148" s="7" t="inlineStr">
        <is>
          <t>Design</t>
        </is>
      </c>
      <c r="C148" s="8" t="n">
        <v>45887</v>
      </c>
      <c r="D148" s="8" t="n">
        <v>45960</v>
      </c>
      <c r="E148" s="8" t="n">
        <v>45887</v>
      </c>
      <c r="F148" s="8" t="n">
        <v>45960</v>
      </c>
      <c r="G148" s="7" t="n">
        <v>62612</v>
      </c>
      <c r="H148" s="7" t="n">
        <v>58777</v>
      </c>
      <c r="I148" s="7" t="n">
        <v>5654</v>
      </c>
      <c r="J148" s="7" t="inlineStr">
        <is>
          <t>Complete</t>
        </is>
      </c>
    </row>
    <row r="149" ht="15" customHeight="1" s="5">
      <c r="A149" s="7" t="inlineStr">
        <is>
          <t>PRJ019</t>
        </is>
      </c>
      <c r="B149" s="7" t="inlineStr">
        <is>
          <t>Business Case / Full Funding</t>
        </is>
      </c>
      <c r="C149" s="8" t="n">
        <v>45960</v>
      </c>
      <c r="D149" s="8" t="n">
        <v>46033</v>
      </c>
      <c r="E149" s="8" t="n">
        <v>45960</v>
      </c>
      <c r="F149" s="8" t="n">
        <v>46033</v>
      </c>
      <c r="G149" s="7" t="n">
        <v>62612</v>
      </c>
      <c r="H149" s="7" t="n">
        <v>60587</v>
      </c>
      <c r="I149" s="7" t="n">
        <v>65474</v>
      </c>
      <c r="J149" s="7" t="inlineStr">
        <is>
          <t>Complete</t>
        </is>
      </c>
    </row>
    <row r="150" ht="15" customHeight="1" s="5">
      <c r="A150" s="7" t="inlineStr">
        <is>
          <t>PRJ019</t>
        </is>
      </c>
      <c r="B150" s="7" t="inlineStr">
        <is>
          <t>Build</t>
        </is>
      </c>
      <c r="C150" s="8" t="n">
        <v>46033</v>
      </c>
      <c r="D150" s="8" t="n">
        <v>46106</v>
      </c>
      <c r="E150" s="8" t="n">
        <v>46033</v>
      </c>
      <c r="F150" s="8" t="n">
        <v>46106</v>
      </c>
      <c r="G150" s="7" t="n">
        <v>62612</v>
      </c>
      <c r="H150" s="7" t="n">
        <v>59430</v>
      </c>
      <c r="I150" s="7" t="n">
        <v>38474</v>
      </c>
      <c r="J150" s="7" t="inlineStr">
        <is>
          <t>Complete</t>
        </is>
      </c>
    </row>
    <row r="151" ht="15" customHeight="1" s="5">
      <c r="A151" s="7" t="inlineStr">
        <is>
          <t>PRJ019</t>
        </is>
      </c>
      <c r="B151" s="7" t="inlineStr">
        <is>
          <t>Testing</t>
        </is>
      </c>
      <c r="C151" s="8" t="n">
        <v>46106</v>
      </c>
      <c r="D151" s="8" t="n">
        <v>46179</v>
      </c>
      <c r="E151" s="8" t="n">
        <v>46106</v>
      </c>
      <c r="F151" s="8" t="n">
        <v>46179</v>
      </c>
      <c r="G151" s="7" t="n">
        <v>62612</v>
      </c>
      <c r="H151" s="7" t="n">
        <v>57614</v>
      </c>
      <c r="I151" s="7" t="n">
        <v>14388</v>
      </c>
      <c r="J151" s="7" t="inlineStr">
        <is>
          <t>Complete</t>
        </is>
      </c>
    </row>
    <row r="152" ht="15" customHeight="1" s="5">
      <c r="A152" s="7" t="inlineStr">
        <is>
          <t>PRJ019</t>
        </is>
      </c>
      <c r="B152" s="7" t="inlineStr">
        <is>
          <t>Deployment</t>
        </is>
      </c>
      <c r="C152" s="8" t="n">
        <v>46179</v>
      </c>
      <c r="D152" s="8" t="n">
        <v>46252</v>
      </c>
      <c r="E152" s="8" t="n">
        <v>46179</v>
      </c>
      <c r="G152" s="7" t="n">
        <v>62612</v>
      </c>
      <c r="H152" s="7" t="n">
        <v>63757</v>
      </c>
      <c r="I152" s="7" t="n">
        <v>23314</v>
      </c>
      <c r="J152" s="7" t="inlineStr">
        <is>
          <t>In Progress</t>
        </is>
      </c>
    </row>
    <row r="153" ht="15" customHeight="1" s="5">
      <c r="A153" s="7" t="inlineStr">
        <is>
          <t>PRJ019</t>
        </is>
      </c>
      <c r="B153" s="7" t="inlineStr">
        <is>
          <t>Handover</t>
        </is>
      </c>
      <c r="C153" s="8" t="n">
        <v>46252</v>
      </c>
      <c r="D153" s="8" t="n">
        <v>46325</v>
      </c>
      <c r="G153" s="7" t="n">
        <v>62612</v>
      </c>
      <c r="H153" s="7" t="n">
        <v>69056</v>
      </c>
      <c r="I153" s="7" t="n">
        <v>0</v>
      </c>
      <c r="J153" s="7" t="inlineStr">
        <is>
          <t>Planned</t>
        </is>
      </c>
    </row>
    <row r="154" ht="15" customHeight="1" s="5">
      <c r="A154" s="7" t="inlineStr">
        <is>
          <t>PRJ020</t>
        </is>
      </c>
      <c r="B154" s="7" t="inlineStr">
        <is>
          <t>Discovery</t>
        </is>
      </c>
      <c r="C154" s="8" t="n">
        <v>45772</v>
      </c>
      <c r="D154" s="8" t="n">
        <v>45784</v>
      </c>
      <c r="E154" s="8" t="n">
        <v>45772</v>
      </c>
      <c r="F154" s="8" t="n">
        <v>45784</v>
      </c>
      <c r="G154" s="7" t="n">
        <v>437681</v>
      </c>
      <c r="H154" s="7" t="n">
        <v>463619</v>
      </c>
      <c r="I154" s="7" t="n">
        <v>194195</v>
      </c>
      <c r="J154" s="7" t="inlineStr">
        <is>
          <t>Complete</t>
        </is>
      </c>
    </row>
    <row r="155" ht="15" customHeight="1" s="5">
      <c r="A155" s="7" t="inlineStr">
        <is>
          <t>PRJ020</t>
        </is>
      </c>
      <c r="B155" s="7" t="inlineStr">
        <is>
          <t>Business Case / Seed Funding</t>
        </is>
      </c>
      <c r="C155" s="8" t="n">
        <v>45784</v>
      </c>
      <c r="D155" s="8" t="n">
        <v>45796</v>
      </c>
      <c r="E155" s="8" t="n">
        <v>45784</v>
      </c>
      <c r="F155" s="8" t="n">
        <v>45796</v>
      </c>
      <c r="G155" s="7" t="n">
        <v>437681</v>
      </c>
      <c r="H155" s="7" t="n">
        <v>499712</v>
      </c>
      <c r="I155" s="7" t="n">
        <v>45101</v>
      </c>
      <c r="J155" s="7" t="inlineStr">
        <is>
          <t>Complete</t>
        </is>
      </c>
    </row>
    <row r="156" ht="15" customHeight="1" s="5">
      <c r="A156" s="7" t="inlineStr">
        <is>
          <t>PRJ020</t>
        </is>
      </c>
      <c r="B156" s="7" t="inlineStr">
        <is>
          <t>Design</t>
        </is>
      </c>
      <c r="C156" s="8" t="n">
        <v>45796</v>
      </c>
      <c r="D156" s="8" t="n">
        <v>45808</v>
      </c>
      <c r="E156" s="8" t="n">
        <v>45796</v>
      </c>
      <c r="F156" s="8" t="n">
        <v>45808</v>
      </c>
      <c r="G156" s="7" t="n">
        <v>437681</v>
      </c>
      <c r="H156" s="7" t="n">
        <v>422500</v>
      </c>
      <c r="I156" s="7" t="n">
        <v>138799</v>
      </c>
      <c r="J156" s="7" t="inlineStr">
        <is>
          <t>Complete</t>
        </is>
      </c>
    </row>
    <row r="157" ht="15" customHeight="1" s="5">
      <c r="A157" s="7" t="inlineStr">
        <is>
          <t>PRJ020</t>
        </is>
      </c>
      <c r="B157" s="7" t="inlineStr">
        <is>
          <t>Business Case / Full Funding</t>
        </is>
      </c>
      <c r="C157" s="8" t="n">
        <v>45808</v>
      </c>
      <c r="D157" s="8" t="n">
        <v>45820</v>
      </c>
      <c r="E157" s="8" t="n">
        <v>45808</v>
      </c>
      <c r="F157" s="8" t="n">
        <v>45820</v>
      </c>
      <c r="G157" s="7" t="n">
        <v>437681</v>
      </c>
      <c r="H157" s="7" t="n">
        <v>427914</v>
      </c>
      <c r="I157" s="7" t="n">
        <v>259152</v>
      </c>
      <c r="J157" s="7" t="inlineStr">
        <is>
          <t>Complete</t>
        </is>
      </c>
    </row>
    <row r="158" ht="15" customHeight="1" s="5">
      <c r="A158" s="7" t="inlineStr">
        <is>
          <t>PRJ020</t>
        </is>
      </c>
      <c r="B158" s="7" t="inlineStr">
        <is>
          <t>Build</t>
        </is>
      </c>
      <c r="C158" s="8" t="n">
        <v>45820</v>
      </c>
      <c r="D158" s="8" t="n">
        <v>45832</v>
      </c>
      <c r="E158" s="8" t="n">
        <v>45820</v>
      </c>
      <c r="F158" s="8" t="n">
        <v>45832</v>
      </c>
      <c r="G158" s="7" t="n">
        <v>437681</v>
      </c>
      <c r="H158" s="7" t="n">
        <v>468201</v>
      </c>
      <c r="I158" s="7" t="n">
        <v>148201</v>
      </c>
      <c r="J158" s="7" t="inlineStr">
        <is>
          <t>Complete</t>
        </is>
      </c>
    </row>
    <row r="159" ht="15" customHeight="1" s="5">
      <c r="A159" s="7" t="inlineStr">
        <is>
          <t>PRJ020</t>
        </is>
      </c>
      <c r="B159" s="7" t="inlineStr">
        <is>
          <t>Testing</t>
        </is>
      </c>
      <c r="C159" s="8" t="n">
        <v>45832</v>
      </c>
      <c r="D159" s="8" t="n">
        <v>45844</v>
      </c>
      <c r="E159" s="8" t="n">
        <v>45832</v>
      </c>
      <c r="F159" s="8" t="n">
        <v>45844</v>
      </c>
      <c r="G159" s="7" t="n">
        <v>437681</v>
      </c>
      <c r="H159" s="7" t="n">
        <v>457176</v>
      </c>
      <c r="I159" s="7" t="n">
        <v>314031</v>
      </c>
      <c r="J159" s="7" t="inlineStr">
        <is>
          <t>Complete</t>
        </is>
      </c>
    </row>
    <row r="160" ht="15" customHeight="1" s="5">
      <c r="A160" s="7" t="inlineStr">
        <is>
          <t>PRJ020</t>
        </is>
      </c>
      <c r="B160" s="7" t="inlineStr">
        <is>
          <t>Deployment</t>
        </is>
      </c>
      <c r="C160" s="8" t="n">
        <v>45844</v>
      </c>
      <c r="D160" s="8" t="n">
        <v>45856</v>
      </c>
      <c r="E160" s="8" t="n">
        <v>45844</v>
      </c>
      <c r="F160" s="8" t="n">
        <v>45856</v>
      </c>
      <c r="G160" s="7" t="n">
        <v>437681</v>
      </c>
      <c r="H160" s="7" t="n">
        <v>415743</v>
      </c>
      <c r="I160" s="7" t="n">
        <v>62359</v>
      </c>
      <c r="J160" s="7" t="inlineStr">
        <is>
          <t>Complete</t>
        </is>
      </c>
    </row>
    <row r="161" ht="15" customHeight="1" s="5">
      <c r="A161" s="7" t="inlineStr">
        <is>
          <t>PRJ020</t>
        </is>
      </c>
      <c r="B161" s="7" t="inlineStr">
        <is>
          <t>Handover</t>
        </is>
      </c>
      <c r="C161" s="8" t="n">
        <v>45856</v>
      </c>
      <c r="D161" s="8" t="n">
        <v>45868</v>
      </c>
      <c r="E161" s="8" t="n">
        <v>45856</v>
      </c>
      <c r="F161" s="8" t="n">
        <v>45868</v>
      </c>
      <c r="G161" s="7" t="n">
        <v>437681</v>
      </c>
      <c r="H161" s="7" t="n">
        <v>454563</v>
      </c>
      <c r="I161" s="7" t="n">
        <v>138358</v>
      </c>
      <c r="J161" s="7" t="inlineStr">
        <is>
          <t>Complete</t>
        </is>
      </c>
    </row>
    <row r="162" ht="15" customHeight="1" s="5">
      <c r="A162" s="7" t="inlineStr">
        <is>
          <t>PRJ021</t>
        </is>
      </c>
      <c r="B162" s="7" t="inlineStr">
        <is>
          <t>Discovery</t>
        </is>
      </c>
      <c r="C162" s="8" t="n">
        <v>45677</v>
      </c>
      <c r="D162" s="8" t="n">
        <v>45695</v>
      </c>
      <c r="E162" s="8" t="n">
        <v>45677</v>
      </c>
      <c r="F162" s="8" t="n">
        <v>45695</v>
      </c>
      <c r="G162" s="7" t="n">
        <v>490810</v>
      </c>
      <c r="H162" s="7" t="n">
        <v>452233</v>
      </c>
      <c r="I162" s="7" t="n">
        <v>292031</v>
      </c>
      <c r="J162" s="7" t="inlineStr">
        <is>
          <t>Complete</t>
        </is>
      </c>
    </row>
    <row r="163" ht="15" customHeight="1" s="5">
      <c r="A163" s="7" t="inlineStr">
        <is>
          <t>PRJ021</t>
        </is>
      </c>
      <c r="B163" s="7" t="inlineStr">
        <is>
          <t>Business Case / Seed Funding</t>
        </is>
      </c>
      <c r="C163" s="8" t="n">
        <v>45695</v>
      </c>
      <c r="D163" s="8" t="n">
        <v>45713</v>
      </c>
      <c r="E163" s="8" t="n">
        <v>45695</v>
      </c>
      <c r="F163" s="8" t="n">
        <v>45713</v>
      </c>
      <c r="G163" s="7" t="n">
        <v>490810</v>
      </c>
      <c r="H163" s="7" t="n">
        <v>518826</v>
      </c>
      <c r="I163" s="7" t="n">
        <v>281294</v>
      </c>
      <c r="J163" s="7" t="inlineStr">
        <is>
          <t>Complete</t>
        </is>
      </c>
    </row>
    <row r="164" ht="15" customHeight="1" s="5">
      <c r="A164" s="7" t="inlineStr">
        <is>
          <t>PRJ021</t>
        </is>
      </c>
      <c r="B164" s="7" t="inlineStr">
        <is>
          <t>Design</t>
        </is>
      </c>
      <c r="C164" s="8" t="n">
        <v>45713</v>
      </c>
      <c r="D164" s="8" t="n">
        <v>45731</v>
      </c>
      <c r="E164" s="8" t="n">
        <v>45713</v>
      </c>
      <c r="F164" s="8" t="n">
        <v>45731</v>
      </c>
      <c r="G164" s="7" t="n">
        <v>490810</v>
      </c>
      <c r="H164" s="7" t="n">
        <v>487861</v>
      </c>
      <c r="I164" s="7" t="n">
        <v>451407</v>
      </c>
      <c r="J164" s="7" t="inlineStr">
        <is>
          <t>Complete</t>
        </is>
      </c>
    </row>
    <row r="165" ht="15" customHeight="1" s="5">
      <c r="A165" s="7" t="inlineStr">
        <is>
          <t>PRJ021</t>
        </is>
      </c>
      <c r="B165" s="7" t="inlineStr">
        <is>
          <t>Business Case / Full Funding</t>
        </is>
      </c>
      <c r="C165" s="8" t="n">
        <v>45731</v>
      </c>
      <c r="D165" s="8" t="n">
        <v>45749</v>
      </c>
      <c r="E165" s="8" t="n">
        <v>45731</v>
      </c>
      <c r="F165" s="8" t="n">
        <v>45749</v>
      </c>
      <c r="G165" s="7" t="n">
        <v>490810</v>
      </c>
      <c r="H165" s="7" t="n">
        <v>495337</v>
      </c>
      <c r="I165" s="7" t="n">
        <v>71433</v>
      </c>
      <c r="J165" s="7" t="inlineStr">
        <is>
          <t>Complete</t>
        </is>
      </c>
    </row>
    <row r="166" ht="15" customHeight="1" s="5">
      <c r="A166" s="7" t="inlineStr">
        <is>
          <t>PRJ021</t>
        </is>
      </c>
      <c r="B166" s="7" t="inlineStr">
        <is>
          <t>Build</t>
        </is>
      </c>
      <c r="C166" s="8" t="n">
        <v>45749</v>
      </c>
      <c r="D166" s="8" t="n">
        <v>45767</v>
      </c>
      <c r="E166" s="8" t="n">
        <v>45749</v>
      </c>
      <c r="F166" s="8" t="n">
        <v>45767</v>
      </c>
      <c r="G166" s="7" t="n">
        <v>490810</v>
      </c>
      <c r="H166" s="7" t="n">
        <v>495952</v>
      </c>
      <c r="I166" s="7" t="n">
        <v>161439</v>
      </c>
      <c r="J166" s="7" t="inlineStr">
        <is>
          <t>Complete</t>
        </is>
      </c>
    </row>
    <row r="167" ht="15" customHeight="1" s="5">
      <c r="A167" s="7" t="inlineStr">
        <is>
          <t>PRJ021</t>
        </is>
      </c>
      <c r="B167" s="7" t="inlineStr">
        <is>
          <t>Testing</t>
        </is>
      </c>
      <c r="C167" s="8" t="n">
        <v>45767</v>
      </c>
      <c r="D167" s="8" t="n">
        <v>45785</v>
      </c>
      <c r="E167" s="8" t="n">
        <v>45767</v>
      </c>
      <c r="F167" s="8" t="n">
        <v>45785</v>
      </c>
      <c r="G167" s="7" t="n">
        <v>490810</v>
      </c>
      <c r="H167" s="7" t="n">
        <v>556442</v>
      </c>
      <c r="I167" s="7" t="n">
        <v>367238</v>
      </c>
      <c r="J167" s="7" t="inlineStr">
        <is>
          <t>Complete</t>
        </is>
      </c>
    </row>
    <row r="168" ht="15" customHeight="1" s="5">
      <c r="A168" s="7" t="inlineStr">
        <is>
          <t>PRJ021</t>
        </is>
      </c>
      <c r="B168" s="7" t="inlineStr">
        <is>
          <t>Deployment</t>
        </is>
      </c>
      <c r="C168" s="8" t="n">
        <v>45785</v>
      </c>
      <c r="D168" s="8" t="n">
        <v>45803</v>
      </c>
      <c r="E168" s="8" t="n">
        <v>45785</v>
      </c>
      <c r="F168" s="8" t="n">
        <v>45803</v>
      </c>
      <c r="G168" s="7" t="n">
        <v>490810</v>
      </c>
      <c r="H168" s="7" t="n">
        <v>499201</v>
      </c>
      <c r="I168" s="7" t="n">
        <v>220400</v>
      </c>
      <c r="J168" s="7" t="inlineStr">
        <is>
          <t>Complete</t>
        </is>
      </c>
    </row>
    <row r="169" ht="15" customHeight="1" s="5">
      <c r="A169" s="7" t="inlineStr">
        <is>
          <t>PRJ021</t>
        </is>
      </c>
      <c r="B169" s="7" t="inlineStr">
        <is>
          <t>Handover</t>
        </is>
      </c>
      <c r="C169" s="8" t="n">
        <v>45803</v>
      </c>
      <c r="D169" s="8" t="n">
        <v>45821</v>
      </c>
      <c r="E169" s="8" t="n">
        <v>45803</v>
      </c>
      <c r="F169" s="8" t="n">
        <v>45821</v>
      </c>
      <c r="G169" s="7" t="n">
        <v>490810</v>
      </c>
      <c r="H169" s="7" t="n">
        <v>493327</v>
      </c>
      <c r="I169" s="7" t="n">
        <v>211427</v>
      </c>
      <c r="J169" s="7" t="inlineStr">
        <is>
          <t>Complete</t>
        </is>
      </c>
    </row>
    <row r="170" ht="15" customHeight="1" s="5">
      <c r="A170" s="7" t="inlineStr">
        <is>
          <t>PRJ022</t>
        </is>
      </c>
      <c r="B170" s="7" t="inlineStr">
        <is>
          <t>Discovery</t>
        </is>
      </c>
      <c r="C170" s="8" t="n">
        <v>45758</v>
      </c>
      <c r="D170" s="8" t="n">
        <v>45792</v>
      </c>
      <c r="E170" s="8" t="n">
        <v>45758</v>
      </c>
      <c r="F170" s="8" t="n">
        <v>45792</v>
      </c>
      <c r="G170" s="7" t="n">
        <v>358033</v>
      </c>
      <c r="H170" s="7" t="n">
        <v>324707</v>
      </c>
      <c r="I170" s="7" t="n">
        <v>210113</v>
      </c>
      <c r="J170" s="7" t="inlineStr">
        <is>
          <t>Complete</t>
        </is>
      </c>
    </row>
    <row r="171" ht="15" customHeight="1" s="5">
      <c r="A171" s="7" t="inlineStr">
        <is>
          <t>PRJ022</t>
        </is>
      </c>
      <c r="B171" s="7" t="inlineStr">
        <is>
          <t>Business Case / Seed Funding</t>
        </is>
      </c>
      <c r="C171" s="8" t="n">
        <v>45792</v>
      </c>
      <c r="D171" s="8" t="n">
        <v>45826</v>
      </c>
      <c r="E171" s="8" t="n">
        <v>45792</v>
      </c>
      <c r="F171" s="8" t="n">
        <v>45826</v>
      </c>
      <c r="G171" s="7" t="n">
        <v>358033</v>
      </c>
      <c r="H171" s="7" t="n">
        <v>407933</v>
      </c>
      <c r="I171" s="7" t="n">
        <v>158238</v>
      </c>
      <c r="J171" s="7" t="inlineStr">
        <is>
          <t>Complete</t>
        </is>
      </c>
    </row>
    <row r="172" ht="15" customHeight="1" s="5">
      <c r="A172" s="7" t="inlineStr">
        <is>
          <t>PRJ022</t>
        </is>
      </c>
      <c r="B172" s="7" t="inlineStr">
        <is>
          <t>Design</t>
        </is>
      </c>
      <c r="C172" s="8" t="n">
        <v>45826</v>
      </c>
      <c r="D172" s="8" t="n">
        <v>45860</v>
      </c>
      <c r="E172" s="8" t="n">
        <v>45826</v>
      </c>
      <c r="F172" s="8" t="n">
        <v>45860</v>
      </c>
      <c r="G172" s="7" t="n">
        <v>358033</v>
      </c>
      <c r="H172" s="7" t="n">
        <v>389885</v>
      </c>
      <c r="I172" s="7" t="n">
        <v>231278</v>
      </c>
      <c r="J172" s="7" t="inlineStr">
        <is>
          <t>Complete</t>
        </is>
      </c>
    </row>
    <row r="173" ht="15" customHeight="1" s="5">
      <c r="A173" s="7" t="inlineStr">
        <is>
          <t>PRJ022</t>
        </is>
      </c>
      <c r="B173" s="7" t="inlineStr">
        <is>
          <t>Business Case / Full Funding</t>
        </is>
      </c>
      <c r="C173" s="8" t="n">
        <v>45860</v>
      </c>
      <c r="D173" s="8" t="n">
        <v>45894</v>
      </c>
      <c r="E173" s="8" t="n">
        <v>45860</v>
      </c>
      <c r="F173" s="8" t="n">
        <v>45894</v>
      </c>
      <c r="G173" s="7" t="n">
        <v>358033</v>
      </c>
      <c r="H173" s="7" t="n">
        <v>349296</v>
      </c>
      <c r="I173" s="7" t="n">
        <v>91219</v>
      </c>
      <c r="J173" s="7" t="inlineStr">
        <is>
          <t>Complete</t>
        </is>
      </c>
    </row>
    <row r="174" ht="15" customHeight="1" s="5">
      <c r="A174" s="7" t="inlineStr">
        <is>
          <t>PRJ022</t>
        </is>
      </c>
      <c r="B174" s="7" t="inlineStr">
        <is>
          <t>Build</t>
        </is>
      </c>
      <c r="C174" s="8" t="n">
        <v>45894</v>
      </c>
      <c r="D174" s="8" t="n">
        <v>45928</v>
      </c>
      <c r="E174" s="8" t="n">
        <v>45894</v>
      </c>
      <c r="F174" s="8" t="n">
        <v>45928</v>
      </c>
      <c r="G174" s="7" t="n">
        <v>358033</v>
      </c>
      <c r="H174" s="7" t="n">
        <v>368076</v>
      </c>
      <c r="I174" s="7" t="n">
        <v>47847</v>
      </c>
      <c r="J174" s="7" t="inlineStr">
        <is>
          <t>Complete</t>
        </is>
      </c>
    </row>
    <row r="175" ht="15" customHeight="1" s="5">
      <c r="A175" s="7" t="inlineStr">
        <is>
          <t>PRJ022</t>
        </is>
      </c>
      <c r="B175" s="7" t="inlineStr">
        <is>
          <t>Testing</t>
        </is>
      </c>
      <c r="C175" s="8" t="n">
        <v>45928</v>
      </c>
      <c r="D175" s="8" t="n">
        <v>45962</v>
      </c>
      <c r="E175" s="8" t="n">
        <v>45928</v>
      </c>
      <c r="F175" s="8" t="n">
        <v>45962</v>
      </c>
      <c r="G175" s="7" t="n">
        <v>358033</v>
      </c>
      <c r="H175" s="7" t="n">
        <v>370857</v>
      </c>
      <c r="I175" s="7" t="n">
        <v>212619</v>
      </c>
      <c r="J175" s="7" t="inlineStr">
        <is>
          <t>Complete</t>
        </is>
      </c>
    </row>
    <row r="176" ht="15" customHeight="1" s="5">
      <c r="A176" s="7" t="inlineStr">
        <is>
          <t>PRJ022</t>
        </is>
      </c>
      <c r="B176" s="7" t="inlineStr">
        <is>
          <t>Deployment</t>
        </is>
      </c>
      <c r="C176" s="8" t="n">
        <v>45962</v>
      </c>
      <c r="D176" s="8" t="n">
        <v>45996</v>
      </c>
      <c r="E176" s="8" t="n">
        <v>45962</v>
      </c>
      <c r="F176" s="8" t="n">
        <v>45996</v>
      </c>
      <c r="G176" s="7" t="n">
        <v>358033</v>
      </c>
      <c r="H176" s="7" t="n">
        <v>348486</v>
      </c>
      <c r="I176" s="7" t="n">
        <v>283957</v>
      </c>
      <c r="J176" s="7" t="inlineStr">
        <is>
          <t>Complete</t>
        </is>
      </c>
    </row>
    <row r="177" ht="15" customHeight="1" s="5">
      <c r="A177" s="7" t="inlineStr">
        <is>
          <t>PRJ022</t>
        </is>
      </c>
      <c r="B177" s="7" t="inlineStr">
        <is>
          <t>Handover</t>
        </is>
      </c>
      <c r="C177" s="8" t="n">
        <v>45996</v>
      </c>
      <c r="D177" s="8" t="n">
        <v>46030</v>
      </c>
      <c r="E177" s="8" t="n">
        <v>45996</v>
      </c>
      <c r="F177" s="8" t="n">
        <v>46030</v>
      </c>
      <c r="G177" s="7" t="n">
        <v>358033</v>
      </c>
      <c r="H177" s="7" t="n">
        <v>357376</v>
      </c>
      <c r="I177" s="7" t="n">
        <v>151480</v>
      </c>
      <c r="J177" s="7" t="inlineStr">
        <is>
          <t>Complete</t>
        </is>
      </c>
    </row>
    <row r="178" ht="15" customHeight="1" s="5">
      <c r="A178" s="7" t="inlineStr">
        <is>
          <t>PRJ023</t>
        </is>
      </c>
      <c r="B178" s="7" t="inlineStr">
        <is>
          <t>Discovery</t>
        </is>
      </c>
      <c r="C178" s="8" t="n">
        <v>45973</v>
      </c>
      <c r="D178" s="8" t="n">
        <v>46020</v>
      </c>
      <c r="E178" s="8" t="n">
        <v>45973</v>
      </c>
      <c r="F178" s="8" t="n">
        <v>46020</v>
      </c>
      <c r="G178" s="7" t="n">
        <v>352389</v>
      </c>
      <c r="H178" s="7" t="n">
        <v>317675</v>
      </c>
      <c r="I178" s="7" t="n">
        <v>298775</v>
      </c>
      <c r="J178" s="7" t="inlineStr">
        <is>
          <t>Complete</t>
        </is>
      </c>
    </row>
    <row r="179" ht="15" customHeight="1" s="5">
      <c r="A179" s="7" t="inlineStr">
        <is>
          <t>PRJ023</t>
        </is>
      </c>
      <c r="B179" s="7" t="inlineStr">
        <is>
          <t>Business Case / Seed Funding</t>
        </is>
      </c>
      <c r="C179" s="8" t="n">
        <v>46020</v>
      </c>
      <c r="D179" s="8" t="n">
        <v>46067</v>
      </c>
      <c r="E179" s="8" t="n">
        <v>46020</v>
      </c>
      <c r="F179" s="8" t="n">
        <v>46067</v>
      </c>
      <c r="G179" s="7" t="n">
        <v>352389</v>
      </c>
      <c r="H179" s="7" t="n">
        <v>394227</v>
      </c>
      <c r="I179" s="7" t="n">
        <v>170286</v>
      </c>
      <c r="J179" s="7" t="inlineStr">
        <is>
          <t>Complete</t>
        </is>
      </c>
    </row>
    <row r="180" ht="15" customHeight="1" s="5">
      <c r="A180" s="7" t="inlineStr">
        <is>
          <t>PRJ023</t>
        </is>
      </c>
      <c r="B180" s="7" t="inlineStr">
        <is>
          <t>Design</t>
        </is>
      </c>
      <c r="C180" s="8" t="n">
        <v>46067</v>
      </c>
      <c r="D180" s="8" t="n">
        <v>46114</v>
      </c>
      <c r="E180" s="8" t="n">
        <v>46067</v>
      </c>
      <c r="F180" s="8" t="n">
        <v>46114</v>
      </c>
      <c r="G180" s="7" t="n">
        <v>352389</v>
      </c>
      <c r="H180" s="7" t="n">
        <v>321938</v>
      </c>
      <c r="I180" s="7" t="n">
        <v>20237</v>
      </c>
      <c r="J180" s="7" t="inlineStr">
        <is>
          <t>Complete</t>
        </is>
      </c>
    </row>
    <row r="181" ht="15" customHeight="1" s="5">
      <c r="A181" s="7" t="inlineStr">
        <is>
          <t>PRJ023</t>
        </is>
      </c>
      <c r="B181" s="7" t="inlineStr">
        <is>
          <t>Business Case / Full Funding</t>
        </is>
      </c>
      <c r="C181" s="8" t="n">
        <v>46114</v>
      </c>
      <c r="D181" s="8" t="n">
        <v>46161</v>
      </c>
      <c r="E181" s="8" t="n">
        <v>46114</v>
      </c>
      <c r="F181" s="8" t="n">
        <v>46161</v>
      </c>
      <c r="G181" s="7" t="n">
        <v>352389</v>
      </c>
      <c r="H181" s="7" t="n">
        <v>390262</v>
      </c>
      <c r="I181" s="7" t="n">
        <v>240461</v>
      </c>
      <c r="J181" s="7" t="inlineStr">
        <is>
          <t>Complete</t>
        </is>
      </c>
    </row>
    <row r="182" ht="15" customHeight="1" s="5">
      <c r="A182" s="7" t="inlineStr">
        <is>
          <t>PRJ023</t>
        </is>
      </c>
      <c r="B182" s="7" t="inlineStr">
        <is>
          <t>Build</t>
        </is>
      </c>
      <c r="C182" s="8" t="n">
        <v>46161</v>
      </c>
      <c r="D182" s="8" t="n">
        <v>46208</v>
      </c>
      <c r="E182" s="8" t="n">
        <v>46161</v>
      </c>
      <c r="F182" s="8" t="n">
        <v>46208</v>
      </c>
      <c r="G182" s="7" t="n">
        <v>352389</v>
      </c>
      <c r="H182" s="7" t="n">
        <v>346529</v>
      </c>
      <c r="I182" s="7" t="n">
        <v>36038</v>
      </c>
      <c r="J182" s="7" t="inlineStr">
        <is>
          <t>Complete</t>
        </is>
      </c>
    </row>
    <row r="183" ht="15" customHeight="1" s="5">
      <c r="A183" s="7" t="inlineStr">
        <is>
          <t>PRJ023</t>
        </is>
      </c>
      <c r="B183" s="7" t="inlineStr">
        <is>
          <t>Testing</t>
        </is>
      </c>
      <c r="C183" s="8" t="n">
        <v>46208</v>
      </c>
      <c r="D183" s="8" t="n">
        <v>46255</v>
      </c>
      <c r="E183" s="8" t="n">
        <v>46208</v>
      </c>
      <c r="G183" s="7" t="n">
        <v>352389</v>
      </c>
      <c r="H183" s="7" t="n">
        <v>342749</v>
      </c>
      <c r="I183" s="7" t="n">
        <v>178147</v>
      </c>
      <c r="J183" s="7" t="inlineStr">
        <is>
          <t>In Progress</t>
        </is>
      </c>
    </row>
    <row r="184" ht="15" customHeight="1" s="5">
      <c r="A184" s="7" t="inlineStr">
        <is>
          <t>PRJ023</t>
        </is>
      </c>
      <c r="B184" s="7" t="inlineStr">
        <is>
          <t>Deployment</t>
        </is>
      </c>
      <c r="C184" s="8" t="n">
        <v>46255</v>
      </c>
      <c r="D184" s="8" t="n">
        <v>46302</v>
      </c>
      <c r="G184" s="7" t="n">
        <v>352389</v>
      </c>
      <c r="H184" s="7" t="n">
        <v>346338</v>
      </c>
      <c r="I184" s="7" t="n">
        <v>0</v>
      </c>
      <c r="J184" s="7" t="inlineStr">
        <is>
          <t>Planned</t>
        </is>
      </c>
    </row>
    <row r="185" ht="15" customHeight="1" s="5">
      <c r="A185" s="7" t="inlineStr">
        <is>
          <t>PRJ023</t>
        </is>
      </c>
      <c r="B185" s="7" t="inlineStr">
        <is>
          <t>Handover</t>
        </is>
      </c>
      <c r="C185" s="8" t="n">
        <v>46302</v>
      </c>
      <c r="D185" s="8" t="n">
        <v>46349</v>
      </c>
      <c r="G185" s="7" t="n">
        <v>352389</v>
      </c>
      <c r="H185" s="7" t="n">
        <v>322512</v>
      </c>
      <c r="I185" s="7" t="n">
        <v>0</v>
      </c>
      <c r="J185" s="7" t="inlineStr">
        <is>
          <t>Planned</t>
        </is>
      </c>
    </row>
    <row r="186" ht="15" customHeight="1" s="5">
      <c r="A186" s="7" t="inlineStr">
        <is>
          <t>PRJ024</t>
        </is>
      </c>
      <c r="B186" s="7" t="inlineStr">
        <is>
          <t>Discovery</t>
        </is>
      </c>
      <c r="C186" s="8" t="n">
        <v>45997</v>
      </c>
      <c r="D186" s="8" t="n">
        <v>46048</v>
      </c>
      <c r="E186" s="8" t="n">
        <v>45997</v>
      </c>
      <c r="F186" s="8" t="n">
        <v>46048</v>
      </c>
      <c r="G186" s="7" t="n">
        <v>116679</v>
      </c>
      <c r="H186" s="7" t="n">
        <v>126611</v>
      </c>
      <c r="I186" s="7" t="n">
        <v>82625</v>
      </c>
      <c r="J186" s="7" t="inlineStr">
        <is>
          <t>Complete</t>
        </is>
      </c>
    </row>
    <row r="187" ht="15" customHeight="1" s="5">
      <c r="A187" s="7" t="inlineStr">
        <is>
          <t>PRJ024</t>
        </is>
      </c>
      <c r="B187" s="7" t="inlineStr">
        <is>
          <t>Business Case / Seed Funding</t>
        </is>
      </c>
      <c r="C187" s="8" t="n">
        <v>46048</v>
      </c>
      <c r="D187" s="8" t="n">
        <v>46099</v>
      </c>
      <c r="E187" s="8" t="n">
        <v>46048</v>
      </c>
      <c r="F187" s="8" t="n">
        <v>46099</v>
      </c>
      <c r="G187" s="7" t="n">
        <v>116679</v>
      </c>
      <c r="H187" s="7" t="n">
        <v>126579</v>
      </c>
      <c r="I187" s="7" t="n">
        <v>6496</v>
      </c>
      <c r="J187" s="7" t="inlineStr">
        <is>
          <t>Complete</t>
        </is>
      </c>
    </row>
    <row r="188" ht="15" customHeight="1" s="5">
      <c r="A188" s="7" t="inlineStr">
        <is>
          <t>PRJ024</t>
        </is>
      </c>
      <c r="B188" s="7" t="inlineStr">
        <is>
          <t>Design</t>
        </is>
      </c>
      <c r="C188" s="8" t="n">
        <v>46099</v>
      </c>
      <c r="D188" s="8" t="n">
        <v>46150</v>
      </c>
      <c r="E188" s="8" t="n">
        <v>46099</v>
      </c>
      <c r="F188" s="8" t="n">
        <v>46150</v>
      </c>
      <c r="G188" s="7" t="n">
        <v>116679</v>
      </c>
      <c r="H188" s="7" t="n">
        <v>110993</v>
      </c>
      <c r="I188" s="7" t="n">
        <v>17661</v>
      </c>
      <c r="J188" s="7" t="inlineStr">
        <is>
          <t>Complete</t>
        </is>
      </c>
    </row>
    <row r="189" ht="15" customHeight="1" s="5">
      <c r="A189" s="7" t="inlineStr">
        <is>
          <t>PRJ024</t>
        </is>
      </c>
      <c r="B189" s="7" t="inlineStr">
        <is>
          <t>Business Case / Full Funding</t>
        </is>
      </c>
      <c r="C189" s="8" t="n">
        <v>46150</v>
      </c>
      <c r="D189" s="8" t="n">
        <v>46201</v>
      </c>
      <c r="E189" s="8" t="n">
        <v>46150</v>
      </c>
      <c r="F189" s="8" t="n">
        <v>46201</v>
      </c>
      <c r="G189" s="7" t="n">
        <v>116679</v>
      </c>
      <c r="H189" s="7" t="n">
        <v>126609</v>
      </c>
      <c r="I189" s="7" t="n">
        <v>60681</v>
      </c>
      <c r="J189" s="7" t="inlineStr">
        <is>
          <t>Complete</t>
        </is>
      </c>
    </row>
    <row r="190" ht="15" customHeight="1" s="5">
      <c r="A190" s="7" t="inlineStr">
        <is>
          <t>PRJ024</t>
        </is>
      </c>
      <c r="B190" s="7" t="inlineStr">
        <is>
          <t>Build</t>
        </is>
      </c>
      <c r="C190" s="8" t="n">
        <v>46201</v>
      </c>
      <c r="D190" s="8" t="n">
        <v>46252</v>
      </c>
      <c r="E190" s="8" t="n">
        <v>46201</v>
      </c>
      <c r="G190" s="7" t="n">
        <v>116679</v>
      </c>
      <c r="H190" s="7" t="n">
        <v>111532</v>
      </c>
      <c r="I190" s="7" t="n">
        <v>82780</v>
      </c>
      <c r="J190" s="7" t="inlineStr">
        <is>
          <t>In Progress</t>
        </is>
      </c>
    </row>
    <row r="191" ht="15" customHeight="1" s="5">
      <c r="A191" s="7" t="inlineStr">
        <is>
          <t>PRJ024</t>
        </is>
      </c>
      <c r="B191" s="7" t="inlineStr">
        <is>
          <t>Testing</t>
        </is>
      </c>
      <c r="C191" s="8" t="n">
        <v>46252</v>
      </c>
      <c r="D191" s="8" t="n">
        <v>46303</v>
      </c>
      <c r="G191" s="7" t="n">
        <v>116679</v>
      </c>
      <c r="H191" s="7" t="n">
        <v>129872</v>
      </c>
      <c r="I191" s="7" t="n">
        <v>0</v>
      </c>
      <c r="J191" s="7" t="inlineStr">
        <is>
          <t>Planned</t>
        </is>
      </c>
    </row>
    <row r="192" ht="15" customHeight="1" s="5">
      <c r="A192" s="7" t="inlineStr">
        <is>
          <t>PRJ024</t>
        </is>
      </c>
      <c r="B192" s="7" t="inlineStr">
        <is>
          <t>Deployment</t>
        </is>
      </c>
      <c r="C192" s="8" t="n">
        <v>46303</v>
      </c>
      <c r="D192" s="8" t="n">
        <v>46354</v>
      </c>
      <c r="G192" s="7" t="n">
        <v>116679</v>
      </c>
      <c r="H192" s="7" t="n">
        <v>113788</v>
      </c>
      <c r="I192" s="7" t="n">
        <v>0</v>
      </c>
      <c r="J192" s="7" t="inlineStr">
        <is>
          <t>Planned</t>
        </is>
      </c>
    </row>
    <row r="193" ht="15" customHeight="1" s="5">
      <c r="A193" s="7" t="inlineStr">
        <is>
          <t>PRJ024</t>
        </is>
      </c>
      <c r="B193" s="7" t="inlineStr">
        <is>
          <t>Handover</t>
        </is>
      </c>
      <c r="C193" s="8" t="n">
        <v>46354</v>
      </c>
      <c r="D193" s="8" t="n">
        <v>46405</v>
      </c>
      <c r="G193" s="7" t="n">
        <v>116679</v>
      </c>
      <c r="H193" s="7" t="n">
        <v>114080</v>
      </c>
      <c r="I193" s="7" t="n">
        <v>0</v>
      </c>
      <c r="J193" s="7" t="inlineStr">
        <is>
          <t>Planned</t>
        </is>
      </c>
    </row>
    <row r="194" ht="15" customHeight="1" s="5">
      <c r="A194" s="7" t="inlineStr">
        <is>
          <t>PRJ025</t>
        </is>
      </c>
      <c r="B194" s="7" t="inlineStr">
        <is>
          <t>Discovery</t>
        </is>
      </c>
      <c r="C194" s="8" t="n">
        <v>45993</v>
      </c>
      <c r="D194" s="8" t="n">
        <v>46048</v>
      </c>
      <c r="E194" s="8" t="n">
        <v>45993</v>
      </c>
      <c r="F194" s="8" t="n">
        <v>46048</v>
      </c>
      <c r="G194" s="7" t="n">
        <v>234515</v>
      </c>
      <c r="H194" s="7" t="n">
        <v>269057</v>
      </c>
      <c r="I194" s="7" t="n">
        <v>1588</v>
      </c>
      <c r="J194" s="7" t="inlineStr">
        <is>
          <t>Complete</t>
        </is>
      </c>
    </row>
    <row r="195" ht="15" customHeight="1" s="5">
      <c r="A195" s="7" t="inlineStr">
        <is>
          <t>PRJ025</t>
        </is>
      </c>
      <c r="B195" s="7" t="inlineStr">
        <is>
          <t>Business Case / Seed Funding</t>
        </is>
      </c>
      <c r="C195" s="8" t="n">
        <v>46048</v>
      </c>
      <c r="D195" s="8" t="n">
        <v>46103</v>
      </c>
      <c r="E195" s="8" t="n">
        <v>46048</v>
      </c>
      <c r="F195" s="8" t="n">
        <v>46103</v>
      </c>
      <c r="G195" s="7" t="n">
        <v>234515</v>
      </c>
      <c r="H195" s="7" t="n">
        <v>239496</v>
      </c>
      <c r="I195" s="7" t="n">
        <v>169358</v>
      </c>
      <c r="J195" s="7" t="inlineStr">
        <is>
          <t>Complete</t>
        </is>
      </c>
    </row>
    <row r="196" ht="15" customHeight="1" s="5">
      <c r="A196" s="7" t="inlineStr">
        <is>
          <t>PRJ025</t>
        </is>
      </c>
      <c r="B196" s="7" t="inlineStr">
        <is>
          <t>Design</t>
        </is>
      </c>
      <c r="C196" s="8" t="n">
        <v>46103</v>
      </c>
      <c r="D196" s="8" t="n">
        <v>46158</v>
      </c>
      <c r="E196" s="8" t="n">
        <v>46103</v>
      </c>
      <c r="F196" s="8" t="n">
        <v>46158</v>
      </c>
      <c r="G196" s="7" t="n">
        <v>234515</v>
      </c>
      <c r="H196" s="7" t="n">
        <v>217789</v>
      </c>
      <c r="I196" s="7" t="n">
        <v>9</v>
      </c>
      <c r="J196" s="7" t="inlineStr">
        <is>
          <t>Complete</t>
        </is>
      </c>
    </row>
    <row r="197" ht="15" customHeight="1" s="5">
      <c r="A197" s="7" t="inlineStr">
        <is>
          <t>PRJ025</t>
        </is>
      </c>
      <c r="B197" s="7" t="inlineStr">
        <is>
          <t>Business Case / Full Funding</t>
        </is>
      </c>
      <c r="C197" s="8" t="n">
        <v>46158</v>
      </c>
      <c r="D197" s="8" t="n">
        <v>46213</v>
      </c>
      <c r="E197" s="8" t="n">
        <v>46158</v>
      </c>
      <c r="F197" s="8" t="n">
        <v>46213</v>
      </c>
      <c r="G197" s="7" t="n">
        <v>234515</v>
      </c>
      <c r="H197" s="7" t="n">
        <v>246463</v>
      </c>
      <c r="I197" s="7" t="n">
        <v>29804</v>
      </c>
      <c r="J197" s="7" t="inlineStr">
        <is>
          <t>Complete</t>
        </is>
      </c>
    </row>
    <row r="198" ht="15" customHeight="1" s="5">
      <c r="A198" s="7" t="inlineStr">
        <is>
          <t>PRJ025</t>
        </is>
      </c>
      <c r="B198" s="7" t="inlineStr">
        <is>
          <t>Build</t>
        </is>
      </c>
      <c r="C198" s="8" t="n">
        <v>46213</v>
      </c>
      <c r="D198" s="8" t="n">
        <v>46268</v>
      </c>
      <c r="E198" s="8" t="n">
        <v>46213</v>
      </c>
      <c r="G198" s="7" t="n">
        <v>234515</v>
      </c>
      <c r="H198" s="7" t="n">
        <v>216743</v>
      </c>
      <c r="I198" s="7" t="n">
        <v>50306</v>
      </c>
      <c r="J198" s="7" t="inlineStr">
        <is>
          <t>In Progress</t>
        </is>
      </c>
    </row>
    <row r="199" ht="15" customHeight="1" s="5">
      <c r="A199" s="7" t="inlineStr">
        <is>
          <t>PRJ025</t>
        </is>
      </c>
      <c r="B199" s="7" t="inlineStr">
        <is>
          <t>Testing</t>
        </is>
      </c>
      <c r="C199" s="8" t="n">
        <v>46268</v>
      </c>
      <c r="D199" s="8" t="n">
        <v>46323</v>
      </c>
      <c r="G199" s="7" t="n">
        <v>234515</v>
      </c>
      <c r="H199" s="7" t="n">
        <v>238839</v>
      </c>
      <c r="I199" s="7" t="n">
        <v>0</v>
      </c>
      <c r="J199" s="7" t="inlineStr">
        <is>
          <t>Planned</t>
        </is>
      </c>
    </row>
    <row r="200" ht="15" customHeight="1" s="5">
      <c r="A200" s="7" t="inlineStr">
        <is>
          <t>PRJ025</t>
        </is>
      </c>
      <c r="B200" s="7" t="inlineStr">
        <is>
          <t>Deployment</t>
        </is>
      </c>
      <c r="C200" s="8" t="n">
        <v>46323</v>
      </c>
      <c r="D200" s="8" t="n">
        <v>46378</v>
      </c>
      <c r="G200" s="7" t="n">
        <v>234515</v>
      </c>
      <c r="H200" s="7" t="n">
        <v>259886</v>
      </c>
      <c r="I200" s="7" t="n">
        <v>0</v>
      </c>
      <c r="J200" s="7" t="inlineStr">
        <is>
          <t>Planned</t>
        </is>
      </c>
    </row>
    <row r="201" ht="15" customHeight="1" s="5">
      <c r="A201" s="7" t="inlineStr">
        <is>
          <t>PRJ025</t>
        </is>
      </c>
      <c r="B201" s="7" t="inlineStr">
        <is>
          <t>Handover</t>
        </is>
      </c>
      <c r="C201" s="8" t="n">
        <v>46378</v>
      </c>
      <c r="D201" s="8" t="n">
        <v>46433</v>
      </c>
      <c r="G201" s="7" t="n">
        <v>234515</v>
      </c>
      <c r="H201" s="7" t="n">
        <v>237084</v>
      </c>
      <c r="I201" s="7" t="n">
        <v>0</v>
      </c>
      <c r="J201" s="7" t="inlineStr">
        <is>
          <t>Planned</t>
        </is>
      </c>
    </row>
    <row r="202" ht="15" customHeight="1" s="5">
      <c r="A202" s="7" t="inlineStr">
        <is>
          <t>PRJ026</t>
        </is>
      </c>
      <c r="B202" s="7" t="inlineStr">
        <is>
          <t>Discovery</t>
        </is>
      </c>
      <c r="C202" s="8" t="n">
        <v>45916</v>
      </c>
      <c r="D202" s="8" t="n">
        <v>45954</v>
      </c>
      <c r="E202" s="8" t="n">
        <v>45916</v>
      </c>
      <c r="F202" s="8" t="n">
        <v>45954</v>
      </c>
      <c r="G202" s="7" t="n">
        <v>337944</v>
      </c>
      <c r="H202" s="7" t="n">
        <v>308852</v>
      </c>
      <c r="I202" s="7" t="n">
        <v>43224</v>
      </c>
      <c r="J202" s="7" t="inlineStr">
        <is>
          <t>Complete</t>
        </is>
      </c>
    </row>
    <row r="203" ht="15" customHeight="1" s="5">
      <c r="A203" s="7" t="inlineStr">
        <is>
          <t>PRJ026</t>
        </is>
      </c>
      <c r="B203" s="7" t="inlineStr">
        <is>
          <t>Business Case / Seed Funding</t>
        </is>
      </c>
      <c r="C203" s="8" t="n">
        <v>45954</v>
      </c>
      <c r="D203" s="8" t="n">
        <v>45992</v>
      </c>
      <c r="E203" s="8" t="n">
        <v>45954</v>
      </c>
      <c r="F203" s="8" t="n">
        <v>45992</v>
      </c>
      <c r="G203" s="7" t="n">
        <v>337944</v>
      </c>
      <c r="H203" s="7" t="n">
        <v>338329</v>
      </c>
      <c r="I203" s="7" t="n">
        <v>348701</v>
      </c>
      <c r="J203" s="7" t="inlineStr">
        <is>
          <t>Complete</t>
        </is>
      </c>
    </row>
    <row r="204" ht="15" customHeight="1" s="5">
      <c r="A204" s="7" t="inlineStr">
        <is>
          <t>PRJ026</t>
        </is>
      </c>
      <c r="B204" s="7" t="inlineStr">
        <is>
          <t>Design</t>
        </is>
      </c>
      <c r="C204" s="8" t="n">
        <v>45992</v>
      </c>
      <c r="D204" s="8" t="n">
        <v>46030</v>
      </c>
      <c r="E204" s="8" t="n">
        <v>45992</v>
      </c>
      <c r="F204" s="8" t="n">
        <v>46030</v>
      </c>
      <c r="G204" s="7" t="n">
        <v>337944</v>
      </c>
      <c r="H204" s="7" t="n">
        <v>373451</v>
      </c>
      <c r="I204" s="7" t="n">
        <v>298677</v>
      </c>
      <c r="J204" s="7" t="inlineStr">
        <is>
          <t>Complete</t>
        </is>
      </c>
    </row>
    <row r="205" ht="15" customHeight="1" s="5">
      <c r="A205" s="7" t="inlineStr">
        <is>
          <t>PRJ026</t>
        </is>
      </c>
      <c r="B205" s="7" t="inlineStr">
        <is>
          <t>Business Case / Full Funding</t>
        </is>
      </c>
      <c r="C205" s="8" t="n">
        <v>46030</v>
      </c>
      <c r="D205" s="8" t="n">
        <v>46068</v>
      </c>
      <c r="E205" s="8" t="n">
        <v>46030</v>
      </c>
      <c r="F205" s="8" t="n">
        <v>46068</v>
      </c>
      <c r="G205" s="7" t="n">
        <v>337944</v>
      </c>
      <c r="H205" s="7" t="n">
        <v>350340</v>
      </c>
      <c r="I205" s="7" t="n">
        <v>291568</v>
      </c>
      <c r="J205" s="7" t="inlineStr">
        <is>
          <t>Complete</t>
        </is>
      </c>
    </row>
    <row r="206" ht="15" customHeight="1" s="5">
      <c r="A206" s="7" t="inlineStr">
        <is>
          <t>PRJ026</t>
        </is>
      </c>
      <c r="B206" s="7" t="inlineStr">
        <is>
          <t>Build</t>
        </is>
      </c>
      <c r="C206" s="8" t="n">
        <v>46068</v>
      </c>
      <c r="D206" s="8" t="n">
        <v>46106</v>
      </c>
      <c r="E206" s="8" t="n">
        <v>46068</v>
      </c>
      <c r="F206" s="8" t="n">
        <v>46106</v>
      </c>
      <c r="G206" s="7" t="n">
        <v>337944</v>
      </c>
      <c r="H206" s="7" t="n">
        <v>361712</v>
      </c>
      <c r="I206" s="7" t="n">
        <v>304920</v>
      </c>
      <c r="J206" s="7" t="inlineStr">
        <is>
          <t>Complete</t>
        </is>
      </c>
    </row>
    <row r="207" ht="15" customHeight="1" s="5">
      <c r="A207" s="7" t="inlineStr">
        <is>
          <t>PRJ026</t>
        </is>
      </c>
      <c r="B207" s="7" t="inlineStr">
        <is>
          <t>Testing</t>
        </is>
      </c>
      <c r="C207" s="8" t="n">
        <v>46106</v>
      </c>
      <c r="D207" s="8" t="n">
        <v>46144</v>
      </c>
      <c r="E207" s="8" t="n">
        <v>46106</v>
      </c>
      <c r="F207" s="8" t="n">
        <v>46144</v>
      </c>
      <c r="G207" s="7" t="n">
        <v>337944</v>
      </c>
      <c r="H207" s="7" t="n">
        <v>356291</v>
      </c>
      <c r="I207" s="7" t="n">
        <v>153417</v>
      </c>
      <c r="J207" s="7" t="inlineStr">
        <is>
          <t>Complete</t>
        </is>
      </c>
    </row>
    <row r="208" ht="15" customHeight="1" s="5">
      <c r="A208" s="7" t="inlineStr">
        <is>
          <t>PRJ026</t>
        </is>
      </c>
      <c r="B208" s="7" t="inlineStr">
        <is>
          <t>Deployment</t>
        </is>
      </c>
      <c r="C208" s="8" t="n">
        <v>46144</v>
      </c>
      <c r="D208" s="8" t="n">
        <v>46182</v>
      </c>
      <c r="E208" s="8" t="n">
        <v>46144</v>
      </c>
      <c r="F208" s="8" t="n">
        <v>46182</v>
      </c>
      <c r="G208" s="7" t="n">
        <v>337944</v>
      </c>
      <c r="H208" s="7" t="n">
        <v>357899</v>
      </c>
      <c r="I208" s="7" t="n">
        <v>65577</v>
      </c>
      <c r="J208" s="7" t="inlineStr">
        <is>
          <t>Complete</t>
        </is>
      </c>
    </row>
    <row r="209" ht="15" customHeight="1" s="5">
      <c r="A209" s="7" t="inlineStr">
        <is>
          <t>PRJ026</t>
        </is>
      </c>
      <c r="B209" s="7" t="inlineStr">
        <is>
          <t>Handover</t>
        </is>
      </c>
      <c r="C209" s="8" t="n">
        <v>46182</v>
      </c>
      <c r="D209" s="8" t="n">
        <v>46220</v>
      </c>
      <c r="E209" s="8" t="n">
        <v>46182</v>
      </c>
      <c r="G209" s="7" t="n">
        <v>337944</v>
      </c>
      <c r="H209" s="7" t="n">
        <v>373306</v>
      </c>
      <c r="I209" s="7" t="n">
        <v>233296</v>
      </c>
      <c r="J209" s="7" t="inlineStr">
        <is>
          <t>In Progress</t>
        </is>
      </c>
    </row>
    <row r="210" ht="15" customHeight="1" s="5">
      <c r="A210" s="7" t="inlineStr">
        <is>
          <t>PRJ027</t>
        </is>
      </c>
      <c r="B210" s="7" t="inlineStr">
        <is>
          <t>Discovery</t>
        </is>
      </c>
      <c r="C210" s="8" t="n">
        <v>45776</v>
      </c>
      <c r="D210" s="8" t="n">
        <v>45811</v>
      </c>
      <c r="E210" s="8" t="n">
        <v>45776</v>
      </c>
      <c r="F210" s="8" t="n">
        <v>45811</v>
      </c>
      <c r="G210" s="7" t="n">
        <v>226938</v>
      </c>
      <c r="H210" s="7" t="n">
        <v>213933</v>
      </c>
      <c r="I210" s="7" t="n">
        <v>176727</v>
      </c>
      <c r="J210" s="7" t="inlineStr">
        <is>
          <t>Complete</t>
        </is>
      </c>
    </row>
    <row r="211" ht="15" customHeight="1" s="5">
      <c r="A211" s="7" t="inlineStr">
        <is>
          <t>PRJ027</t>
        </is>
      </c>
      <c r="B211" s="7" t="inlineStr">
        <is>
          <t>Business Case / Seed Funding</t>
        </is>
      </c>
      <c r="C211" s="8" t="n">
        <v>45811</v>
      </c>
      <c r="D211" s="8" t="n">
        <v>45846</v>
      </c>
      <c r="E211" s="8" t="n">
        <v>45811</v>
      </c>
      <c r="F211" s="8" t="n">
        <v>45846</v>
      </c>
      <c r="G211" s="7" t="n">
        <v>226938</v>
      </c>
      <c r="H211" s="7" t="n">
        <v>235260</v>
      </c>
      <c r="I211" s="7" t="n">
        <v>113461</v>
      </c>
      <c r="J211" s="7" t="inlineStr">
        <is>
          <t>Complete</t>
        </is>
      </c>
    </row>
    <row r="212" ht="15" customHeight="1" s="5">
      <c r="A212" s="7" t="inlineStr">
        <is>
          <t>PRJ027</t>
        </is>
      </c>
      <c r="B212" s="7" t="inlineStr">
        <is>
          <t>Design</t>
        </is>
      </c>
      <c r="C212" s="8" t="n">
        <v>45846</v>
      </c>
      <c r="D212" s="8" t="n">
        <v>45881</v>
      </c>
      <c r="E212" s="8" t="n">
        <v>45846</v>
      </c>
      <c r="F212" s="8" t="n">
        <v>45881</v>
      </c>
      <c r="G212" s="7" t="n">
        <v>226938</v>
      </c>
      <c r="H212" s="7" t="n">
        <v>220699</v>
      </c>
      <c r="I212" s="7" t="n">
        <v>159064</v>
      </c>
      <c r="J212" s="7" t="inlineStr">
        <is>
          <t>Complete</t>
        </is>
      </c>
    </row>
    <row r="213" ht="15" customHeight="1" s="5">
      <c r="A213" s="7" t="inlineStr">
        <is>
          <t>PRJ027</t>
        </is>
      </c>
      <c r="B213" s="7" t="inlineStr">
        <is>
          <t>Business Case / Full Funding</t>
        </is>
      </c>
      <c r="C213" s="8" t="n">
        <v>45881</v>
      </c>
      <c r="D213" s="8" t="n">
        <v>45916</v>
      </c>
      <c r="E213" s="8" t="n">
        <v>45881</v>
      </c>
      <c r="F213" s="8" t="n">
        <v>45916</v>
      </c>
      <c r="G213" s="7" t="n">
        <v>226938</v>
      </c>
      <c r="H213" s="7" t="n">
        <v>258658</v>
      </c>
      <c r="I213" s="7" t="n">
        <v>117466</v>
      </c>
      <c r="J213" s="7" t="inlineStr">
        <is>
          <t>Complete</t>
        </is>
      </c>
    </row>
    <row r="214" ht="15" customHeight="1" s="5">
      <c r="A214" s="7" t="inlineStr">
        <is>
          <t>PRJ027</t>
        </is>
      </c>
      <c r="B214" s="7" t="inlineStr">
        <is>
          <t>Build</t>
        </is>
      </c>
      <c r="C214" s="8" t="n">
        <v>45916</v>
      </c>
      <c r="D214" s="8" t="n">
        <v>45951</v>
      </c>
      <c r="E214" s="8" t="n">
        <v>45916</v>
      </c>
      <c r="F214" s="8" t="n">
        <v>45951</v>
      </c>
      <c r="G214" s="7" t="n">
        <v>226938</v>
      </c>
      <c r="H214" s="7" t="n">
        <v>242126</v>
      </c>
      <c r="I214" s="7" t="n">
        <v>93214</v>
      </c>
      <c r="J214" s="7" t="inlineStr">
        <is>
          <t>Complete</t>
        </is>
      </c>
    </row>
    <row r="215" ht="15" customHeight="1" s="5">
      <c r="A215" s="7" t="inlineStr">
        <is>
          <t>PRJ027</t>
        </is>
      </c>
      <c r="B215" s="7" t="inlineStr">
        <is>
          <t>Testing</t>
        </is>
      </c>
      <c r="C215" s="8" t="n">
        <v>45951</v>
      </c>
      <c r="D215" s="8" t="n">
        <v>45986</v>
      </c>
      <c r="E215" s="8" t="n">
        <v>45951</v>
      </c>
      <c r="F215" s="8" t="n">
        <v>45986</v>
      </c>
      <c r="G215" s="7" t="n">
        <v>226938</v>
      </c>
      <c r="H215" s="7" t="n">
        <v>243825</v>
      </c>
      <c r="I215" s="7" t="n">
        <v>25576</v>
      </c>
      <c r="J215" s="7" t="inlineStr">
        <is>
          <t>Complete</t>
        </is>
      </c>
    </row>
    <row r="216" ht="15" customHeight="1" s="5">
      <c r="A216" s="7" t="inlineStr">
        <is>
          <t>PRJ027</t>
        </is>
      </c>
      <c r="B216" s="7" t="inlineStr">
        <is>
          <t>Deployment</t>
        </is>
      </c>
      <c r="C216" s="8" t="n">
        <v>45986</v>
      </c>
      <c r="D216" s="8" t="n">
        <v>46021</v>
      </c>
      <c r="E216" s="8" t="n">
        <v>45986</v>
      </c>
      <c r="F216" s="8" t="n">
        <v>46021</v>
      </c>
      <c r="G216" s="7" t="n">
        <v>226938</v>
      </c>
      <c r="H216" s="7" t="n">
        <v>227896</v>
      </c>
      <c r="I216" s="7" t="n">
        <v>101231</v>
      </c>
      <c r="J216" s="7" t="inlineStr">
        <is>
          <t>Complete</t>
        </is>
      </c>
    </row>
    <row r="217" ht="15" customHeight="1" s="5">
      <c r="A217" s="7" t="inlineStr">
        <is>
          <t>PRJ027</t>
        </is>
      </c>
      <c r="B217" s="7" t="inlineStr">
        <is>
          <t>Handover</t>
        </is>
      </c>
      <c r="C217" s="8" t="n">
        <v>46021</v>
      </c>
      <c r="D217" s="8" t="n">
        <v>46056</v>
      </c>
      <c r="E217" s="8" t="n">
        <v>46021</v>
      </c>
      <c r="F217" s="8" t="n">
        <v>46056</v>
      </c>
      <c r="G217" s="7" t="n">
        <v>226938</v>
      </c>
      <c r="H217" s="7" t="n">
        <v>205831</v>
      </c>
      <c r="I217" s="7" t="n">
        <v>108916</v>
      </c>
      <c r="J217" s="7" t="inlineStr">
        <is>
          <t>Complete</t>
        </is>
      </c>
    </row>
    <row r="218" ht="15" customHeight="1" s="5">
      <c r="A218" s="7" t="inlineStr">
        <is>
          <t>PRJ028</t>
        </is>
      </c>
      <c r="B218" s="7" t="inlineStr">
        <is>
          <t>Discovery</t>
        </is>
      </c>
      <c r="C218" s="8" t="n">
        <v>45661</v>
      </c>
      <c r="D218" s="8" t="n">
        <v>45732</v>
      </c>
      <c r="E218" s="8" t="n">
        <v>45661</v>
      </c>
      <c r="F218" s="8" t="n">
        <v>45732</v>
      </c>
      <c r="G218" s="7" t="n">
        <v>202370</v>
      </c>
      <c r="H218" s="7" t="n">
        <v>210678</v>
      </c>
      <c r="I218" s="7" t="n">
        <v>2342</v>
      </c>
      <c r="J218" s="7" t="inlineStr">
        <is>
          <t>Complete</t>
        </is>
      </c>
    </row>
    <row r="219" ht="15" customHeight="1" s="5">
      <c r="A219" s="7" t="inlineStr">
        <is>
          <t>PRJ028</t>
        </is>
      </c>
      <c r="B219" s="7" t="inlineStr">
        <is>
          <t>Business Case / Seed Funding</t>
        </is>
      </c>
      <c r="C219" s="8" t="n">
        <v>45732</v>
      </c>
      <c r="D219" s="8" t="n">
        <v>45803</v>
      </c>
      <c r="E219" s="8" t="n">
        <v>45732</v>
      </c>
      <c r="F219" s="8" t="n">
        <v>45803</v>
      </c>
      <c r="G219" s="7" t="n">
        <v>202370</v>
      </c>
      <c r="H219" s="7" t="n">
        <v>197450</v>
      </c>
      <c r="I219" s="7" t="n">
        <v>137078</v>
      </c>
      <c r="J219" s="7" t="inlineStr">
        <is>
          <t>Complete</t>
        </is>
      </c>
    </row>
    <row r="220" ht="15" customHeight="1" s="5">
      <c r="A220" s="7" t="inlineStr">
        <is>
          <t>PRJ028</t>
        </is>
      </c>
      <c r="B220" s="7" t="inlineStr">
        <is>
          <t>Design</t>
        </is>
      </c>
      <c r="C220" s="8" t="n">
        <v>45803</v>
      </c>
      <c r="D220" s="8" t="n">
        <v>45874</v>
      </c>
      <c r="E220" s="8" t="n">
        <v>45803</v>
      </c>
      <c r="F220" s="8" t="n">
        <v>45874</v>
      </c>
      <c r="G220" s="7" t="n">
        <v>202370</v>
      </c>
      <c r="H220" s="7" t="n">
        <v>227323</v>
      </c>
      <c r="I220" s="7" t="n">
        <v>131717</v>
      </c>
      <c r="J220" s="7" t="inlineStr">
        <is>
          <t>Complete</t>
        </is>
      </c>
    </row>
    <row r="221" ht="15" customHeight="1" s="5">
      <c r="A221" s="7" t="inlineStr">
        <is>
          <t>PRJ028</t>
        </is>
      </c>
      <c r="B221" s="7" t="inlineStr">
        <is>
          <t>Business Case / Full Funding</t>
        </is>
      </c>
      <c r="C221" s="8" t="n">
        <v>45874</v>
      </c>
      <c r="D221" s="8" t="n">
        <v>45945</v>
      </c>
      <c r="E221" s="8" t="n">
        <v>45874</v>
      </c>
      <c r="F221" s="8" t="n">
        <v>45945</v>
      </c>
      <c r="G221" s="7" t="n">
        <v>202370</v>
      </c>
      <c r="H221" s="7" t="n">
        <v>184290</v>
      </c>
      <c r="I221" s="7" t="n">
        <v>192739</v>
      </c>
      <c r="J221" s="7" t="inlineStr">
        <is>
          <t>Complete</t>
        </is>
      </c>
    </row>
    <row r="222" ht="15" customHeight="1" s="5">
      <c r="A222" s="7" t="inlineStr">
        <is>
          <t>PRJ028</t>
        </is>
      </c>
      <c r="B222" s="7" t="inlineStr">
        <is>
          <t>Build</t>
        </is>
      </c>
      <c r="C222" s="8" t="n">
        <v>45945</v>
      </c>
      <c r="D222" s="8" t="n">
        <v>46016</v>
      </c>
      <c r="E222" s="8" t="n">
        <v>45945</v>
      </c>
      <c r="F222" s="8" t="n">
        <v>46016</v>
      </c>
      <c r="G222" s="7" t="n">
        <v>202370</v>
      </c>
      <c r="H222" s="7" t="n">
        <v>230843</v>
      </c>
      <c r="I222" s="7" t="n">
        <v>99425</v>
      </c>
      <c r="J222" s="7" t="inlineStr">
        <is>
          <t>Complete</t>
        </is>
      </c>
    </row>
    <row r="223" ht="15" customHeight="1" s="5">
      <c r="A223" s="7" t="inlineStr">
        <is>
          <t>PRJ028</t>
        </is>
      </c>
      <c r="B223" s="7" t="inlineStr">
        <is>
          <t>Testing</t>
        </is>
      </c>
      <c r="C223" s="8" t="n">
        <v>46016</v>
      </c>
      <c r="D223" s="8" t="n">
        <v>46087</v>
      </c>
      <c r="E223" s="8" t="n">
        <v>46016</v>
      </c>
      <c r="F223" s="8" t="n">
        <v>46087</v>
      </c>
      <c r="G223" s="7" t="n">
        <v>202370</v>
      </c>
      <c r="H223" s="7" t="n">
        <v>218715</v>
      </c>
      <c r="I223" s="7" t="n">
        <v>58839</v>
      </c>
      <c r="J223" s="7" t="inlineStr">
        <is>
          <t>Complete</t>
        </is>
      </c>
    </row>
    <row r="224" ht="15" customHeight="1" s="5">
      <c r="A224" s="7" t="inlineStr">
        <is>
          <t>PRJ028</t>
        </is>
      </c>
      <c r="B224" s="7" t="inlineStr">
        <is>
          <t>Deployment</t>
        </is>
      </c>
      <c r="C224" s="8" t="n">
        <v>46087</v>
      </c>
      <c r="D224" s="8" t="n">
        <v>46158</v>
      </c>
      <c r="E224" s="8" t="n">
        <v>46087</v>
      </c>
      <c r="F224" s="8" t="n">
        <v>46158</v>
      </c>
      <c r="G224" s="7" t="n">
        <v>202370</v>
      </c>
      <c r="H224" s="7" t="n">
        <v>231802</v>
      </c>
      <c r="I224" s="7" t="n">
        <v>76017</v>
      </c>
      <c r="J224" s="7" t="inlineStr">
        <is>
          <t>Complete</t>
        </is>
      </c>
    </row>
    <row r="225" ht="15" customHeight="1" s="5">
      <c r="A225" s="7" t="inlineStr">
        <is>
          <t>PRJ028</t>
        </is>
      </c>
      <c r="B225" s="7" t="inlineStr">
        <is>
          <t>Handover</t>
        </is>
      </c>
      <c r="C225" s="8" t="n">
        <v>46158</v>
      </c>
      <c r="D225" s="8" t="n">
        <v>46229</v>
      </c>
      <c r="E225" s="8" t="n">
        <v>46158</v>
      </c>
      <c r="G225" s="7" t="n">
        <v>202370</v>
      </c>
      <c r="H225" s="7" t="n">
        <v>225432</v>
      </c>
      <c r="I225" s="7" t="n">
        <v>106925</v>
      </c>
      <c r="J225" s="7" t="inlineStr">
        <is>
          <t>In Progress</t>
        </is>
      </c>
    </row>
    <row r="226" ht="15" customHeight="1" s="5">
      <c r="A226" s="7" t="inlineStr">
        <is>
          <t>PRJ029</t>
        </is>
      </c>
      <c r="B226" s="7" t="inlineStr">
        <is>
          <t>Discovery</t>
        </is>
      </c>
      <c r="C226" s="8" t="n">
        <v>45976</v>
      </c>
      <c r="D226" s="8" t="n">
        <v>46021</v>
      </c>
      <c r="E226" s="8" t="n">
        <v>45976</v>
      </c>
      <c r="F226" s="8" t="n">
        <v>46021</v>
      </c>
      <c r="G226" s="7" t="n">
        <v>249250</v>
      </c>
      <c r="H226" s="7" t="n">
        <v>246062</v>
      </c>
      <c r="I226" s="7" t="n">
        <v>184828</v>
      </c>
      <c r="J226" s="7" t="inlineStr">
        <is>
          <t>Complete</t>
        </is>
      </c>
    </row>
    <row r="227" ht="15" customHeight="1" s="5">
      <c r="A227" s="7" t="inlineStr">
        <is>
          <t>PRJ029</t>
        </is>
      </c>
      <c r="B227" s="7" t="inlineStr">
        <is>
          <t>Business Case / Seed Funding</t>
        </is>
      </c>
      <c r="C227" s="8" t="n">
        <v>46021</v>
      </c>
      <c r="D227" s="8" t="n">
        <v>46066</v>
      </c>
      <c r="E227" s="8" t="n">
        <v>46021</v>
      </c>
      <c r="F227" s="8" t="n">
        <v>46066</v>
      </c>
      <c r="G227" s="7" t="n">
        <v>249250</v>
      </c>
      <c r="H227" s="7" t="n">
        <v>248666</v>
      </c>
      <c r="I227" s="7" t="n">
        <v>16427</v>
      </c>
      <c r="J227" s="7" t="inlineStr">
        <is>
          <t>Complete</t>
        </is>
      </c>
    </row>
    <row r="228" ht="15" customHeight="1" s="5">
      <c r="A228" s="7" t="inlineStr">
        <is>
          <t>PRJ029</t>
        </is>
      </c>
      <c r="B228" s="7" t="inlineStr">
        <is>
          <t>Design</t>
        </is>
      </c>
      <c r="C228" s="8" t="n">
        <v>46066</v>
      </c>
      <c r="D228" s="8" t="n">
        <v>46111</v>
      </c>
      <c r="E228" s="8" t="n">
        <v>46066</v>
      </c>
      <c r="F228" s="8" t="n">
        <v>46111</v>
      </c>
      <c r="G228" s="7" t="n">
        <v>249250</v>
      </c>
      <c r="H228" s="7" t="n">
        <v>265198</v>
      </c>
      <c r="I228" s="7" t="n">
        <v>92088</v>
      </c>
      <c r="J228" s="7" t="inlineStr">
        <is>
          <t>Complete</t>
        </is>
      </c>
    </row>
    <row r="229" ht="15" customHeight="1" s="5">
      <c r="A229" s="7" t="inlineStr">
        <is>
          <t>PRJ029</t>
        </is>
      </c>
      <c r="B229" s="7" t="inlineStr">
        <is>
          <t>Business Case / Full Funding</t>
        </is>
      </c>
      <c r="C229" s="8" t="n">
        <v>46111</v>
      </c>
      <c r="D229" s="8" t="n">
        <v>46156</v>
      </c>
      <c r="E229" s="8" t="n">
        <v>46111</v>
      </c>
      <c r="F229" s="8" t="n">
        <v>46156</v>
      </c>
      <c r="G229" s="7" t="n">
        <v>249250</v>
      </c>
      <c r="H229" s="7" t="n">
        <v>269141</v>
      </c>
      <c r="I229" s="7" t="n">
        <v>88797</v>
      </c>
      <c r="J229" s="7" t="inlineStr">
        <is>
          <t>Complete</t>
        </is>
      </c>
    </row>
    <row r="230" ht="15" customHeight="1" s="5">
      <c r="A230" s="7" t="inlineStr">
        <is>
          <t>PRJ029</t>
        </is>
      </c>
      <c r="B230" s="7" t="inlineStr">
        <is>
          <t>Build</t>
        </is>
      </c>
      <c r="C230" s="8" t="n">
        <v>46156</v>
      </c>
      <c r="D230" s="8" t="n">
        <v>46201</v>
      </c>
      <c r="E230" s="8" t="n">
        <v>46156</v>
      </c>
      <c r="F230" s="8" t="n">
        <v>46201</v>
      </c>
      <c r="G230" s="7" t="n">
        <v>249250</v>
      </c>
      <c r="H230" s="7" t="n">
        <v>268890</v>
      </c>
      <c r="I230" s="7" t="n">
        <v>205889</v>
      </c>
      <c r="J230" s="7" t="inlineStr">
        <is>
          <t>Complete</t>
        </is>
      </c>
    </row>
    <row r="231" ht="15" customHeight="1" s="5">
      <c r="A231" s="7" t="inlineStr">
        <is>
          <t>PRJ029</t>
        </is>
      </c>
      <c r="B231" s="7" t="inlineStr">
        <is>
          <t>Testing</t>
        </is>
      </c>
      <c r="C231" s="8" t="n">
        <v>46201</v>
      </c>
      <c r="D231" s="8" t="n">
        <v>46246</v>
      </c>
      <c r="E231" s="8" t="n">
        <v>46201</v>
      </c>
      <c r="G231" s="7" t="n">
        <v>249250</v>
      </c>
      <c r="H231" s="7" t="n">
        <v>241670</v>
      </c>
      <c r="I231" s="7" t="n">
        <v>199584</v>
      </c>
      <c r="J231" s="7" t="inlineStr">
        <is>
          <t>In Progress</t>
        </is>
      </c>
    </row>
    <row r="232" ht="15" customHeight="1" s="5">
      <c r="A232" s="7" t="inlineStr">
        <is>
          <t>PRJ029</t>
        </is>
      </c>
      <c r="B232" s="7" t="inlineStr">
        <is>
          <t>Deployment</t>
        </is>
      </c>
      <c r="C232" s="8" t="n">
        <v>46246</v>
      </c>
      <c r="D232" s="8" t="n">
        <v>46291</v>
      </c>
      <c r="G232" s="7" t="n">
        <v>249250</v>
      </c>
      <c r="H232" s="7" t="n">
        <v>243202</v>
      </c>
      <c r="I232" s="7" t="n">
        <v>0</v>
      </c>
      <c r="J232" s="7" t="inlineStr">
        <is>
          <t>Planned</t>
        </is>
      </c>
    </row>
    <row r="233" ht="15" customHeight="1" s="5">
      <c r="A233" s="7" t="inlineStr">
        <is>
          <t>PRJ029</t>
        </is>
      </c>
      <c r="B233" s="7" t="inlineStr">
        <is>
          <t>Handover</t>
        </is>
      </c>
      <c r="C233" s="8" t="n">
        <v>46291</v>
      </c>
      <c r="D233" s="8" t="n">
        <v>46336</v>
      </c>
      <c r="G233" s="7" t="n">
        <v>249250</v>
      </c>
      <c r="H233" s="7" t="n">
        <v>248872</v>
      </c>
      <c r="I233" s="7" t="n">
        <v>0</v>
      </c>
      <c r="J233" s="7" t="inlineStr">
        <is>
          <t>Planned</t>
        </is>
      </c>
    </row>
    <row r="234" ht="15" customHeight="1" s="5">
      <c r="A234" s="7" t="inlineStr">
        <is>
          <t>PRJ030</t>
        </is>
      </c>
      <c r="B234" s="7" t="inlineStr">
        <is>
          <t>Discovery</t>
        </is>
      </c>
      <c r="C234" s="8" t="n">
        <v>45787</v>
      </c>
      <c r="D234" s="8" t="n">
        <v>45851</v>
      </c>
      <c r="E234" s="8" t="n">
        <v>45787</v>
      </c>
      <c r="F234" s="8" t="n">
        <v>45851</v>
      </c>
      <c r="G234" s="7" t="n">
        <v>139326</v>
      </c>
      <c r="H234" s="7" t="n">
        <v>157305</v>
      </c>
      <c r="I234" s="7" t="n">
        <v>94378</v>
      </c>
      <c r="J234" s="7" t="inlineStr">
        <is>
          <t>Complete</t>
        </is>
      </c>
    </row>
    <row r="235" ht="15" customHeight="1" s="5">
      <c r="A235" s="7" t="inlineStr">
        <is>
          <t>PRJ030</t>
        </is>
      </c>
      <c r="B235" s="7" t="inlineStr">
        <is>
          <t>Business Case / Seed Funding</t>
        </is>
      </c>
      <c r="C235" s="8" t="n">
        <v>45851</v>
      </c>
      <c r="D235" s="8" t="n">
        <v>45915</v>
      </c>
      <c r="E235" s="8" t="n">
        <v>45851</v>
      </c>
      <c r="F235" s="8" t="n">
        <v>45915</v>
      </c>
      <c r="G235" s="7" t="n">
        <v>139326</v>
      </c>
      <c r="H235" s="7" t="n">
        <v>138509</v>
      </c>
      <c r="I235" s="7" t="n">
        <v>69014</v>
      </c>
      <c r="J235" s="7" t="inlineStr">
        <is>
          <t>Complete</t>
        </is>
      </c>
    </row>
    <row r="236" ht="15" customHeight="1" s="5">
      <c r="A236" s="7" t="inlineStr">
        <is>
          <t>PRJ030</t>
        </is>
      </c>
      <c r="B236" s="7" t="inlineStr">
        <is>
          <t>Design</t>
        </is>
      </c>
      <c r="C236" s="8" t="n">
        <v>45915</v>
      </c>
      <c r="D236" s="8" t="n">
        <v>45979</v>
      </c>
      <c r="E236" s="8" t="n">
        <v>45915</v>
      </c>
      <c r="F236" s="8" t="n">
        <v>45979</v>
      </c>
      <c r="G236" s="7" t="n">
        <v>139326</v>
      </c>
      <c r="H236" s="7" t="n">
        <v>148347</v>
      </c>
      <c r="I236" s="7" t="n">
        <v>84270</v>
      </c>
      <c r="J236" s="7" t="inlineStr">
        <is>
          <t>Complete</t>
        </is>
      </c>
    </row>
    <row r="237" ht="15" customHeight="1" s="5">
      <c r="A237" s="7" t="inlineStr">
        <is>
          <t>PRJ030</t>
        </is>
      </c>
      <c r="B237" s="7" t="inlineStr">
        <is>
          <t>Business Case / Full Funding</t>
        </is>
      </c>
      <c r="C237" s="8" t="n">
        <v>45979</v>
      </c>
      <c r="D237" s="8" t="n">
        <v>46043</v>
      </c>
      <c r="E237" s="8" t="n">
        <v>45979</v>
      </c>
      <c r="F237" s="8" t="n">
        <v>46043</v>
      </c>
      <c r="G237" s="7" t="n">
        <v>139326</v>
      </c>
      <c r="H237" s="7" t="n">
        <v>157697</v>
      </c>
      <c r="I237" s="7" t="n">
        <v>113435</v>
      </c>
      <c r="J237" s="7" t="inlineStr">
        <is>
          <t>Complete</t>
        </is>
      </c>
    </row>
    <row r="238" ht="15" customHeight="1" s="5">
      <c r="A238" s="7" t="inlineStr">
        <is>
          <t>PRJ030</t>
        </is>
      </c>
      <c r="B238" s="7" t="inlineStr">
        <is>
          <t>Build</t>
        </is>
      </c>
      <c r="C238" s="8" t="n">
        <v>46043</v>
      </c>
      <c r="D238" s="8" t="n">
        <v>46107</v>
      </c>
      <c r="E238" s="8" t="n">
        <v>46043</v>
      </c>
      <c r="F238" s="8" t="n">
        <v>46107</v>
      </c>
      <c r="G238" s="7" t="n">
        <v>139326</v>
      </c>
      <c r="H238" s="7" t="n">
        <v>143695</v>
      </c>
      <c r="I238" s="7" t="n">
        <v>18933</v>
      </c>
      <c r="J238" s="7" t="inlineStr">
        <is>
          <t>Complete</t>
        </is>
      </c>
    </row>
    <row r="239" ht="15" customHeight="1" s="5">
      <c r="A239" s="7" t="inlineStr">
        <is>
          <t>PRJ030</t>
        </is>
      </c>
      <c r="B239" s="7" t="inlineStr">
        <is>
          <t>Testing</t>
        </is>
      </c>
      <c r="C239" s="8" t="n">
        <v>46107</v>
      </c>
      <c r="D239" s="8" t="n">
        <v>46171</v>
      </c>
      <c r="E239" s="8" t="n">
        <v>46107</v>
      </c>
      <c r="F239" s="8" t="n">
        <v>46171</v>
      </c>
      <c r="G239" s="7" t="n">
        <v>139326</v>
      </c>
      <c r="H239" s="7" t="n">
        <v>136682</v>
      </c>
      <c r="I239" s="7" t="n">
        <v>139738</v>
      </c>
      <c r="J239" s="7" t="inlineStr">
        <is>
          <t>Complete</t>
        </is>
      </c>
    </row>
    <row r="240" ht="15" customHeight="1" s="5">
      <c r="A240" s="7" t="inlineStr">
        <is>
          <t>PRJ030</t>
        </is>
      </c>
      <c r="B240" s="7" t="inlineStr">
        <is>
          <t>Deployment</t>
        </is>
      </c>
      <c r="C240" s="8" t="n">
        <v>46171</v>
      </c>
      <c r="D240" s="8" t="n">
        <v>46235</v>
      </c>
      <c r="E240" s="8" t="n">
        <v>46171</v>
      </c>
      <c r="G240" s="7" t="n">
        <v>139326</v>
      </c>
      <c r="H240" s="7" t="n">
        <v>137518</v>
      </c>
      <c r="I240" s="7" t="n">
        <v>90332</v>
      </c>
      <c r="J240" s="7" t="inlineStr">
        <is>
          <t>In Progress</t>
        </is>
      </c>
    </row>
    <row r="241" ht="15" customHeight="1" s="5">
      <c r="A241" s="7" t="inlineStr">
        <is>
          <t>PRJ030</t>
        </is>
      </c>
      <c r="B241" s="7" t="inlineStr">
        <is>
          <t>Handover</t>
        </is>
      </c>
      <c r="C241" s="8" t="n">
        <v>46235</v>
      </c>
      <c r="D241" s="8" t="n">
        <v>46299</v>
      </c>
      <c r="G241" s="7" t="n">
        <v>139326</v>
      </c>
      <c r="H241" s="7" t="n">
        <v>139458</v>
      </c>
      <c r="I241" s="7" t="n">
        <v>0</v>
      </c>
      <c r="J241" s="7" t="inlineStr">
        <is>
          <t>Planned</t>
        </is>
      </c>
    </row>
    <row r="242" ht="15" customHeight="1" s="5">
      <c r="A242" s="7" t="inlineStr">
        <is>
          <t>PRJ031</t>
        </is>
      </c>
      <c r="B242" s="7" t="inlineStr">
        <is>
          <t>Discovery</t>
        </is>
      </c>
      <c r="C242" s="8" t="n">
        <v>45896</v>
      </c>
      <c r="D242" s="8" t="n">
        <v>45952</v>
      </c>
      <c r="E242" s="8" t="n">
        <v>45896</v>
      </c>
      <c r="F242" s="8" t="n">
        <v>45952</v>
      </c>
      <c r="G242" s="7" t="n">
        <v>109688</v>
      </c>
      <c r="H242" s="7" t="n">
        <v>99952</v>
      </c>
      <c r="I242" s="7" t="n">
        <v>98131</v>
      </c>
      <c r="J242" s="7" t="inlineStr">
        <is>
          <t>Complete</t>
        </is>
      </c>
    </row>
    <row r="243" ht="15" customHeight="1" s="5">
      <c r="A243" s="7" t="inlineStr">
        <is>
          <t>PRJ031</t>
        </is>
      </c>
      <c r="B243" s="7" t="inlineStr">
        <is>
          <t>Business Case / Seed Funding</t>
        </is>
      </c>
      <c r="C243" s="8" t="n">
        <v>45952</v>
      </c>
      <c r="D243" s="8" t="n">
        <v>46008</v>
      </c>
      <c r="E243" s="8" t="n">
        <v>45952</v>
      </c>
      <c r="F243" s="8" t="n">
        <v>46008</v>
      </c>
      <c r="G243" s="7" t="n">
        <v>109688</v>
      </c>
      <c r="H243" s="7" t="n">
        <v>103085</v>
      </c>
      <c r="I243" s="7" t="n">
        <v>11119</v>
      </c>
      <c r="J243" s="7" t="inlineStr">
        <is>
          <t>Complete</t>
        </is>
      </c>
    </row>
    <row r="244" ht="15" customHeight="1" s="5">
      <c r="A244" s="7" t="inlineStr">
        <is>
          <t>PRJ031</t>
        </is>
      </c>
      <c r="B244" s="7" t="inlineStr">
        <is>
          <t>Design</t>
        </is>
      </c>
      <c r="C244" s="8" t="n">
        <v>46008</v>
      </c>
      <c r="D244" s="8" t="n">
        <v>46064</v>
      </c>
      <c r="E244" s="8" t="n">
        <v>46008</v>
      </c>
      <c r="F244" s="8" t="n">
        <v>46064</v>
      </c>
      <c r="G244" s="7" t="n">
        <v>109688</v>
      </c>
      <c r="H244" s="7" t="n">
        <v>101632</v>
      </c>
      <c r="I244" s="7" t="n">
        <v>107598</v>
      </c>
      <c r="J244" s="7" t="inlineStr">
        <is>
          <t>Complete</t>
        </is>
      </c>
    </row>
    <row r="245" ht="15" customHeight="1" s="5">
      <c r="A245" s="7" t="inlineStr">
        <is>
          <t>PRJ031</t>
        </is>
      </c>
      <c r="B245" s="7" t="inlineStr">
        <is>
          <t>Business Case / Full Funding</t>
        </is>
      </c>
      <c r="C245" s="8" t="n">
        <v>46064</v>
      </c>
      <c r="D245" s="8" t="n">
        <v>46120</v>
      </c>
      <c r="E245" s="8" t="n">
        <v>46064</v>
      </c>
      <c r="F245" s="8" t="n">
        <v>46120</v>
      </c>
      <c r="G245" s="7" t="n">
        <v>109688</v>
      </c>
      <c r="H245" s="7" t="n">
        <v>111784</v>
      </c>
      <c r="I245" s="7" t="n">
        <v>87521</v>
      </c>
      <c r="J245" s="7" t="inlineStr">
        <is>
          <t>Complete</t>
        </is>
      </c>
    </row>
    <row r="246" ht="15" customHeight="1" s="5">
      <c r="A246" s="7" t="inlineStr">
        <is>
          <t>PRJ031</t>
        </is>
      </c>
      <c r="B246" s="7" t="inlineStr">
        <is>
          <t>Build</t>
        </is>
      </c>
      <c r="C246" s="8" t="n">
        <v>46120</v>
      </c>
      <c r="D246" s="8" t="n">
        <v>46176</v>
      </c>
      <c r="E246" s="8" t="n">
        <v>46120</v>
      </c>
      <c r="F246" s="8" t="n">
        <v>46176</v>
      </c>
      <c r="G246" s="7" t="n">
        <v>109688</v>
      </c>
      <c r="H246" s="7" t="n">
        <v>125630</v>
      </c>
      <c r="I246" s="7" t="n">
        <v>93124</v>
      </c>
      <c r="J246" s="7" t="inlineStr">
        <is>
          <t>Complete</t>
        </is>
      </c>
    </row>
    <row r="247" ht="15" customHeight="1" s="5">
      <c r="A247" s="7" t="inlineStr">
        <is>
          <t>PRJ031</t>
        </is>
      </c>
      <c r="B247" s="7" t="inlineStr">
        <is>
          <t>Testing</t>
        </is>
      </c>
      <c r="C247" s="8" t="n">
        <v>46176</v>
      </c>
      <c r="D247" s="8" t="n">
        <v>46232</v>
      </c>
      <c r="E247" s="8" t="n">
        <v>46176</v>
      </c>
      <c r="G247" s="7" t="n">
        <v>109688</v>
      </c>
      <c r="H247" s="7" t="n">
        <v>118810</v>
      </c>
      <c r="I247" s="7" t="n">
        <v>27252</v>
      </c>
      <c r="J247" s="7" t="inlineStr">
        <is>
          <t>In Progress</t>
        </is>
      </c>
    </row>
    <row r="248" ht="15" customHeight="1" s="5">
      <c r="A248" s="7" t="inlineStr">
        <is>
          <t>PRJ031</t>
        </is>
      </c>
      <c r="B248" s="7" t="inlineStr">
        <is>
          <t>Deployment</t>
        </is>
      </c>
      <c r="C248" s="8" t="n">
        <v>46232</v>
      </c>
      <c r="D248" s="8" t="n">
        <v>46288</v>
      </c>
      <c r="G248" s="7" t="n">
        <v>109688</v>
      </c>
      <c r="H248" s="7" t="n">
        <v>123394</v>
      </c>
      <c r="I248" s="7" t="n">
        <v>0</v>
      </c>
      <c r="J248" s="7" t="inlineStr">
        <is>
          <t>Planned</t>
        </is>
      </c>
    </row>
    <row r="249" ht="15" customHeight="1" s="5">
      <c r="A249" s="7" t="inlineStr">
        <is>
          <t>PRJ031</t>
        </is>
      </c>
      <c r="B249" s="7" t="inlineStr">
        <is>
          <t>Handover</t>
        </is>
      </c>
      <c r="C249" s="8" t="n">
        <v>46288</v>
      </c>
      <c r="D249" s="8" t="n">
        <v>46344</v>
      </c>
      <c r="G249" s="7" t="n">
        <v>109688</v>
      </c>
      <c r="H249" s="7" t="n">
        <v>103491</v>
      </c>
      <c r="I249" s="7" t="n">
        <v>0</v>
      </c>
      <c r="J249" s="7" t="inlineStr">
        <is>
          <t>Planned</t>
        </is>
      </c>
    </row>
    <row r="250" ht="15" customHeight="1" s="5">
      <c r="A250" s="7" t="inlineStr">
        <is>
          <t>PRJ032</t>
        </is>
      </c>
      <c r="B250" s="7" t="inlineStr">
        <is>
          <t>Discovery</t>
        </is>
      </c>
      <c r="C250" s="8" t="n">
        <v>46011</v>
      </c>
      <c r="D250" s="8" t="n">
        <v>46075</v>
      </c>
      <c r="E250" s="8" t="n">
        <v>46011</v>
      </c>
      <c r="F250" s="8" t="n">
        <v>46075</v>
      </c>
      <c r="G250" s="7" t="n">
        <v>465332</v>
      </c>
      <c r="H250" s="7" t="n">
        <v>522623</v>
      </c>
      <c r="I250" s="7" t="n">
        <v>369290</v>
      </c>
      <c r="J250" s="7" t="inlineStr">
        <is>
          <t>Complete</t>
        </is>
      </c>
    </row>
    <row r="251" ht="15" customHeight="1" s="5">
      <c r="A251" s="7" t="inlineStr">
        <is>
          <t>PRJ032</t>
        </is>
      </c>
      <c r="B251" s="7" t="inlineStr">
        <is>
          <t>Business Case / Seed Funding</t>
        </is>
      </c>
      <c r="C251" s="8" t="n">
        <v>46075</v>
      </c>
      <c r="D251" s="8" t="n">
        <v>46139</v>
      </c>
      <c r="E251" s="8" t="n">
        <v>46075</v>
      </c>
      <c r="F251" s="8" t="n">
        <v>46139</v>
      </c>
      <c r="G251" s="7" t="n">
        <v>465332</v>
      </c>
      <c r="H251" s="7" t="n">
        <v>467666</v>
      </c>
      <c r="I251" s="7" t="n">
        <v>31451</v>
      </c>
      <c r="J251" s="7" t="inlineStr">
        <is>
          <t>Complete</t>
        </is>
      </c>
    </row>
    <row r="252" ht="15" customHeight="1" s="5">
      <c r="A252" s="7" t="inlineStr">
        <is>
          <t>PRJ032</t>
        </is>
      </c>
      <c r="B252" s="7" t="inlineStr">
        <is>
          <t>Design</t>
        </is>
      </c>
      <c r="C252" s="8" t="n">
        <v>46139</v>
      </c>
      <c r="D252" s="8" t="n">
        <v>46203</v>
      </c>
      <c r="E252" s="8" t="n">
        <v>46139</v>
      </c>
      <c r="F252" s="8" t="n">
        <v>46203</v>
      </c>
      <c r="G252" s="7" t="n">
        <v>465332</v>
      </c>
      <c r="H252" s="7" t="n">
        <v>489984</v>
      </c>
      <c r="I252" s="7" t="n">
        <v>55932</v>
      </c>
      <c r="J252" s="7" t="inlineStr">
        <is>
          <t>Complete</t>
        </is>
      </c>
    </row>
    <row r="253" ht="15" customHeight="1" s="5">
      <c r="A253" s="7" t="inlineStr">
        <is>
          <t>PRJ032</t>
        </is>
      </c>
      <c r="B253" s="7" t="inlineStr">
        <is>
          <t>Business Case / Full Funding</t>
        </is>
      </c>
      <c r="C253" s="8" t="n">
        <v>46203</v>
      </c>
      <c r="D253" s="8" t="n">
        <v>46267</v>
      </c>
      <c r="E253" s="8" t="n">
        <v>46203</v>
      </c>
      <c r="G253" s="7" t="n">
        <v>465332</v>
      </c>
      <c r="H253" s="7" t="n">
        <v>517310</v>
      </c>
      <c r="I253" s="7" t="n">
        <v>35610</v>
      </c>
      <c r="J253" s="7" t="inlineStr">
        <is>
          <t>In Progress</t>
        </is>
      </c>
    </row>
    <row r="254" ht="15" customHeight="1" s="5">
      <c r="A254" s="7" t="inlineStr">
        <is>
          <t>PRJ032</t>
        </is>
      </c>
      <c r="B254" s="7" t="inlineStr">
        <is>
          <t>Build</t>
        </is>
      </c>
      <c r="C254" s="8" t="n">
        <v>46267</v>
      </c>
      <c r="D254" s="8" t="n">
        <v>46331</v>
      </c>
      <c r="G254" s="7" t="n">
        <v>465332</v>
      </c>
      <c r="H254" s="7" t="n">
        <v>507602</v>
      </c>
      <c r="I254" s="7" t="n">
        <v>0</v>
      </c>
      <c r="J254" s="7" t="inlineStr">
        <is>
          <t>Planned</t>
        </is>
      </c>
    </row>
    <row r="255" ht="15" customHeight="1" s="5">
      <c r="A255" s="7" t="inlineStr">
        <is>
          <t>PRJ032</t>
        </is>
      </c>
      <c r="B255" s="7" t="inlineStr">
        <is>
          <t>Testing</t>
        </is>
      </c>
      <c r="C255" s="8" t="n">
        <v>46331</v>
      </c>
      <c r="D255" s="8" t="n">
        <v>46395</v>
      </c>
      <c r="G255" s="7" t="n">
        <v>465332</v>
      </c>
      <c r="H255" s="7" t="n">
        <v>489359</v>
      </c>
      <c r="I255" s="7" t="n">
        <v>0</v>
      </c>
      <c r="J255" s="7" t="inlineStr">
        <is>
          <t>Planned</t>
        </is>
      </c>
    </row>
    <row r="256" ht="15" customHeight="1" s="5">
      <c r="A256" s="7" t="inlineStr">
        <is>
          <t>PRJ032</t>
        </is>
      </c>
      <c r="B256" s="7" t="inlineStr">
        <is>
          <t>Deployment</t>
        </is>
      </c>
      <c r="C256" s="8" t="n">
        <v>46395</v>
      </c>
      <c r="D256" s="8" t="n">
        <v>46459</v>
      </c>
      <c r="G256" s="7" t="n">
        <v>465332</v>
      </c>
      <c r="H256" s="7" t="n">
        <v>516598</v>
      </c>
      <c r="I256" s="7" t="n">
        <v>0</v>
      </c>
      <c r="J256" s="7" t="inlineStr">
        <is>
          <t>Planned</t>
        </is>
      </c>
    </row>
    <row r="257" ht="15" customHeight="1" s="5">
      <c r="A257" s="7" t="inlineStr">
        <is>
          <t>PRJ032</t>
        </is>
      </c>
      <c r="B257" s="7" t="inlineStr">
        <is>
          <t>Handover</t>
        </is>
      </c>
      <c r="C257" s="8" t="n">
        <v>46459</v>
      </c>
      <c r="D257" s="8" t="n">
        <v>46523</v>
      </c>
      <c r="G257" s="7" t="n">
        <v>465332</v>
      </c>
      <c r="H257" s="7" t="n">
        <v>526239</v>
      </c>
      <c r="I257" s="7" t="n">
        <v>0</v>
      </c>
      <c r="J257" s="7" t="inlineStr">
        <is>
          <t>Planned</t>
        </is>
      </c>
    </row>
    <row r="258" ht="15" customHeight="1" s="5">
      <c r="A258" s="7" t="inlineStr">
        <is>
          <t>PRJ033</t>
        </is>
      </c>
      <c r="B258" s="7" t="inlineStr">
        <is>
          <t>Discovery</t>
        </is>
      </c>
      <c r="C258" s="8" t="n">
        <v>45983</v>
      </c>
      <c r="D258" s="8" t="n">
        <v>46051</v>
      </c>
      <c r="E258" s="8" t="n">
        <v>45983</v>
      </c>
      <c r="F258" s="8" t="n">
        <v>46051</v>
      </c>
      <c r="G258" s="7" t="n">
        <v>193153</v>
      </c>
      <c r="H258" s="7" t="n">
        <v>189346</v>
      </c>
      <c r="I258" s="7" t="n">
        <v>141709</v>
      </c>
      <c r="J258" s="7" t="inlineStr">
        <is>
          <t>Complete</t>
        </is>
      </c>
    </row>
    <row r="259" ht="15" customHeight="1" s="5">
      <c r="A259" s="7" t="inlineStr">
        <is>
          <t>PRJ033</t>
        </is>
      </c>
      <c r="B259" s="7" t="inlineStr">
        <is>
          <t>Business Case / Seed Funding</t>
        </is>
      </c>
      <c r="C259" s="8" t="n">
        <v>46051</v>
      </c>
      <c r="D259" s="8" t="n">
        <v>46119</v>
      </c>
      <c r="E259" s="8" t="n">
        <v>46051</v>
      </c>
      <c r="F259" s="8" t="n">
        <v>46119</v>
      </c>
      <c r="G259" s="7" t="n">
        <v>193153</v>
      </c>
      <c r="H259" s="7" t="n">
        <v>192073</v>
      </c>
      <c r="I259" s="7" t="n">
        <v>200554</v>
      </c>
      <c r="J259" s="7" t="inlineStr">
        <is>
          <t>Complete</t>
        </is>
      </c>
    </row>
    <row r="260" ht="15" customHeight="1" s="5">
      <c r="A260" s="7" t="inlineStr">
        <is>
          <t>PRJ033</t>
        </is>
      </c>
      <c r="B260" s="7" t="inlineStr">
        <is>
          <t>Design</t>
        </is>
      </c>
      <c r="C260" s="8" t="n">
        <v>46119</v>
      </c>
      <c r="D260" s="8" t="n">
        <v>46187</v>
      </c>
      <c r="E260" s="8" t="n">
        <v>46119</v>
      </c>
      <c r="F260" s="8" t="n">
        <v>46187</v>
      </c>
      <c r="G260" s="7" t="n">
        <v>193153</v>
      </c>
      <c r="H260" s="7" t="n">
        <v>201545</v>
      </c>
      <c r="I260" s="7" t="n">
        <v>40508</v>
      </c>
      <c r="J260" s="7" t="inlineStr">
        <is>
          <t>Complete</t>
        </is>
      </c>
    </row>
    <row r="261" ht="15" customHeight="1" s="5">
      <c r="A261" s="7" t="inlineStr">
        <is>
          <t>PRJ033</t>
        </is>
      </c>
      <c r="B261" s="7" t="inlineStr">
        <is>
          <t>Business Case / Full Funding</t>
        </is>
      </c>
      <c r="C261" s="8" t="n">
        <v>46187</v>
      </c>
      <c r="D261" s="8" t="n">
        <v>46255</v>
      </c>
      <c r="E261" s="8" t="n">
        <v>46187</v>
      </c>
      <c r="G261" s="7" t="n">
        <v>193153</v>
      </c>
      <c r="H261" s="7" t="n">
        <v>186030</v>
      </c>
      <c r="I261" s="7" t="n">
        <v>88733</v>
      </c>
      <c r="J261" s="7" t="inlineStr">
        <is>
          <t>In Progress</t>
        </is>
      </c>
    </row>
    <row r="262" ht="15" customHeight="1" s="5">
      <c r="A262" s="7" t="inlineStr">
        <is>
          <t>PRJ033</t>
        </is>
      </c>
      <c r="B262" s="7" t="inlineStr">
        <is>
          <t>Build</t>
        </is>
      </c>
      <c r="C262" s="8" t="n">
        <v>46255</v>
      </c>
      <c r="D262" s="8" t="n">
        <v>46323</v>
      </c>
      <c r="G262" s="7" t="n">
        <v>193153</v>
      </c>
      <c r="H262" s="7" t="n">
        <v>187653</v>
      </c>
      <c r="I262" s="7" t="n">
        <v>0</v>
      </c>
      <c r="J262" s="7" t="inlineStr">
        <is>
          <t>Planned</t>
        </is>
      </c>
    </row>
    <row r="263" ht="15" customHeight="1" s="5">
      <c r="A263" s="7" t="inlineStr">
        <is>
          <t>PRJ033</t>
        </is>
      </c>
      <c r="B263" s="7" t="inlineStr">
        <is>
          <t>Testing</t>
        </is>
      </c>
      <c r="C263" s="8" t="n">
        <v>46323</v>
      </c>
      <c r="D263" s="8" t="n">
        <v>46391</v>
      </c>
      <c r="G263" s="7" t="n">
        <v>193153</v>
      </c>
      <c r="H263" s="7" t="n">
        <v>183553</v>
      </c>
      <c r="I263" s="7" t="n">
        <v>0</v>
      </c>
      <c r="J263" s="7" t="inlineStr">
        <is>
          <t>Planned</t>
        </is>
      </c>
    </row>
    <row r="264" ht="15" customHeight="1" s="5">
      <c r="A264" s="7" t="inlineStr">
        <is>
          <t>PRJ033</t>
        </is>
      </c>
      <c r="B264" s="7" t="inlineStr">
        <is>
          <t>Deployment</t>
        </is>
      </c>
      <c r="C264" s="8" t="n">
        <v>46391</v>
      </c>
      <c r="D264" s="8" t="n">
        <v>46459</v>
      </c>
      <c r="G264" s="7" t="n">
        <v>193153</v>
      </c>
      <c r="H264" s="7" t="n">
        <v>181665</v>
      </c>
      <c r="I264" s="7" t="n">
        <v>0</v>
      </c>
      <c r="J264" s="7" t="inlineStr">
        <is>
          <t>Planned</t>
        </is>
      </c>
    </row>
    <row r="265" ht="15" customHeight="1" s="5">
      <c r="A265" s="7" t="inlineStr">
        <is>
          <t>PRJ033</t>
        </is>
      </c>
      <c r="B265" s="7" t="inlineStr">
        <is>
          <t>Handover</t>
        </is>
      </c>
      <c r="C265" s="8" t="n">
        <v>46459</v>
      </c>
      <c r="D265" s="8" t="n">
        <v>46527</v>
      </c>
      <c r="G265" s="7" t="n">
        <v>193153</v>
      </c>
      <c r="H265" s="7" t="n">
        <v>213137</v>
      </c>
      <c r="I265" s="7" t="n">
        <v>0</v>
      </c>
      <c r="J265" s="7" t="inlineStr">
        <is>
          <t>Planned</t>
        </is>
      </c>
    </row>
    <row r="266" ht="15" customHeight="1" s="5">
      <c r="A266" s="7" t="inlineStr">
        <is>
          <t>PRJ034</t>
        </is>
      </c>
      <c r="B266" s="7" t="inlineStr">
        <is>
          <t>Discovery</t>
        </is>
      </c>
      <c r="C266" s="8" t="n">
        <v>45970</v>
      </c>
      <c r="D266" s="8" t="n">
        <v>46024</v>
      </c>
      <c r="E266" s="8" t="n">
        <v>45970</v>
      </c>
      <c r="F266" s="8" t="n">
        <v>46024</v>
      </c>
      <c r="G266" s="7" t="n">
        <v>169624</v>
      </c>
      <c r="H266" s="7" t="n">
        <v>186954</v>
      </c>
      <c r="I266" s="7" t="n">
        <v>34249</v>
      </c>
      <c r="J266" s="7" t="inlineStr">
        <is>
          <t>Complete</t>
        </is>
      </c>
    </row>
    <row r="267" ht="15" customHeight="1" s="5">
      <c r="A267" s="7" t="inlineStr">
        <is>
          <t>PRJ034</t>
        </is>
      </c>
      <c r="B267" s="7" t="inlineStr">
        <is>
          <t>Business Case / Seed Funding</t>
        </is>
      </c>
      <c r="C267" s="8" t="n">
        <v>46024</v>
      </c>
      <c r="D267" s="8" t="n">
        <v>46078</v>
      </c>
      <c r="E267" s="8" t="n">
        <v>46024</v>
      </c>
      <c r="F267" s="8" t="n">
        <v>46078</v>
      </c>
      <c r="G267" s="7" t="n">
        <v>169624</v>
      </c>
      <c r="H267" s="7" t="n">
        <v>177346</v>
      </c>
      <c r="I267" s="7" t="n">
        <v>112048</v>
      </c>
      <c r="J267" s="7" t="inlineStr">
        <is>
          <t>Complete</t>
        </is>
      </c>
    </row>
    <row r="268" ht="15" customHeight="1" s="5">
      <c r="A268" s="7" t="inlineStr">
        <is>
          <t>PRJ034</t>
        </is>
      </c>
      <c r="B268" s="7" t="inlineStr">
        <is>
          <t>Design</t>
        </is>
      </c>
      <c r="C268" s="8" t="n">
        <v>46078</v>
      </c>
      <c r="D268" s="8" t="n">
        <v>46132</v>
      </c>
      <c r="E268" s="8" t="n">
        <v>46078</v>
      </c>
      <c r="F268" s="8" t="n">
        <v>46132</v>
      </c>
      <c r="G268" s="7" t="n">
        <v>169624</v>
      </c>
      <c r="H268" s="7" t="n">
        <v>181016</v>
      </c>
      <c r="I268" s="7" t="n">
        <v>36251</v>
      </c>
      <c r="J268" s="7" t="inlineStr">
        <is>
          <t>Complete</t>
        </is>
      </c>
    </row>
    <row r="269" ht="15" customHeight="1" s="5">
      <c r="A269" s="7" t="inlineStr">
        <is>
          <t>PRJ034</t>
        </is>
      </c>
      <c r="B269" s="7" t="inlineStr">
        <is>
          <t>Business Case / Full Funding</t>
        </is>
      </c>
      <c r="C269" s="8" t="n">
        <v>46132</v>
      </c>
      <c r="D269" s="8" t="n">
        <v>46186</v>
      </c>
      <c r="E269" s="8" t="n">
        <v>46132</v>
      </c>
      <c r="F269" s="8" t="n">
        <v>46186</v>
      </c>
      <c r="G269" s="7" t="n">
        <v>169624</v>
      </c>
      <c r="H269" s="7" t="n">
        <v>187010</v>
      </c>
      <c r="I269" s="7" t="n">
        <v>159099</v>
      </c>
      <c r="J269" s="7" t="inlineStr">
        <is>
          <t>Complete</t>
        </is>
      </c>
    </row>
    <row r="270" ht="15" customHeight="1" s="5">
      <c r="A270" s="7" t="inlineStr">
        <is>
          <t>PRJ034</t>
        </is>
      </c>
      <c r="B270" s="7" t="inlineStr">
        <is>
          <t>Build</t>
        </is>
      </c>
      <c r="C270" s="8" t="n">
        <v>46186</v>
      </c>
      <c r="D270" s="8" t="n">
        <v>46240</v>
      </c>
      <c r="E270" s="8" t="n">
        <v>46186</v>
      </c>
      <c r="G270" s="7" t="n">
        <v>169624</v>
      </c>
      <c r="H270" s="7" t="n">
        <v>167909</v>
      </c>
      <c r="I270" s="7" t="n">
        <v>72672</v>
      </c>
      <c r="J270" s="7" t="inlineStr">
        <is>
          <t>In Progress</t>
        </is>
      </c>
    </row>
    <row r="271" ht="15" customHeight="1" s="5">
      <c r="A271" s="7" t="inlineStr">
        <is>
          <t>PRJ034</t>
        </is>
      </c>
      <c r="B271" s="7" t="inlineStr">
        <is>
          <t>Testing</t>
        </is>
      </c>
      <c r="C271" s="8" t="n">
        <v>46240</v>
      </c>
      <c r="D271" s="8" t="n">
        <v>46294</v>
      </c>
      <c r="G271" s="7" t="n">
        <v>169624</v>
      </c>
      <c r="H271" s="7" t="n">
        <v>175839</v>
      </c>
      <c r="I271" s="7" t="n">
        <v>0</v>
      </c>
      <c r="J271" s="7" t="inlineStr">
        <is>
          <t>Planned</t>
        </is>
      </c>
    </row>
    <row r="272" ht="15" customHeight="1" s="5">
      <c r="A272" s="7" t="inlineStr">
        <is>
          <t>PRJ034</t>
        </is>
      </c>
      <c r="B272" s="7" t="inlineStr">
        <is>
          <t>Deployment</t>
        </is>
      </c>
      <c r="C272" s="8" t="n">
        <v>46294</v>
      </c>
      <c r="D272" s="8" t="n">
        <v>46348</v>
      </c>
      <c r="G272" s="7" t="n">
        <v>169624</v>
      </c>
      <c r="H272" s="7" t="n">
        <v>155713</v>
      </c>
      <c r="I272" s="7" t="n">
        <v>0</v>
      </c>
      <c r="J272" s="7" t="inlineStr">
        <is>
          <t>Planned</t>
        </is>
      </c>
    </row>
    <row r="273" ht="15" customHeight="1" s="5">
      <c r="A273" s="7" t="inlineStr">
        <is>
          <t>PRJ034</t>
        </is>
      </c>
      <c r="B273" s="7" t="inlineStr">
        <is>
          <t>Handover</t>
        </is>
      </c>
      <c r="C273" s="8" t="n">
        <v>46348</v>
      </c>
      <c r="D273" s="8" t="n">
        <v>46402</v>
      </c>
      <c r="G273" s="7" t="n">
        <v>169624</v>
      </c>
      <c r="H273" s="7" t="n">
        <v>160519</v>
      </c>
      <c r="I273" s="7" t="n">
        <v>0</v>
      </c>
      <c r="J273" s="7" t="inlineStr">
        <is>
          <t>Planned</t>
        </is>
      </c>
    </row>
    <row r="274" ht="15" customHeight="1" s="5">
      <c r="A274" s="7" t="inlineStr">
        <is>
          <t>PRJ035</t>
        </is>
      </c>
      <c r="B274" s="7" t="inlineStr">
        <is>
          <t>Discovery</t>
        </is>
      </c>
      <c r="C274" s="8" t="n">
        <v>45781</v>
      </c>
      <c r="D274" s="8" t="n">
        <v>45836</v>
      </c>
      <c r="E274" s="8" t="n">
        <v>45781</v>
      </c>
      <c r="F274" s="8" t="n">
        <v>45836</v>
      </c>
      <c r="G274" s="7" t="n">
        <v>441552</v>
      </c>
      <c r="H274" s="7" t="n">
        <v>477978</v>
      </c>
      <c r="I274" s="7" t="n">
        <v>422362</v>
      </c>
      <c r="J274" s="7" t="inlineStr">
        <is>
          <t>Complete</t>
        </is>
      </c>
    </row>
    <row r="275" ht="15" customHeight="1" s="5">
      <c r="A275" s="7" t="inlineStr">
        <is>
          <t>PRJ035</t>
        </is>
      </c>
      <c r="B275" s="7" t="inlineStr">
        <is>
          <t>Business Case / Seed Funding</t>
        </is>
      </c>
      <c r="C275" s="8" t="n">
        <v>45836</v>
      </c>
      <c r="D275" s="8" t="n">
        <v>45891</v>
      </c>
      <c r="E275" s="8" t="n">
        <v>45836</v>
      </c>
      <c r="F275" s="8" t="n">
        <v>45891</v>
      </c>
      <c r="G275" s="7" t="n">
        <v>441552</v>
      </c>
      <c r="H275" s="7" t="n">
        <v>468292</v>
      </c>
      <c r="I275" s="7" t="n">
        <v>230042</v>
      </c>
      <c r="J275" s="7" t="inlineStr">
        <is>
          <t>Complete</t>
        </is>
      </c>
    </row>
    <row r="276" ht="15" customHeight="1" s="5">
      <c r="A276" s="7" t="inlineStr">
        <is>
          <t>PRJ035</t>
        </is>
      </c>
      <c r="B276" s="7" t="inlineStr">
        <is>
          <t>Design</t>
        </is>
      </c>
      <c r="C276" s="8" t="n">
        <v>45891</v>
      </c>
      <c r="D276" s="8" t="n">
        <v>45946</v>
      </c>
      <c r="E276" s="8" t="n">
        <v>45891</v>
      </c>
      <c r="F276" s="8" t="n">
        <v>45946</v>
      </c>
      <c r="G276" s="7" t="n">
        <v>441552</v>
      </c>
      <c r="H276" s="7" t="n">
        <v>489285</v>
      </c>
      <c r="I276" s="7" t="n">
        <v>264441</v>
      </c>
      <c r="J276" s="7" t="inlineStr">
        <is>
          <t>Complete</t>
        </is>
      </c>
    </row>
    <row r="277" ht="15" customHeight="1" s="5">
      <c r="A277" s="7" t="inlineStr">
        <is>
          <t>PRJ035</t>
        </is>
      </c>
      <c r="B277" s="7" t="inlineStr">
        <is>
          <t>Business Case / Full Funding</t>
        </is>
      </c>
      <c r="C277" s="8" t="n">
        <v>45946</v>
      </c>
      <c r="D277" s="8" t="n">
        <v>46001</v>
      </c>
      <c r="E277" s="8" t="n">
        <v>45946</v>
      </c>
      <c r="F277" s="8" t="n">
        <v>46001</v>
      </c>
      <c r="G277" s="7" t="n">
        <v>441552</v>
      </c>
      <c r="H277" s="7" t="n">
        <v>449692</v>
      </c>
      <c r="I277" s="7" t="n">
        <v>163247</v>
      </c>
      <c r="J277" s="7" t="inlineStr">
        <is>
          <t>Complete</t>
        </is>
      </c>
    </row>
    <row r="278" ht="15" customHeight="1" s="5">
      <c r="A278" s="7" t="inlineStr">
        <is>
          <t>PRJ035</t>
        </is>
      </c>
      <c r="B278" s="7" t="inlineStr">
        <is>
          <t>Build</t>
        </is>
      </c>
      <c r="C278" s="8" t="n">
        <v>46001</v>
      </c>
      <c r="D278" s="8" t="n">
        <v>46056</v>
      </c>
      <c r="E278" s="8" t="n">
        <v>46001</v>
      </c>
      <c r="F278" s="8" t="n">
        <v>46056</v>
      </c>
      <c r="G278" s="7" t="n">
        <v>441552</v>
      </c>
      <c r="H278" s="7" t="n">
        <v>465670</v>
      </c>
      <c r="I278" s="7" t="n">
        <v>259029</v>
      </c>
      <c r="J278" s="7" t="inlineStr">
        <is>
          <t>Complete</t>
        </is>
      </c>
    </row>
    <row r="279" ht="15" customHeight="1" s="5">
      <c r="A279" s="7" t="inlineStr">
        <is>
          <t>PRJ035</t>
        </is>
      </c>
      <c r="B279" s="7" t="inlineStr">
        <is>
          <t>Testing</t>
        </is>
      </c>
      <c r="C279" s="8" t="n">
        <v>46056</v>
      </c>
      <c r="D279" s="8" t="n">
        <v>46111</v>
      </c>
      <c r="E279" s="8" t="n">
        <v>46056</v>
      </c>
      <c r="F279" s="8" t="n">
        <v>46111</v>
      </c>
      <c r="G279" s="7" t="n">
        <v>441552</v>
      </c>
      <c r="H279" s="7" t="n">
        <v>412617</v>
      </c>
      <c r="I279" s="7" t="n">
        <v>31135</v>
      </c>
      <c r="J279" s="7" t="inlineStr">
        <is>
          <t>Complete</t>
        </is>
      </c>
    </row>
    <row r="280" ht="15" customHeight="1" s="5">
      <c r="A280" s="7" t="inlineStr">
        <is>
          <t>PRJ035</t>
        </is>
      </c>
      <c r="B280" s="7" t="inlineStr">
        <is>
          <t>Deployment</t>
        </is>
      </c>
      <c r="C280" s="8" t="n">
        <v>46111</v>
      </c>
      <c r="D280" s="8" t="n">
        <v>46166</v>
      </c>
      <c r="E280" s="8" t="n">
        <v>46111</v>
      </c>
      <c r="F280" s="8" t="n">
        <v>46166</v>
      </c>
      <c r="G280" s="7" t="n">
        <v>441552</v>
      </c>
      <c r="H280" s="7" t="n">
        <v>444589</v>
      </c>
      <c r="I280" s="7" t="n">
        <v>174380</v>
      </c>
      <c r="J280" s="7" t="inlineStr">
        <is>
          <t>Complete</t>
        </is>
      </c>
    </row>
    <row r="281" ht="15" customHeight="1" s="5">
      <c r="A281" s="7" t="inlineStr">
        <is>
          <t>PRJ035</t>
        </is>
      </c>
      <c r="B281" s="7" t="inlineStr">
        <is>
          <t>Handover</t>
        </is>
      </c>
      <c r="C281" s="8" t="n">
        <v>46166</v>
      </c>
      <c r="D281" s="8" t="n">
        <v>46221</v>
      </c>
      <c r="E281" s="8" t="n">
        <v>46166</v>
      </c>
      <c r="G281" s="7" t="n">
        <v>441552</v>
      </c>
      <c r="H281" s="7" t="n">
        <v>405220</v>
      </c>
      <c r="I281" s="7" t="n">
        <v>36230</v>
      </c>
      <c r="J281" s="7" t="inlineStr">
        <is>
          <t>In Progress</t>
        </is>
      </c>
    </row>
    <row r="282" ht="15" customHeight="1" s="5">
      <c r="A282" s="7" t="inlineStr">
        <is>
          <t>PRJ036</t>
        </is>
      </c>
      <c r="B282" s="7" t="inlineStr">
        <is>
          <t>Discovery</t>
        </is>
      </c>
      <c r="C282" s="8" t="n">
        <v>45786</v>
      </c>
      <c r="D282" s="8" t="n">
        <v>45812</v>
      </c>
      <c r="E282" s="8" t="n">
        <v>45786</v>
      </c>
      <c r="F282" s="8" t="n">
        <v>45812</v>
      </c>
      <c r="G282" s="7" t="n">
        <v>282318</v>
      </c>
      <c r="H282" s="7" t="n">
        <v>309307</v>
      </c>
      <c r="I282" s="7" t="n">
        <v>88405</v>
      </c>
      <c r="J282" s="7" t="inlineStr">
        <is>
          <t>Complete</t>
        </is>
      </c>
    </row>
    <row r="283" ht="15" customHeight="1" s="5">
      <c r="A283" s="7" t="inlineStr">
        <is>
          <t>PRJ036</t>
        </is>
      </c>
      <c r="B283" s="7" t="inlineStr">
        <is>
          <t>Business Case / Seed Funding</t>
        </is>
      </c>
      <c r="C283" s="8" t="n">
        <v>45812</v>
      </c>
      <c r="D283" s="8" t="n">
        <v>45838</v>
      </c>
      <c r="E283" s="8" t="n">
        <v>45812</v>
      </c>
      <c r="F283" s="8" t="n">
        <v>45838</v>
      </c>
      <c r="G283" s="7" t="n">
        <v>282318</v>
      </c>
      <c r="H283" s="7" t="n">
        <v>262410</v>
      </c>
      <c r="I283" s="7" t="n">
        <v>68350</v>
      </c>
      <c r="J283" s="7" t="inlineStr">
        <is>
          <t>Complete</t>
        </is>
      </c>
    </row>
    <row r="284" ht="15" customHeight="1" s="5">
      <c r="A284" s="7" t="inlineStr">
        <is>
          <t>PRJ036</t>
        </is>
      </c>
      <c r="B284" s="7" t="inlineStr">
        <is>
          <t>Design</t>
        </is>
      </c>
      <c r="C284" s="8" t="n">
        <v>45838</v>
      </c>
      <c r="D284" s="8" t="n">
        <v>45864</v>
      </c>
      <c r="E284" s="8" t="n">
        <v>45838</v>
      </c>
      <c r="F284" s="8" t="n">
        <v>45864</v>
      </c>
      <c r="G284" s="7" t="n">
        <v>282318</v>
      </c>
      <c r="H284" s="7" t="n">
        <v>296539</v>
      </c>
      <c r="I284" s="7" t="n">
        <v>98096</v>
      </c>
      <c r="J284" s="7" t="inlineStr">
        <is>
          <t>Complete</t>
        </is>
      </c>
    </row>
    <row r="285" ht="15" customHeight="1" s="5">
      <c r="A285" s="7" t="inlineStr">
        <is>
          <t>PRJ036</t>
        </is>
      </c>
      <c r="B285" s="7" t="inlineStr">
        <is>
          <t>Business Case / Full Funding</t>
        </is>
      </c>
      <c r="C285" s="8" t="n">
        <v>45864</v>
      </c>
      <c r="D285" s="8" t="n">
        <v>45890</v>
      </c>
      <c r="E285" s="8" t="n">
        <v>45864</v>
      </c>
      <c r="F285" s="8" t="n">
        <v>45890</v>
      </c>
      <c r="G285" s="7" t="n">
        <v>282318</v>
      </c>
      <c r="H285" s="7" t="n">
        <v>269898</v>
      </c>
      <c r="I285" s="7" t="n">
        <v>278831</v>
      </c>
      <c r="J285" s="7" t="inlineStr">
        <is>
          <t>Complete</t>
        </is>
      </c>
    </row>
    <row r="286" ht="15" customHeight="1" s="5">
      <c r="A286" s="7" t="inlineStr">
        <is>
          <t>PRJ036</t>
        </is>
      </c>
      <c r="B286" s="7" t="inlineStr">
        <is>
          <t>Build</t>
        </is>
      </c>
      <c r="C286" s="8" t="n">
        <v>45890</v>
      </c>
      <c r="D286" s="8" t="n">
        <v>45916</v>
      </c>
      <c r="E286" s="8" t="n">
        <v>45890</v>
      </c>
      <c r="F286" s="8" t="n">
        <v>45916</v>
      </c>
      <c r="G286" s="7" t="n">
        <v>282318</v>
      </c>
      <c r="H286" s="7" t="n">
        <v>319180</v>
      </c>
      <c r="I286" s="7" t="n">
        <v>74518</v>
      </c>
      <c r="J286" s="7" t="inlineStr">
        <is>
          <t>Complete</t>
        </is>
      </c>
    </row>
    <row r="287" ht="15" customHeight="1" s="5">
      <c r="A287" s="7" t="inlineStr">
        <is>
          <t>PRJ036</t>
        </is>
      </c>
      <c r="B287" s="7" t="inlineStr">
        <is>
          <t>Testing</t>
        </is>
      </c>
      <c r="C287" s="8" t="n">
        <v>45916</v>
      </c>
      <c r="D287" s="8" t="n">
        <v>45942</v>
      </c>
      <c r="E287" s="8" t="n">
        <v>45916</v>
      </c>
      <c r="F287" s="8" t="n">
        <v>45942</v>
      </c>
      <c r="G287" s="7" t="n">
        <v>282318</v>
      </c>
      <c r="H287" s="7" t="n">
        <v>303723</v>
      </c>
      <c r="I287" s="7" t="n">
        <v>20144</v>
      </c>
      <c r="J287" s="7" t="inlineStr">
        <is>
          <t>Complete</t>
        </is>
      </c>
    </row>
    <row r="288" ht="15" customHeight="1" s="5">
      <c r="A288" s="7" t="inlineStr">
        <is>
          <t>PRJ036</t>
        </is>
      </c>
      <c r="B288" s="7" t="inlineStr">
        <is>
          <t>Deployment</t>
        </is>
      </c>
      <c r="C288" s="8" t="n">
        <v>45942</v>
      </c>
      <c r="D288" s="8" t="n">
        <v>45968</v>
      </c>
      <c r="E288" s="8" t="n">
        <v>45942</v>
      </c>
      <c r="F288" s="8" t="n">
        <v>45968</v>
      </c>
      <c r="G288" s="7" t="n">
        <v>282318</v>
      </c>
      <c r="H288" s="7" t="n">
        <v>315594</v>
      </c>
      <c r="I288" s="7" t="n">
        <v>286982</v>
      </c>
      <c r="J288" s="7" t="inlineStr">
        <is>
          <t>Complete</t>
        </is>
      </c>
    </row>
    <row r="289" ht="15" customHeight="1" s="5">
      <c r="A289" s="7" t="inlineStr">
        <is>
          <t>PRJ036</t>
        </is>
      </c>
      <c r="B289" s="7" t="inlineStr">
        <is>
          <t>Handover</t>
        </is>
      </c>
      <c r="C289" s="8" t="n">
        <v>45968</v>
      </c>
      <c r="D289" s="8" t="n">
        <v>45994</v>
      </c>
      <c r="E289" s="8" t="n">
        <v>45968</v>
      </c>
      <c r="F289" s="8" t="n">
        <v>45994</v>
      </c>
      <c r="G289" s="7" t="n">
        <v>282318</v>
      </c>
      <c r="H289" s="7" t="n">
        <v>259364</v>
      </c>
      <c r="I289" s="7" t="n">
        <v>170555</v>
      </c>
      <c r="J289" s="7" t="inlineStr">
        <is>
          <t>Complete</t>
        </is>
      </c>
    </row>
    <row r="290" ht="15" customHeight="1" s="5">
      <c r="A290" s="7" t="inlineStr">
        <is>
          <t>PRJ037</t>
        </is>
      </c>
      <c r="B290" s="7" t="inlineStr">
        <is>
          <t>Discovery</t>
        </is>
      </c>
      <c r="C290" s="8" t="n">
        <v>45722</v>
      </c>
      <c r="D290" s="8" t="n">
        <v>45750</v>
      </c>
      <c r="E290" s="8" t="n">
        <v>45722</v>
      </c>
      <c r="F290" s="8" t="n">
        <v>45750</v>
      </c>
      <c r="G290" s="7" t="n">
        <v>150462</v>
      </c>
      <c r="H290" s="7" t="n">
        <v>167509</v>
      </c>
      <c r="I290" s="7" t="n">
        <v>147212</v>
      </c>
      <c r="J290" s="7" t="inlineStr">
        <is>
          <t>Complete</t>
        </is>
      </c>
    </row>
    <row r="291" ht="15" customHeight="1" s="5">
      <c r="A291" s="7" t="inlineStr">
        <is>
          <t>PRJ037</t>
        </is>
      </c>
      <c r="B291" s="7" t="inlineStr">
        <is>
          <t>Business Case / Seed Funding</t>
        </is>
      </c>
      <c r="C291" s="8" t="n">
        <v>45750</v>
      </c>
      <c r="D291" s="8" t="n">
        <v>45778</v>
      </c>
      <c r="E291" s="8" t="n">
        <v>45750</v>
      </c>
      <c r="F291" s="8" t="n">
        <v>45778</v>
      </c>
      <c r="G291" s="7" t="n">
        <v>150462</v>
      </c>
      <c r="H291" s="7" t="n">
        <v>154225</v>
      </c>
      <c r="I291" s="7" t="n">
        <v>63071</v>
      </c>
      <c r="J291" s="7" t="inlineStr">
        <is>
          <t>Complete</t>
        </is>
      </c>
    </row>
    <row r="292" ht="15" customHeight="1" s="5">
      <c r="A292" s="7" t="inlineStr">
        <is>
          <t>PRJ037</t>
        </is>
      </c>
      <c r="B292" s="7" t="inlineStr">
        <is>
          <t>Design</t>
        </is>
      </c>
      <c r="C292" s="8" t="n">
        <v>45778</v>
      </c>
      <c r="D292" s="8" t="n">
        <v>45806</v>
      </c>
      <c r="E292" s="8" t="n">
        <v>45778</v>
      </c>
      <c r="F292" s="8" t="n">
        <v>45806</v>
      </c>
      <c r="G292" s="7" t="n">
        <v>150462</v>
      </c>
      <c r="H292" s="7" t="n">
        <v>137547</v>
      </c>
      <c r="I292" s="7" t="n">
        <v>110197</v>
      </c>
      <c r="J292" s="7" t="inlineStr">
        <is>
          <t>Complete</t>
        </is>
      </c>
    </row>
    <row r="293" ht="15" customHeight="1" s="5">
      <c r="A293" s="7" t="inlineStr">
        <is>
          <t>PRJ037</t>
        </is>
      </c>
      <c r="B293" s="7" t="inlineStr">
        <is>
          <t>Business Case / Full Funding</t>
        </is>
      </c>
      <c r="C293" s="8" t="n">
        <v>45806</v>
      </c>
      <c r="D293" s="8" t="n">
        <v>45834</v>
      </c>
      <c r="E293" s="8" t="n">
        <v>45806</v>
      </c>
      <c r="F293" s="8" t="n">
        <v>45834</v>
      </c>
      <c r="G293" s="7" t="n">
        <v>150462</v>
      </c>
      <c r="H293" s="7" t="n">
        <v>139586</v>
      </c>
      <c r="I293" s="7" t="n">
        <v>74408</v>
      </c>
      <c r="J293" s="7" t="inlineStr">
        <is>
          <t>Complete</t>
        </is>
      </c>
    </row>
    <row r="294" ht="15" customHeight="1" s="5">
      <c r="A294" s="7" t="inlineStr">
        <is>
          <t>PRJ037</t>
        </is>
      </c>
      <c r="B294" s="7" t="inlineStr">
        <is>
          <t>Build</t>
        </is>
      </c>
      <c r="C294" s="8" t="n">
        <v>45834</v>
      </c>
      <c r="D294" s="8" t="n">
        <v>45862</v>
      </c>
      <c r="E294" s="8" t="n">
        <v>45834</v>
      </c>
      <c r="F294" s="8" t="n">
        <v>45862</v>
      </c>
      <c r="G294" s="7" t="n">
        <v>150462</v>
      </c>
      <c r="H294" s="7" t="n">
        <v>169924</v>
      </c>
      <c r="I294" s="7" t="n">
        <v>41558</v>
      </c>
      <c r="J294" s="7" t="inlineStr">
        <is>
          <t>Complete</t>
        </is>
      </c>
    </row>
    <row r="295" ht="15" customHeight="1" s="5">
      <c r="A295" s="7" t="inlineStr">
        <is>
          <t>PRJ037</t>
        </is>
      </c>
      <c r="B295" s="7" t="inlineStr">
        <is>
          <t>Testing</t>
        </is>
      </c>
      <c r="C295" s="8" t="n">
        <v>45862</v>
      </c>
      <c r="D295" s="8" t="n">
        <v>45890</v>
      </c>
      <c r="E295" s="8" t="n">
        <v>45862</v>
      </c>
      <c r="F295" s="8" t="n">
        <v>45890</v>
      </c>
      <c r="G295" s="7" t="n">
        <v>150462</v>
      </c>
      <c r="H295" s="7" t="n">
        <v>136543</v>
      </c>
      <c r="I295" s="7" t="n">
        <v>53406</v>
      </c>
      <c r="J295" s="7" t="inlineStr">
        <is>
          <t>Complete</t>
        </is>
      </c>
    </row>
    <row r="296" ht="15" customHeight="1" s="5">
      <c r="A296" s="7" t="inlineStr">
        <is>
          <t>PRJ037</t>
        </is>
      </c>
      <c r="B296" s="7" t="inlineStr">
        <is>
          <t>Deployment</t>
        </is>
      </c>
      <c r="C296" s="8" t="n">
        <v>45890</v>
      </c>
      <c r="D296" s="8" t="n">
        <v>45918</v>
      </c>
      <c r="E296" s="8" t="n">
        <v>45890</v>
      </c>
      <c r="F296" s="8" t="n">
        <v>45918</v>
      </c>
      <c r="G296" s="7" t="n">
        <v>150462</v>
      </c>
      <c r="H296" s="7" t="n">
        <v>145229</v>
      </c>
      <c r="I296" s="7" t="n">
        <v>52852</v>
      </c>
      <c r="J296" s="7" t="inlineStr">
        <is>
          <t>Complete</t>
        </is>
      </c>
    </row>
    <row r="297" ht="15" customHeight="1" s="5">
      <c r="A297" s="7" t="inlineStr">
        <is>
          <t>PRJ037</t>
        </is>
      </c>
      <c r="B297" s="7" t="inlineStr">
        <is>
          <t>Handover</t>
        </is>
      </c>
      <c r="C297" s="8" t="n">
        <v>45918</v>
      </c>
      <c r="D297" s="8" t="n">
        <v>45946</v>
      </c>
      <c r="E297" s="8" t="n">
        <v>45918</v>
      </c>
      <c r="F297" s="8" t="n">
        <v>45946</v>
      </c>
      <c r="G297" s="7" t="n">
        <v>150462</v>
      </c>
      <c r="H297" s="7" t="n">
        <v>164182</v>
      </c>
      <c r="I297" s="7" t="n">
        <v>22006</v>
      </c>
      <c r="J297" s="7" t="inlineStr">
        <is>
          <t>Complete</t>
        </is>
      </c>
    </row>
    <row r="298" ht="15" customHeight="1" s="5">
      <c r="A298" s="7" t="inlineStr">
        <is>
          <t>PRJ038</t>
        </is>
      </c>
      <c r="B298" s="7" t="inlineStr">
        <is>
          <t>Discovery</t>
        </is>
      </c>
      <c r="C298" s="8" t="n">
        <v>45909</v>
      </c>
      <c r="D298" s="8" t="n">
        <v>45924</v>
      </c>
      <c r="E298" s="8" t="n">
        <v>45909</v>
      </c>
      <c r="F298" s="8" t="n">
        <v>45924</v>
      </c>
      <c r="G298" s="7" t="n">
        <v>227228</v>
      </c>
      <c r="H298" s="7" t="n">
        <v>235584</v>
      </c>
      <c r="I298" s="7" t="n">
        <v>175095</v>
      </c>
      <c r="J298" s="7" t="inlineStr">
        <is>
          <t>Complete</t>
        </is>
      </c>
    </row>
    <row r="299" ht="15" customHeight="1" s="5">
      <c r="A299" s="7" t="inlineStr">
        <is>
          <t>PRJ038</t>
        </is>
      </c>
      <c r="B299" s="7" t="inlineStr">
        <is>
          <t>Business Case / Seed Funding</t>
        </is>
      </c>
      <c r="C299" s="8" t="n">
        <v>45924</v>
      </c>
      <c r="D299" s="8" t="n">
        <v>45939</v>
      </c>
      <c r="E299" s="8" t="n">
        <v>45924</v>
      </c>
      <c r="F299" s="8" t="n">
        <v>45939</v>
      </c>
      <c r="G299" s="7" t="n">
        <v>227228</v>
      </c>
      <c r="H299" s="7" t="n">
        <v>257005</v>
      </c>
      <c r="I299" s="7" t="n">
        <v>158265</v>
      </c>
      <c r="J299" s="7" t="inlineStr">
        <is>
          <t>Complete</t>
        </is>
      </c>
    </row>
    <row r="300" ht="15" customHeight="1" s="5">
      <c r="A300" s="7" t="inlineStr">
        <is>
          <t>PRJ038</t>
        </is>
      </c>
      <c r="B300" s="7" t="inlineStr">
        <is>
          <t>Design</t>
        </is>
      </c>
      <c r="C300" s="8" t="n">
        <v>45939</v>
      </c>
      <c r="D300" s="8" t="n">
        <v>45954</v>
      </c>
      <c r="E300" s="8" t="n">
        <v>45939</v>
      </c>
      <c r="F300" s="8" t="n">
        <v>45954</v>
      </c>
      <c r="G300" s="7" t="n">
        <v>227228</v>
      </c>
      <c r="H300" s="7" t="n">
        <v>254398</v>
      </c>
      <c r="I300" s="7" t="n">
        <v>56216</v>
      </c>
      <c r="J300" s="7" t="inlineStr">
        <is>
          <t>Complete</t>
        </is>
      </c>
    </row>
    <row r="301" ht="15" customHeight="1" s="5">
      <c r="A301" s="7" t="inlineStr">
        <is>
          <t>PRJ038</t>
        </is>
      </c>
      <c r="B301" s="7" t="inlineStr">
        <is>
          <t>Business Case / Full Funding</t>
        </is>
      </c>
      <c r="C301" s="8" t="n">
        <v>45954</v>
      </c>
      <c r="D301" s="8" t="n">
        <v>45969</v>
      </c>
      <c r="E301" s="8" t="n">
        <v>45954</v>
      </c>
      <c r="F301" s="8" t="n">
        <v>45969</v>
      </c>
      <c r="G301" s="7" t="n">
        <v>227228</v>
      </c>
      <c r="H301" s="7" t="n">
        <v>208648</v>
      </c>
      <c r="I301" s="7" t="n">
        <v>226183</v>
      </c>
      <c r="J301" s="7" t="inlineStr">
        <is>
          <t>Complete</t>
        </is>
      </c>
    </row>
    <row r="302" ht="15" customHeight="1" s="5">
      <c r="A302" s="7" t="inlineStr">
        <is>
          <t>PRJ038</t>
        </is>
      </c>
      <c r="B302" s="7" t="inlineStr">
        <is>
          <t>Build</t>
        </is>
      </c>
      <c r="C302" s="8" t="n">
        <v>45969</v>
      </c>
      <c r="D302" s="8" t="n">
        <v>45984</v>
      </c>
      <c r="E302" s="8" t="n">
        <v>45969</v>
      </c>
      <c r="F302" s="8" t="n">
        <v>45984</v>
      </c>
      <c r="G302" s="7" t="n">
        <v>227228</v>
      </c>
      <c r="H302" s="7" t="n">
        <v>255878</v>
      </c>
      <c r="I302" s="7" t="n">
        <v>167750</v>
      </c>
      <c r="J302" s="7" t="inlineStr">
        <is>
          <t>Complete</t>
        </is>
      </c>
    </row>
    <row r="303" ht="15" customHeight="1" s="5">
      <c r="A303" s="7" t="inlineStr">
        <is>
          <t>PRJ038</t>
        </is>
      </c>
      <c r="B303" s="7" t="inlineStr">
        <is>
          <t>Testing</t>
        </is>
      </c>
      <c r="C303" s="8" t="n">
        <v>45984</v>
      </c>
      <c r="D303" s="8" t="n">
        <v>45999</v>
      </c>
      <c r="E303" s="8" t="n">
        <v>45984</v>
      </c>
      <c r="F303" s="8" t="n">
        <v>45999</v>
      </c>
      <c r="G303" s="7" t="n">
        <v>227228</v>
      </c>
      <c r="H303" s="7" t="n">
        <v>247996</v>
      </c>
      <c r="I303" s="7" t="n">
        <v>8437</v>
      </c>
      <c r="J303" s="7" t="inlineStr">
        <is>
          <t>Complete</t>
        </is>
      </c>
    </row>
    <row r="304" ht="15" customHeight="1" s="5">
      <c r="A304" s="7" t="inlineStr">
        <is>
          <t>PRJ038</t>
        </is>
      </c>
      <c r="B304" s="7" t="inlineStr">
        <is>
          <t>Deployment</t>
        </is>
      </c>
      <c r="C304" s="8" t="n">
        <v>45999</v>
      </c>
      <c r="D304" s="8" t="n">
        <v>46014</v>
      </c>
      <c r="E304" s="8" t="n">
        <v>45999</v>
      </c>
      <c r="F304" s="8" t="n">
        <v>46014</v>
      </c>
      <c r="G304" s="7" t="n">
        <v>227228</v>
      </c>
      <c r="H304" s="7" t="n">
        <v>260237</v>
      </c>
      <c r="I304" s="7" t="n">
        <v>226638</v>
      </c>
      <c r="J304" s="7" t="inlineStr">
        <is>
          <t>Complete</t>
        </is>
      </c>
    </row>
    <row r="305" ht="15" customHeight="1" s="5">
      <c r="A305" s="7" t="inlineStr">
        <is>
          <t>PRJ038</t>
        </is>
      </c>
      <c r="B305" s="7" t="inlineStr">
        <is>
          <t>Handover</t>
        </is>
      </c>
      <c r="C305" s="8" t="n">
        <v>46014</v>
      </c>
      <c r="D305" s="8" t="n">
        <v>46029</v>
      </c>
      <c r="E305" s="8" t="n">
        <v>46014</v>
      </c>
      <c r="F305" s="8" t="n">
        <v>46029</v>
      </c>
      <c r="G305" s="7" t="n">
        <v>227228</v>
      </c>
      <c r="H305" s="7" t="n">
        <v>238485</v>
      </c>
      <c r="I305" s="7" t="n">
        <v>146120</v>
      </c>
      <c r="J305" s="7" t="inlineStr">
        <is>
          <t>Complete</t>
        </is>
      </c>
    </row>
    <row r="306" ht="15" customHeight="1" s="5">
      <c r="A306" s="7" t="inlineStr">
        <is>
          <t>PRJ039</t>
        </is>
      </c>
      <c r="B306" s="7" t="inlineStr">
        <is>
          <t>Discovery</t>
        </is>
      </c>
      <c r="C306" s="8" t="n">
        <v>45975</v>
      </c>
      <c r="D306" s="8" t="n">
        <v>45990</v>
      </c>
      <c r="E306" s="8" t="n">
        <v>45975</v>
      </c>
      <c r="F306" s="8" t="n">
        <v>45990</v>
      </c>
      <c r="G306" s="7" t="n">
        <v>390651</v>
      </c>
      <c r="H306" s="7" t="n">
        <v>359457</v>
      </c>
      <c r="I306" s="7" t="n">
        <v>226185</v>
      </c>
      <c r="J306" s="7" t="inlineStr">
        <is>
          <t>Complete</t>
        </is>
      </c>
    </row>
    <row r="307" ht="15" customHeight="1" s="5">
      <c r="A307" s="7" t="inlineStr">
        <is>
          <t>PRJ039</t>
        </is>
      </c>
      <c r="B307" s="7" t="inlineStr">
        <is>
          <t>Business Case / Seed Funding</t>
        </is>
      </c>
      <c r="C307" s="8" t="n">
        <v>45990</v>
      </c>
      <c r="D307" s="8" t="n">
        <v>46005</v>
      </c>
      <c r="E307" s="8" t="n">
        <v>45990</v>
      </c>
      <c r="F307" s="8" t="n">
        <v>46005</v>
      </c>
      <c r="G307" s="7" t="n">
        <v>390651</v>
      </c>
      <c r="H307" s="7" t="n">
        <v>444033</v>
      </c>
      <c r="I307" s="7" t="n">
        <v>110958</v>
      </c>
      <c r="J307" s="7" t="inlineStr">
        <is>
          <t>Complete</t>
        </is>
      </c>
    </row>
    <row r="308" ht="15" customHeight="1" s="5">
      <c r="A308" s="7" t="inlineStr">
        <is>
          <t>PRJ039</t>
        </is>
      </c>
      <c r="B308" s="7" t="inlineStr">
        <is>
          <t>Design</t>
        </is>
      </c>
      <c r="C308" s="8" t="n">
        <v>46005</v>
      </c>
      <c r="D308" s="8" t="n">
        <v>46020</v>
      </c>
      <c r="E308" s="8" t="n">
        <v>46005</v>
      </c>
      <c r="F308" s="8" t="n">
        <v>46020</v>
      </c>
      <c r="G308" s="7" t="n">
        <v>390651</v>
      </c>
      <c r="H308" s="7" t="n">
        <v>355662</v>
      </c>
      <c r="I308" s="7" t="n">
        <v>14603</v>
      </c>
      <c r="J308" s="7" t="inlineStr">
        <is>
          <t>Complete</t>
        </is>
      </c>
    </row>
    <row r="309" ht="15" customHeight="1" s="5">
      <c r="A309" s="7" t="inlineStr">
        <is>
          <t>PRJ039</t>
        </is>
      </c>
      <c r="B309" s="7" t="inlineStr">
        <is>
          <t>Business Case / Full Funding</t>
        </is>
      </c>
      <c r="C309" s="8" t="n">
        <v>46020</v>
      </c>
      <c r="D309" s="8" t="n">
        <v>46035</v>
      </c>
      <c r="E309" s="8" t="n">
        <v>46020</v>
      </c>
      <c r="F309" s="8" t="n">
        <v>46035</v>
      </c>
      <c r="G309" s="7" t="n">
        <v>390651</v>
      </c>
      <c r="H309" s="7" t="n">
        <v>401160</v>
      </c>
      <c r="I309" s="7" t="n">
        <v>266757</v>
      </c>
      <c r="J309" s="7" t="inlineStr">
        <is>
          <t>Complete</t>
        </is>
      </c>
    </row>
    <row r="310" ht="15" customHeight="1" s="5">
      <c r="A310" s="7" t="inlineStr">
        <is>
          <t>PRJ039</t>
        </is>
      </c>
      <c r="B310" s="7" t="inlineStr">
        <is>
          <t>Build</t>
        </is>
      </c>
      <c r="C310" s="8" t="n">
        <v>46035</v>
      </c>
      <c r="D310" s="8" t="n">
        <v>46050</v>
      </c>
      <c r="E310" s="8" t="n">
        <v>46035</v>
      </c>
      <c r="F310" s="8" t="n">
        <v>46050</v>
      </c>
      <c r="G310" s="7" t="n">
        <v>390651</v>
      </c>
      <c r="H310" s="7" t="n">
        <v>393729</v>
      </c>
      <c r="I310" s="7" t="n">
        <v>124457</v>
      </c>
      <c r="J310" s="7" t="inlineStr">
        <is>
          <t>Complete</t>
        </is>
      </c>
    </row>
    <row r="311" ht="15" customHeight="1" s="5">
      <c r="A311" s="7" t="inlineStr">
        <is>
          <t>PRJ039</t>
        </is>
      </c>
      <c r="B311" s="7" t="inlineStr">
        <is>
          <t>Testing</t>
        </is>
      </c>
      <c r="C311" s="8" t="n">
        <v>46050</v>
      </c>
      <c r="D311" s="8" t="n">
        <v>46065</v>
      </c>
      <c r="E311" s="8" t="n">
        <v>46050</v>
      </c>
      <c r="F311" s="8" t="n">
        <v>46065</v>
      </c>
      <c r="G311" s="7" t="n">
        <v>390651</v>
      </c>
      <c r="H311" s="7" t="n">
        <v>434583</v>
      </c>
      <c r="I311" s="7" t="n">
        <v>398479</v>
      </c>
      <c r="J311" s="7" t="inlineStr">
        <is>
          <t>Complete</t>
        </is>
      </c>
    </row>
    <row r="312" ht="15" customHeight="1" s="5">
      <c r="A312" s="7" t="inlineStr">
        <is>
          <t>PRJ039</t>
        </is>
      </c>
      <c r="B312" s="7" t="inlineStr">
        <is>
          <t>Deployment</t>
        </is>
      </c>
      <c r="C312" s="8" t="n">
        <v>46065</v>
      </c>
      <c r="D312" s="8" t="n">
        <v>46080</v>
      </c>
      <c r="E312" s="8" t="n">
        <v>46065</v>
      </c>
      <c r="F312" s="8" t="n">
        <v>46080</v>
      </c>
      <c r="G312" s="7" t="n">
        <v>390651</v>
      </c>
      <c r="H312" s="7" t="n">
        <v>353680</v>
      </c>
      <c r="I312" s="7" t="n">
        <v>22706</v>
      </c>
      <c r="J312" s="7" t="inlineStr">
        <is>
          <t>Complete</t>
        </is>
      </c>
    </row>
    <row r="313" ht="15" customHeight="1" s="5">
      <c r="A313" s="7" t="inlineStr">
        <is>
          <t>PRJ039</t>
        </is>
      </c>
      <c r="B313" s="7" t="inlineStr">
        <is>
          <t>Handover</t>
        </is>
      </c>
      <c r="C313" s="8" t="n">
        <v>46080</v>
      </c>
      <c r="D313" s="8" t="n">
        <v>46095</v>
      </c>
      <c r="E313" s="8" t="n">
        <v>46080</v>
      </c>
      <c r="F313" s="8" t="n">
        <v>46095</v>
      </c>
      <c r="G313" s="7" t="n">
        <v>390651</v>
      </c>
      <c r="H313" s="7" t="n">
        <v>427139</v>
      </c>
      <c r="I313" s="7" t="n">
        <v>332808</v>
      </c>
      <c r="J313" s="7" t="inlineStr">
        <is>
          <t>Complete</t>
        </is>
      </c>
    </row>
    <row r="314" ht="15" customHeight="1" s="5">
      <c r="A314" s="7" t="inlineStr">
        <is>
          <t>PRJ040</t>
        </is>
      </c>
      <c r="B314" s="7" t="inlineStr">
        <is>
          <t>Discovery</t>
        </is>
      </c>
      <c r="C314" s="8" t="n">
        <v>45694</v>
      </c>
      <c r="D314" s="8" t="n">
        <v>45749</v>
      </c>
      <c r="E314" s="8" t="n">
        <v>45694</v>
      </c>
      <c r="F314" s="8" t="n">
        <v>45749</v>
      </c>
      <c r="G314" s="7" t="n">
        <v>211652</v>
      </c>
      <c r="H314" s="7" t="n">
        <v>218753</v>
      </c>
      <c r="I314" s="7" t="n">
        <v>191188</v>
      </c>
      <c r="J314" s="7" t="inlineStr">
        <is>
          <t>Complete</t>
        </is>
      </c>
    </row>
    <row r="315" ht="15" customHeight="1" s="5">
      <c r="A315" s="7" t="inlineStr">
        <is>
          <t>PRJ040</t>
        </is>
      </c>
      <c r="B315" s="7" t="inlineStr">
        <is>
          <t>Business Case / Seed Funding</t>
        </is>
      </c>
      <c r="C315" s="8" t="n">
        <v>45749</v>
      </c>
      <c r="D315" s="8" t="n">
        <v>45804</v>
      </c>
      <c r="E315" s="8" t="n">
        <v>45749</v>
      </c>
      <c r="F315" s="8" t="n">
        <v>45804</v>
      </c>
      <c r="G315" s="7" t="n">
        <v>211652</v>
      </c>
      <c r="H315" s="7" t="n">
        <v>226571</v>
      </c>
      <c r="I315" s="7" t="n">
        <v>163992</v>
      </c>
      <c r="J315" s="7" t="inlineStr">
        <is>
          <t>Complete</t>
        </is>
      </c>
    </row>
    <row r="316" ht="15" customHeight="1" s="5">
      <c r="A316" s="7" t="inlineStr">
        <is>
          <t>PRJ040</t>
        </is>
      </c>
      <c r="B316" s="7" t="inlineStr">
        <is>
          <t>Design</t>
        </is>
      </c>
      <c r="C316" s="8" t="n">
        <v>45804</v>
      </c>
      <c r="D316" s="8" t="n">
        <v>45859</v>
      </c>
      <c r="E316" s="8" t="n">
        <v>45804</v>
      </c>
      <c r="F316" s="8" t="n">
        <v>45859</v>
      </c>
      <c r="G316" s="7" t="n">
        <v>211652</v>
      </c>
      <c r="H316" s="7" t="n">
        <v>219721</v>
      </c>
      <c r="I316" s="7" t="n">
        <v>11587</v>
      </c>
      <c r="J316" s="7" t="inlineStr">
        <is>
          <t>Complete</t>
        </is>
      </c>
    </row>
    <row r="317" ht="15" customHeight="1" s="5">
      <c r="A317" s="7" t="inlineStr">
        <is>
          <t>PRJ040</t>
        </is>
      </c>
      <c r="B317" s="7" t="inlineStr">
        <is>
          <t>Business Case / Full Funding</t>
        </is>
      </c>
      <c r="C317" s="8" t="n">
        <v>45859</v>
      </c>
      <c r="D317" s="8" t="n">
        <v>45914</v>
      </c>
      <c r="E317" s="8" t="n">
        <v>45859</v>
      </c>
      <c r="F317" s="8" t="n">
        <v>45914</v>
      </c>
      <c r="G317" s="7" t="n">
        <v>211652</v>
      </c>
      <c r="H317" s="7" t="n">
        <v>231002</v>
      </c>
      <c r="I317" s="7" t="n">
        <v>154551</v>
      </c>
      <c r="J317" s="7" t="inlineStr">
        <is>
          <t>Complete</t>
        </is>
      </c>
    </row>
    <row r="318" ht="15" customHeight="1" s="5">
      <c r="A318" s="7" t="inlineStr">
        <is>
          <t>PRJ040</t>
        </is>
      </c>
      <c r="B318" s="7" t="inlineStr">
        <is>
          <t>Build</t>
        </is>
      </c>
      <c r="C318" s="8" t="n">
        <v>45914</v>
      </c>
      <c r="D318" s="8" t="n">
        <v>45969</v>
      </c>
      <c r="E318" s="8" t="n">
        <v>45914</v>
      </c>
      <c r="F318" s="8" t="n">
        <v>45969</v>
      </c>
      <c r="G318" s="7" t="n">
        <v>211652</v>
      </c>
      <c r="H318" s="7" t="n">
        <v>213225</v>
      </c>
      <c r="I318" s="7" t="n">
        <v>94857</v>
      </c>
      <c r="J318" s="7" t="inlineStr">
        <is>
          <t>Complete</t>
        </is>
      </c>
    </row>
    <row r="319" ht="15" customHeight="1" s="5">
      <c r="A319" s="7" t="inlineStr">
        <is>
          <t>PRJ040</t>
        </is>
      </c>
      <c r="B319" s="7" t="inlineStr">
        <is>
          <t>Testing</t>
        </is>
      </c>
      <c r="C319" s="8" t="n">
        <v>45969</v>
      </c>
      <c r="D319" s="8" t="n">
        <v>46024</v>
      </c>
      <c r="E319" s="8" t="n">
        <v>45969</v>
      </c>
      <c r="F319" s="8" t="n">
        <v>46024</v>
      </c>
      <c r="G319" s="7" t="n">
        <v>211652</v>
      </c>
      <c r="H319" s="7" t="n">
        <v>197777</v>
      </c>
      <c r="I319" s="7" t="n">
        <v>97328</v>
      </c>
      <c r="J319" s="7" t="inlineStr">
        <is>
          <t>Complete</t>
        </is>
      </c>
    </row>
    <row r="320" ht="15" customHeight="1" s="5">
      <c r="A320" s="7" t="inlineStr">
        <is>
          <t>PRJ040</t>
        </is>
      </c>
      <c r="B320" s="7" t="inlineStr">
        <is>
          <t>Deployment</t>
        </is>
      </c>
      <c r="C320" s="8" t="n">
        <v>46024</v>
      </c>
      <c r="D320" s="8" t="n">
        <v>46079</v>
      </c>
      <c r="E320" s="8" t="n">
        <v>46024</v>
      </c>
      <c r="F320" s="8" t="n">
        <v>46079</v>
      </c>
      <c r="G320" s="7" t="n">
        <v>211652</v>
      </c>
      <c r="H320" s="7" t="n">
        <v>237958</v>
      </c>
      <c r="I320" s="7" t="n">
        <v>218354</v>
      </c>
      <c r="J320" s="7" t="inlineStr">
        <is>
          <t>Complete</t>
        </is>
      </c>
    </row>
    <row r="321" ht="15" customHeight="1" s="5">
      <c r="A321" s="7" t="inlineStr">
        <is>
          <t>PRJ040</t>
        </is>
      </c>
      <c r="B321" s="7" t="inlineStr">
        <is>
          <t>Handover</t>
        </is>
      </c>
      <c r="C321" s="8" t="n">
        <v>46079</v>
      </c>
      <c r="D321" s="8" t="n">
        <v>46134</v>
      </c>
      <c r="E321" s="8" t="n">
        <v>46079</v>
      </c>
      <c r="F321" s="8" t="n">
        <v>46134</v>
      </c>
      <c r="G321" s="7" t="n">
        <v>211652</v>
      </c>
      <c r="H321" s="7" t="n">
        <v>209944</v>
      </c>
      <c r="I321" s="7" t="n">
        <v>43035</v>
      </c>
      <c r="J321" s="7" t="inlineStr">
        <is>
          <t>Complete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V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Project ID</t>
        </is>
      </c>
      <c r="B1" s="6" t="inlineStr">
        <is>
          <t>Portfolio / Workstream</t>
        </is>
      </c>
      <c r="C1" s="6" t="inlineStr">
        <is>
          <t>Sponsor</t>
        </is>
      </c>
      <c r="D1" s="6" t="inlineStr">
        <is>
          <t>Business Owner</t>
        </is>
      </c>
      <c r="E1" s="6" t="inlineStr">
        <is>
          <t>Business Solution Manager</t>
        </is>
      </c>
      <c r="F1" s="6" t="inlineStr">
        <is>
          <t>Strategic Alignment</t>
        </is>
      </c>
      <c r="G1" s="6" t="inlineStr">
        <is>
          <t>Background and Context</t>
        </is>
      </c>
      <c r="H1" s="6" t="inlineStr">
        <is>
          <t>Opportunity / Problem Statement</t>
        </is>
      </c>
      <c r="I1" s="6" t="inlineStr">
        <is>
          <t>Objective</t>
        </is>
      </c>
      <c r="J1" s="6" t="inlineStr">
        <is>
          <t>In Scope</t>
        </is>
      </c>
      <c r="K1" s="6" t="inlineStr">
        <is>
          <t>Out of Scope</t>
        </is>
      </c>
      <c r="L1" s="6" t="inlineStr">
        <is>
          <t>Assumptions &amp; Constraints</t>
        </is>
      </c>
      <c r="M1" s="6" t="inlineStr">
        <is>
          <t>Key Metrics / Success Measures</t>
        </is>
      </c>
      <c r="N1" s="6" t="inlineStr">
        <is>
          <t>Approval Type</t>
        </is>
      </c>
      <c r="O1" s="6" t="inlineStr">
        <is>
          <t>Funding Ask</t>
        </is>
      </c>
      <c r="P1" s="6" t="inlineStr">
        <is>
          <t>Funding Source</t>
        </is>
      </c>
      <c r="Q1" s="6" t="inlineStr">
        <is>
          <t>Resource Ask</t>
        </is>
      </c>
      <c r="R1" s="6" t="inlineStr">
        <is>
          <t>Estimate Commentary</t>
        </is>
      </c>
      <c r="S1" s="6" t="inlineStr">
        <is>
          <t>P&amp;L Benefits Commentary</t>
        </is>
      </c>
      <c r="T1" s="6" t="inlineStr">
        <is>
          <t>Delivery Milestones</t>
        </is>
      </c>
      <c r="U1" s="6" t="inlineStr">
        <is>
          <t>Project Risks</t>
        </is>
      </c>
      <c r="V1" s="6" t="inlineStr">
        <is>
          <t>Dependencies</t>
        </is>
      </c>
    </row>
    <row r="2" ht="15" customHeight="1" s="5">
      <c r="A2" s="7" t="inlineStr">
        <is>
          <t>PRJ001</t>
        </is>
      </c>
      <c r="C2" s="7">
        <f>IFERROR(VLOOKUP(A2,Projects!$A:$AK,7,FALSE()),"")</f>
        <v/>
      </c>
    </row>
    <row r="3" ht="15" customHeight="1" s="5">
      <c r="A3" s="7" t="inlineStr">
        <is>
          <t>PRJ002</t>
        </is>
      </c>
      <c r="C3" s="7">
        <f>IFERROR(VLOOKUP(A3,Projects!$A:$AK,7,FALSE()),"")</f>
        <v/>
      </c>
    </row>
    <row r="4" ht="15" customHeight="1" s="5">
      <c r="A4" s="7" t="inlineStr">
        <is>
          <t>PRJ003</t>
        </is>
      </c>
      <c r="C4" s="7">
        <f>IFERROR(VLOOKUP(A4,Projects!$A:$AK,7,FALSE()),"")</f>
        <v/>
      </c>
    </row>
    <row r="5" ht="15" customHeight="1" s="5">
      <c r="A5" s="7" t="inlineStr">
        <is>
          <t>PRJ004</t>
        </is>
      </c>
      <c r="C5" s="7">
        <f>IFERROR(VLOOKUP(A5,Projects!$A:$AK,7,FALSE()),"")</f>
        <v/>
      </c>
    </row>
    <row r="6" ht="15" customHeight="1" s="5">
      <c r="A6" s="7" t="inlineStr">
        <is>
          <t>PRJ005</t>
        </is>
      </c>
      <c r="C6" s="7">
        <f>IFERROR(VLOOKUP(A6,Projects!$A:$AK,7,FALSE()),"")</f>
        <v/>
      </c>
    </row>
    <row r="7" ht="15" customHeight="1" s="5">
      <c r="A7" s="7" t="inlineStr">
        <is>
          <t>PRJ006</t>
        </is>
      </c>
      <c r="C7" s="7">
        <f>IFERROR(VLOOKUP(A7,Projects!$A:$AK,7,FALSE()),"")</f>
        <v/>
      </c>
    </row>
    <row r="8" ht="15" customHeight="1" s="5">
      <c r="A8" s="7" t="inlineStr">
        <is>
          <t>PRJ007</t>
        </is>
      </c>
      <c r="C8" s="7">
        <f>IFERROR(VLOOKUP(A8,Projects!$A:$AK,7,FALSE()),"")</f>
        <v/>
      </c>
    </row>
    <row r="9" ht="15" customHeight="1" s="5">
      <c r="A9" s="7" t="inlineStr">
        <is>
          <t>PRJ008</t>
        </is>
      </c>
      <c r="C9" s="7">
        <f>IFERROR(VLOOKUP(A9,Projects!$A:$AK,7,FALSE()),"")</f>
        <v/>
      </c>
    </row>
    <row r="10" ht="15" customHeight="1" s="5">
      <c r="A10" s="7" t="inlineStr">
        <is>
          <t>PRJ009</t>
        </is>
      </c>
      <c r="C10" s="7">
        <f>IFERROR(VLOOKUP(A10,Projects!$A:$AK,7,FALSE()),"")</f>
        <v/>
      </c>
    </row>
    <row r="11" ht="15" customHeight="1" s="5">
      <c r="A11" s="7" t="inlineStr">
        <is>
          <t>PRJ010</t>
        </is>
      </c>
      <c r="C11" s="7">
        <f>IFERROR(VLOOKUP(A11,Projects!$A:$AK,7,FALSE()),"")</f>
        <v/>
      </c>
    </row>
    <row r="12" ht="15" customHeight="1" s="5">
      <c r="A12" s="7" t="inlineStr">
        <is>
          <t>PRJ011</t>
        </is>
      </c>
      <c r="C12" s="7">
        <f>IFERROR(VLOOKUP(A12,Projects!$A:$AK,7,FALSE()),"")</f>
        <v/>
      </c>
    </row>
    <row r="13" ht="15" customHeight="1" s="5">
      <c r="A13" s="7" t="inlineStr">
        <is>
          <t>PRJ012</t>
        </is>
      </c>
      <c r="C13" s="7">
        <f>IFERROR(VLOOKUP(A13,Projects!$A:$AK,7,FALSE()),"")</f>
        <v/>
      </c>
    </row>
    <row r="14" ht="15" customHeight="1" s="5">
      <c r="A14" s="7" t="inlineStr">
        <is>
          <t>PRJ013</t>
        </is>
      </c>
      <c r="C14" s="7">
        <f>IFERROR(VLOOKUP(A14,Projects!$A:$AK,7,FALSE()),"")</f>
        <v/>
      </c>
    </row>
    <row r="15" ht="15" customHeight="1" s="5">
      <c r="A15" s="7" t="inlineStr">
        <is>
          <t>PRJ014</t>
        </is>
      </c>
      <c r="C15" s="7">
        <f>IFERROR(VLOOKUP(A15,Projects!$A:$AK,7,FALSE()),"")</f>
        <v/>
      </c>
    </row>
    <row r="16" ht="15" customHeight="1" s="5">
      <c r="A16" s="7" t="inlineStr">
        <is>
          <t>PRJ015</t>
        </is>
      </c>
      <c r="C16" s="7">
        <f>IFERROR(VLOOKUP(A16,Projects!$A:$AK,7,FALSE()),"")</f>
        <v/>
      </c>
    </row>
    <row r="17" ht="15" customHeight="1" s="5">
      <c r="A17" s="7" t="inlineStr">
        <is>
          <t>PRJ016</t>
        </is>
      </c>
      <c r="C17" s="7">
        <f>IFERROR(VLOOKUP(A17,Projects!$A:$AK,7,FALSE()),"")</f>
        <v/>
      </c>
    </row>
    <row r="18" ht="15" customHeight="1" s="5">
      <c r="A18" s="7" t="inlineStr">
        <is>
          <t>PRJ017</t>
        </is>
      </c>
      <c r="C18" s="7">
        <f>IFERROR(VLOOKUP(A18,Projects!$A:$AK,7,FALSE()),"")</f>
        <v/>
      </c>
    </row>
    <row r="19" ht="15" customHeight="1" s="5">
      <c r="A19" s="7" t="inlineStr">
        <is>
          <t>PRJ018</t>
        </is>
      </c>
      <c r="C19" s="7">
        <f>IFERROR(VLOOKUP(A19,Projects!$A:$AK,7,FALSE()),"")</f>
        <v/>
      </c>
    </row>
    <row r="20" ht="15" customHeight="1" s="5">
      <c r="A20" s="7" t="inlineStr">
        <is>
          <t>PRJ019</t>
        </is>
      </c>
      <c r="C20" s="7">
        <f>IFERROR(VLOOKUP(A20,Projects!$A:$AK,7,FALSE()),"")</f>
        <v/>
      </c>
    </row>
    <row r="21" ht="15" customHeight="1" s="5">
      <c r="A21" s="7" t="inlineStr">
        <is>
          <t>PRJ020</t>
        </is>
      </c>
      <c r="C21" s="7">
        <f>IFERROR(VLOOKUP(A21,Projects!$A:$AK,7,FALSE()),"")</f>
        <v/>
      </c>
    </row>
    <row r="22" ht="15" customHeight="1" s="5">
      <c r="A22" s="7" t="inlineStr">
        <is>
          <t>PRJ021</t>
        </is>
      </c>
      <c r="C22" s="7">
        <f>IFERROR(VLOOKUP(A22,Projects!$A:$AK,7,FALSE()),"")</f>
        <v/>
      </c>
    </row>
    <row r="23" ht="15" customHeight="1" s="5">
      <c r="A23" s="7" t="inlineStr">
        <is>
          <t>PRJ022</t>
        </is>
      </c>
      <c r="C23" s="7">
        <f>IFERROR(VLOOKUP(A23,Projects!$A:$AK,7,FALSE()),"")</f>
        <v/>
      </c>
    </row>
    <row r="24" ht="15" customHeight="1" s="5">
      <c r="A24" s="7" t="inlineStr">
        <is>
          <t>PRJ023</t>
        </is>
      </c>
      <c r="C24" s="7">
        <f>IFERROR(VLOOKUP(A24,Projects!$A:$AK,7,FALSE()),"")</f>
        <v/>
      </c>
    </row>
    <row r="25" ht="15" customHeight="1" s="5">
      <c r="A25" s="7" t="inlineStr">
        <is>
          <t>PRJ024</t>
        </is>
      </c>
      <c r="C25" s="7">
        <f>IFERROR(VLOOKUP(A25,Projects!$A:$AK,7,FALSE()),"")</f>
        <v/>
      </c>
    </row>
    <row r="26" ht="15" customHeight="1" s="5">
      <c r="A26" s="7" t="inlineStr">
        <is>
          <t>PRJ025</t>
        </is>
      </c>
      <c r="C26" s="7">
        <f>IFERROR(VLOOKUP(A26,Projects!$A:$AK,7,FALSE()),"")</f>
        <v/>
      </c>
    </row>
    <row r="27" ht="15" customHeight="1" s="5">
      <c r="A27" s="7" t="inlineStr">
        <is>
          <t>PRJ026</t>
        </is>
      </c>
      <c r="C27" s="7">
        <f>IFERROR(VLOOKUP(A27,Projects!$A:$AK,7,FALSE()),"")</f>
        <v/>
      </c>
    </row>
    <row r="28" ht="15" customHeight="1" s="5">
      <c r="A28" s="7" t="inlineStr">
        <is>
          <t>PRJ027</t>
        </is>
      </c>
      <c r="C28" s="7">
        <f>IFERROR(VLOOKUP(A28,Projects!$A:$AK,7,FALSE()),"")</f>
        <v/>
      </c>
    </row>
    <row r="29" ht="15" customHeight="1" s="5">
      <c r="A29" s="7" t="inlineStr">
        <is>
          <t>PRJ028</t>
        </is>
      </c>
      <c r="C29" s="7">
        <f>IFERROR(VLOOKUP(A29,Projects!$A:$AK,7,FALSE()),"")</f>
        <v/>
      </c>
    </row>
    <row r="30" ht="15" customHeight="1" s="5">
      <c r="A30" s="7" t="inlineStr">
        <is>
          <t>PRJ029</t>
        </is>
      </c>
      <c r="C30" s="7">
        <f>IFERROR(VLOOKUP(A30,Projects!$A:$AK,7,FALSE()),"")</f>
        <v/>
      </c>
    </row>
    <row r="31" ht="15" customHeight="1" s="5">
      <c r="A31" s="7" t="inlineStr">
        <is>
          <t>PRJ030</t>
        </is>
      </c>
      <c r="C31" s="7">
        <f>IFERROR(VLOOKUP(A31,Projects!$A:$AK,7,FALSE()),"")</f>
        <v/>
      </c>
    </row>
    <row r="32" ht="15" customHeight="1" s="5">
      <c r="A32" s="7" t="inlineStr">
        <is>
          <t>PRJ031</t>
        </is>
      </c>
      <c r="C32" s="7">
        <f>IFERROR(VLOOKUP(A32,Projects!$A:$AK,7,FALSE()),"")</f>
        <v/>
      </c>
    </row>
    <row r="33" ht="15" customHeight="1" s="5">
      <c r="A33" s="7" t="inlineStr">
        <is>
          <t>PRJ032</t>
        </is>
      </c>
      <c r="C33" s="7">
        <f>IFERROR(VLOOKUP(A33,Projects!$A:$AK,7,FALSE()),"")</f>
        <v/>
      </c>
    </row>
    <row r="34" ht="15" customHeight="1" s="5">
      <c r="A34" s="7" t="inlineStr">
        <is>
          <t>PRJ033</t>
        </is>
      </c>
      <c r="C34" s="7">
        <f>IFERROR(VLOOKUP(A34,Projects!$A:$AK,7,FALSE()),"")</f>
        <v/>
      </c>
    </row>
    <row r="35" ht="15" customHeight="1" s="5">
      <c r="A35" s="7" t="inlineStr">
        <is>
          <t>PRJ034</t>
        </is>
      </c>
      <c r="C35" s="7">
        <f>IFERROR(VLOOKUP(A35,Projects!$A:$AK,7,FALSE()),"")</f>
        <v/>
      </c>
    </row>
    <row r="36" ht="15" customHeight="1" s="5">
      <c r="A36" s="7" t="inlineStr">
        <is>
          <t>PRJ035</t>
        </is>
      </c>
      <c r="C36" s="7">
        <f>IFERROR(VLOOKUP(A36,Projects!$A:$AK,7,FALSE()),"")</f>
        <v/>
      </c>
    </row>
    <row r="37" ht="15" customHeight="1" s="5">
      <c r="A37" s="7" t="inlineStr">
        <is>
          <t>PRJ036</t>
        </is>
      </c>
      <c r="C37" s="7">
        <f>IFERROR(VLOOKUP(A37,Projects!$A:$AK,7,FALSE()),"")</f>
        <v/>
      </c>
    </row>
    <row r="38" ht="15" customHeight="1" s="5">
      <c r="A38" s="7" t="inlineStr">
        <is>
          <t>PRJ037</t>
        </is>
      </c>
      <c r="C38" s="7">
        <f>IFERROR(VLOOKUP(A38,Projects!$A:$AK,7,FALSE()),"")</f>
        <v/>
      </c>
    </row>
    <row r="39" ht="15" customHeight="1" s="5">
      <c r="A39" s="7" t="inlineStr">
        <is>
          <t>PRJ038</t>
        </is>
      </c>
      <c r="C39" s="7">
        <f>IFERROR(VLOOKUP(A39,Projects!$A:$AK,7,FALSE()),"")</f>
        <v/>
      </c>
    </row>
    <row r="40" ht="15" customHeight="1" s="5">
      <c r="A40" s="7" t="inlineStr">
        <is>
          <t>PRJ039</t>
        </is>
      </c>
      <c r="C40" s="7">
        <f>IFERROR(VLOOKUP(A40,Projects!$A:$AK,7,FALSE()),"")</f>
        <v/>
      </c>
    </row>
    <row r="41" ht="15" customHeight="1" s="5">
      <c r="A41" s="7" t="inlineStr">
        <is>
          <t>PRJ040</t>
        </is>
      </c>
      <c r="C41" s="7">
        <f>IFERROR(VLOOKUP(A41,Projects!$A:$AK,7,FALSE()),"")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F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6" t="inlineStr">
        <is>
          <t>Project ID</t>
        </is>
      </c>
      <c r="B1" s="6" t="inlineStr">
        <is>
          <t>Title</t>
        </is>
      </c>
      <c r="C1" s="6" t="inlineStr">
        <is>
          <t>Type</t>
        </is>
      </c>
      <c r="D1" s="6" t="inlineStr">
        <is>
          <t>URL</t>
        </is>
      </c>
      <c r="E1" s="6" t="inlineStr">
        <is>
          <t>Added By</t>
        </is>
      </c>
      <c r="F1" s="6" t="inlineStr">
        <is>
          <t>Added 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1" zeroHeight="0" outlineLevelRow="0"/>
  <sheetData>
    <row r="1" ht="15" customHeight="1" s="5">
      <c r="A1" s="7" t="inlineStr">
        <is>
          <t>Discovery</t>
        </is>
      </c>
    </row>
    <row r="2" ht="15" customHeight="1" s="5">
      <c r="A2" s="7" t="inlineStr">
        <is>
          <t>Business Case / Seed Funding</t>
        </is>
      </c>
    </row>
    <row r="3" ht="15" customHeight="1" s="5">
      <c r="A3" s="7" t="inlineStr">
        <is>
          <t>Design</t>
        </is>
      </c>
    </row>
    <row r="4" ht="15" customHeight="1" s="5">
      <c r="A4" s="7" t="inlineStr">
        <is>
          <t>Business Case / Full Funding</t>
        </is>
      </c>
    </row>
    <row r="5" ht="15" customHeight="1" s="5">
      <c r="A5" s="7" t="inlineStr">
        <is>
          <t>Build</t>
        </is>
      </c>
    </row>
    <row r="6" ht="15" customHeight="1" s="5">
      <c r="A6" s="7" t="inlineStr">
        <is>
          <t>Testing</t>
        </is>
      </c>
    </row>
    <row r="7" ht="15" customHeight="1" s="5">
      <c r="A7" s="7" t="inlineStr">
        <is>
          <t>Deployment</t>
        </is>
      </c>
    </row>
    <row r="8" ht="15" customHeight="1" s="5">
      <c r="A8" s="7" t="inlineStr">
        <is>
          <t>Handover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Project ID</t>
        </is>
      </c>
      <c r="B1" s="9" t="inlineStr">
        <is>
          <t>Project Name</t>
        </is>
      </c>
      <c r="C1" s="9" t="inlineStr">
        <is>
          <t>FY</t>
        </is>
      </c>
      <c r="D1" s="9" t="inlineStr">
        <is>
          <t>Budget %</t>
        </is>
      </c>
      <c r="E1" s="9" t="inlineStr">
        <is>
          <t>Forecast %</t>
        </is>
      </c>
      <c r="F1" s="9" t="inlineStr">
        <is>
          <t>Budget Amount</t>
        </is>
      </c>
      <c r="G1" s="9" t="inlineStr">
        <is>
          <t>Forecast Amount</t>
        </is>
      </c>
      <c r="H1" s="9" t="inlineStr">
        <is>
          <t>Notes</t>
        </is>
      </c>
    </row>
    <row r="2">
      <c r="A2" t="inlineStr">
        <is>
          <t>PRJ001</t>
        </is>
      </c>
      <c r="B2" t="inlineStr">
        <is>
          <t>Customer Portal</t>
        </is>
      </c>
      <c r="C2" t="inlineStr">
        <is>
          <t>FY25</t>
        </is>
      </c>
      <c r="D2" t="n">
        <v>50</v>
      </c>
      <c r="E2" t="n">
        <v>50</v>
      </c>
      <c r="F2" t="n">
        <v>1296882</v>
      </c>
      <c r="G2" t="n">
        <v>1203668</v>
      </c>
      <c r="H2" t="inlineStr">
        <is>
          <t>Auto-split from Projects.Financial Year — edit to revise</t>
        </is>
      </c>
    </row>
    <row r="3">
      <c r="A3" t="inlineStr">
        <is>
          <t>PRJ001</t>
        </is>
      </c>
      <c r="B3" t="inlineStr">
        <is>
          <t>Customer Portal</t>
        </is>
      </c>
      <c r="C3" t="inlineStr">
        <is>
          <t>FY26</t>
        </is>
      </c>
      <c r="D3" t="n">
        <v>50</v>
      </c>
      <c r="E3" t="n">
        <v>50</v>
      </c>
      <c r="F3" t="n">
        <v>1296882</v>
      </c>
      <c r="G3" t="n">
        <v>1203668</v>
      </c>
      <c r="H3" t="inlineStr">
        <is>
          <t>Auto-split from Projects.Financial Year — edit to revise</t>
        </is>
      </c>
    </row>
    <row r="4">
      <c r="A4" t="inlineStr">
        <is>
          <t>PRJ002</t>
        </is>
      </c>
      <c r="B4" t="inlineStr">
        <is>
          <t>Cloud Migration</t>
        </is>
      </c>
      <c r="C4" t="inlineStr">
        <is>
          <t>FY25</t>
        </is>
      </c>
      <c r="D4" t="n">
        <v>100</v>
      </c>
      <c r="E4" t="n">
        <v>100</v>
      </c>
      <c r="F4" t="n">
        <v>1851915</v>
      </c>
      <c r="G4" t="n">
        <v>2065964</v>
      </c>
      <c r="H4" t="inlineStr">
        <is>
          <t>Auto-split from Projects.Financial Year — edit to revise</t>
        </is>
      </c>
    </row>
    <row r="5">
      <c r="A5" t="inlineStr">
        <is>
          <t>PRJ003</t>
        </is>
      </c>
      <c r="B5" t="inlineStr">
        <is>
          <t>Data Platform</t>
        </is>
      </c>
      <c r="C5" t="inlineStr">
        <is>
          <t>FY25</t>
        </is>
      </c>
      <c r="D5" t="n">
        <v>50</v>
      </c>
      <c r="E5" t="n">
        <v>50</v>
      </c>
      <c r="F5" t="n">
        <v>1947576</v>
      </c>
      <c r="G5" t="n">
        <v>2220804</v>
      </c>
      <c r="H5" t="inlineStr">
        <is>
          <t>Auto-split from Projects.Financial Year — edit to revise</t>
        </is>
      </c>
    </row>
    <row r="6">
      <c r="A6" t="inlineStr">
        <is>
          <t>PRJ003</t>
        </is>
      </c>
      <c r="B6" t="inlineStr">
        <is>
          <t>Data Platform</t>
        </is>
      </c>
      <c r="C6" t="inlineStr">
        <is>
          <t>FY26</t>
        </is>
      </c>
      <c r="D6" t="n">
        <v>50</v>
      </c>
      <c r="E6" t="n">
        <v>50</v>
      </c>
      <c r="F6" t="n">
        <v>1947576</v>
      </c>
      <c r="G6" t="n">
        <v>2220804</v>
      </c>
      <c r="H6" t="inlineStr">
        <is>
          <t>Auto-split from Projects.Financial Year — edit to revise</t>
        </is>
      </c>
    </row>
    <row r="7">
      <c r="A7" t="inlineStr">
        <is>
          <t>PRJ004</t>
        </is>
      </c>
      <c r="B7" t="inlineStr">
        <is>
          <t>AI Assistant</t>
        </is>
      </c>
      <c r="C7" t="inlineStr">
        <is>
          <t>FY25</t>
        </is>
      </c>
      <c r="D7" t="n">
        <v>33.3</v>
      </c>
      <c r="E7" t="n">
        <v>33.3</v>
      </c>
      <c r="F7" t="n">
        <v>514569</v>
      </c>
      <c r="G7" t="n">
        <v>606074</v>
      </c>
      <c r="H7" t="inlineStr">
        <is>
          <t>Auto-split from Projects.Financial Year — edit to revise</t>
        </is>
      </c>
    </row>
    <row r="8">
      <c r="A8" t="inlineStr">
        <is>
          <t>PRJ004</t>
        </is>
      </c>
      <c r="B8" t="inlineStr">
        <is>
          <t>AI Assistant</t>
        </is>
      </c>
      <c r="C8" t="inlineStr">
        <is>
          <t>FY26</t>
        </is>
      </c>
      <c r="D8" t="n">
        <v>33.3</v>
      </c>
      <c r="E8" t="n">
        <v>33.3</v>
      </c>
      <c r="F8" t="n">
        <v>514569</v>
      </c>
      <c r="G8" t="n">
        <v>606074</v>
      </c>
      <c r="H8" t="inlineStr">
        <is>
          <t>Auto-split from Projects.Financial Year — edit to revise</t>
        </is>
      </c>
    </row>
    <row r="9">
      <c r="A9" t="inlineStr">
        <is>
          <t>PRJ004</t>
        </is>
      </c>
      <c r="B9" t="inlineStr">
        <is>
          <t>AI Assistant</t>
        </is>
      </c>
      <c r="C9" t="inlineStr">
        <is>
          <t>FY27</t>
        </is>
      </c>
      <c r="D9" t="n">
        <v>33.3</v>
      </c>
      <c r="E9" t="n">
        <v>33.3</v>
      </c>
      <c r="F9" t="n">
        <v>514569</v>
      </c>
      <c r="G9" t="n">
        <v>606074</v>
      </c>
      <c r="H9" t="inlineStr">
        <is>
          <t>Auto-split from Projects.Financial Year — edit to revise</t>
        </is>
      </c>
    </row>
    <row r="10">
      <c r="A10" t="inlineStr">
        <is>
          <t>PRJ005</t>
        </is>
      </c>
      <c r="B10" t="inlineStr">
        <is>
          <t>Network Refresh</t>
        </is>
      </c>
      <c r="C10" t="inlineStr">
        <is>
          <t>FY25</t>
        </is>
      </c>
      <c r="D10" t="n">
        <v>33.3</v>
      </c>
      <c r="E10" t="n">
        <v>33.3</v>
      </c>
      <c r="F10" t="n">
        <v>554848</v>
      </c>
      <c r="G10" t="n">
        <v>581765</v>
      </c>
      <c r="H10" t="inlineStr">
        <is>
          <t>Auto-split from Projects.Financial Year — edit to revise</t>
        </is>
      </c>
    </row>
    <row r="11">
      <c r="A11" t="inlineStr">
        <is>
          <t>PRJ005</t>
        </is>
      </c>
      <c r="B11" t="inlineStr">
        <is>
          <t>Network Refresh</t>
        </is>
      </c>
      <c r="C11" t="inlineStr">
        <is>
          <t>FY26</t>
        </is>
      </c>
      <c r="D11" t="n">
        <v>33.3</v>
      </c>
      <c r="E11" t="n">
        <v>33.3</v>
      </c>
      <c r="F11" t="n">
        <v>554848</v>
      </c>
      <c r="G11" t="n">
        <v>581765</v>
      </c>
      <c r="H11" t="inlineStr">
        <is>
          <t>Auto-split from Projects.Financial Year — edit to revise</t>
        </is>
      </c>
    </row>
    <row r="12">
      <c r="A12" t="inlineStr">
        <is>
          <t>PRJ005</t>
        </is>
      </c>
      <c r="B12" t="inlineStr">
        <is>
          <t>Network Refresh</t>
        </is>
      </c>
      <c r="C12" t="inlineStr">
        <is>
          <t>FY27</t>
        </is>
      </c>
      <c r="D12" t="n">
        <v>33.3</v>
      </c>
      <c r="E12" t="n">
        <v>33.3</v>
      </c>
      <c r="F12" t="n">
        <v>554848</v>
      </c>
      <c r="G12" t="n">
        <v>581765</v>
      </c>
      <c r="H12" t="inlineStr">
        <is>
          <t>Auto-split from Projects.Financial Year — edit to revise</t>
        </is>
      </c>
    </row>
    <row r="13">
      <c r="A13" t="inlineStr">
        <is>
          <t>PRJ006</t>
        </is>
      </c>
      <c r="B13" t="inlineStr">
        <is>
          <t>Cyber Security Program</t>
        </is>
      </c>
      <c r="C13" t="inlineStr">
        <is>
          <t>FY25</t>
        </is>
      </c>
      <c r="D13" t="n">
        <v>50</v>
      </c>
      <c r="E13" t="n">
        <v>50</v>
      </c>
      <c r="F13" t="n">
        <v>828831</v>
      </c>
      <c r="G13" t="n">
        <v>852316</v>
      </c>
      <c r="H13" t="inlineStr">
        <is>
          <t>Auto-split from Projects.Financial Year — edit to revise</t>
        </is>
      </c>
    </row>
    <row r="14">
      <c r="A14" t="inlineStr">
        <is>
          <t>PRJ006</t>
        </is>
      </c>
      <c r="B14" t="inlineStr">
        <is>
          <t>Cyber Security Program</t>
        </is>
      </c>
      <c r="C14" t="inlineStr">
        <is>
          <t>FY26</t>
        </is>
      </c>
      <c r="D14" t="n">
        <v>50</v>
      </c>
      <c r="E14" t="n">
        <v>50</v>
      </c>
      <c r="F14" t="n">
        <v>828831</v>
      </c>
      <c r="G14" t="n">
        <v>852316</v>
      </c>
      <c r="H14" t="inlineStr">
        <is>
          <t>Auto-split from Projects.Financial Year — edit to revise</t>
        </is>
      </c>
    </row>
    <row r="15">
      <c r="A15" t="inlineStr">
        <is>
          <t>PRJ007</t>
        </is>
      </c>
      <c r="B15" t="inlineStr">
        <is>
          <t>CRM Upgrade</t>
        </is>
      </c>
      <c r="C15" t="inlineStr">
        <is>
          <t>FY25</t>
        </is>
      </c>
      <c r="D15" t="n">
        <v>50</v>
      </c>
      <c r="E15" t="n">
        <v>50</v>
      </c>
      <c r="F15" t="n">
        <v>1775338</v>
      </c>
      <c r="G15" t="n">
        <v>1720411</v>
      </c>
      <c r="H15" t="inlineStr">
        <is>
          <t>Auto-split from Projects.Financial Year — edit to revise</t>
        </is>
      </c>
    </row>
    <row r="16">
      <c r="A16" t="inlineStr">
        <is>
          <t>PRJ007</t>
        </is>
      </c>
      <c r="B16" t="inlineStr">
        <is>
          <t>CRM Upgrade</t>
        </is>
      </c>
      <c r="C16" t="inlineStr">
        <is>
          <t>FY26</t>
        </is>
      </c>
      <c r="D16" t="n">
        <v>50</v>
      </c>
      <c r="E16" t="n">
        <v>50</v>
      </c>
      <c r="F16" t="n">
        <v>1775338</v>
      </c>
      <c r="G16" t="n">
        <v>1720411</v>
      </c>
      <c r="H16" t="inlineStr">
        <is>
          <t>Auto-split from Projects.Financial Year — edit to revise</t>
        </is>
      </c>
    </row>
    <row r="17">
      <c r="A17" t="inlineStr">
        <is>
          <t>PRJ008</t>
        </is>
      </c>
      <c r="B17" t="inlineStr">
        <is>
          <t>Mobile App</t>
        </is>
      </c>
      <c r="C17" t="inlineStr">
        <is>
          <t>FY25</t>
        </is>
      </c>
      <c r="D17" t="n">
        <v>100</v>
      </c>
      <c r="E17" t="n">
        <v>100</v>
      </c>
      <c r="F17" t="n">
        <v>3682125</v>
      </c>
      <c r="G17" t="n">
        <v>3273975</v>
      </c>
      <c r="H17" t="inlineStr">
        <is>
          <t>Auto-split from Projects.Financial Year — edit to revise</t>
        </is>
      </c>
    </row>
    <row r="18">
      <c r="A18" t="inlineStr">
        <is>
          <t>PRJ009</t>
        </is>
      </c>
      <c r="B18" t="inlineStr">
        <is>
          <t>ERP Modernisation</t>
        </is>
      </c>
      <c r="C18" t="inlineStr">
        <is>
          <t>FY26</t>
        </is>
      </c>
      <c r="D18" t="n">
        <v>100</v>
      </c>
      <c r="E18" t="n">
        <v>100</v>
      </c>
      <c r="F18" t="n">
        <v>1133721</v>
      </c>
      <c r="G18" t="n">
        <v>1047705</v>
      </c>
      <c r="H18" t="inlineStr">
        <is>
          <t>Auto-split from Projects.Financial Year — edit to revise</t>
        </is>
      </c>
    </row>
    <row r="19">
      <c r="A19" t="inlineStr">
        <is>
          <t>PRJ010</t>
        </is>
      </c>
      <c r="B19" t="inlineStr">
        <is>
          <t>Workforce Enablement</t>
        </is>
      </c>
      <c r="C19" t="inlineStr">
        <is>
          <t>FY25</t>
        </is>
      </c>
      <c r="D19" t="n">
        <v>50</v>
      </c>
      <c r="E19" t="n">
        <v>50</v>
      </c>
      <c r="F19" t="n">
        <v>1197458</v>
      </c>
      <c r="G19" t="n">
        <v>1042514</v>
      </c>
      <c r="H19" t="inlineStr">
        <is>
          <t>Auto-split from Projects.Financial Year — edit to revise</t>
        </is>
      </c>
    </row>
    <row r="20">
      <c r="A20" t="inlineStr">
        <is>
          <t>PRJ010</t>
        </is>
      </c>
      <c r="B20" t="inlineStr">
        <is>
          <t>Workforce Enablement</t>
        </is>
      </c>
      <c r="C20" t="inlineStr">
        <is>
          <t>FY26</t>
        </is>
      </c>
      <c r="D20" t="n">
        <v>50</v>
      </c>
      <c r="E20" t="n">
        <v>50</v>
      </c>
      <c r="F20" t="n">
        <v>1197458</v>
      </c>
      <c r="G20" t="n">
        <v>1042514</v>
      </c>
      <c r="H20" t="inlineStr">
        <is>
          <t>Auto-split from Projects.Financial Year — edit to revise</t>
        </is>
      </c>
    </row>
    <row r="21">
      <c r="A21" t="inlineStr">
        <is>
          <t>PRJ011</t>
        </is>
      </c>
      <c r="B21" t="inlineStr">
        <is>
          <t>IoT Initiative</t>
        </is>
      </c>
      <c r="C21" t="inlineStr">
        <is>
          <t>FY25</t>
        </is>
      </c>
      <c r="D21" t="n">
        <v>50</v>
      </c>
      <c r="E21" t="n">
        <v>50</v>
      </c>
      <c r="F21" t="n">
        <v>233936</v>
      </c>
      <c r="G21" t="n">
        <v>232505</v>
      </c>
      <c r="H21" t="inlineStr">
        <is>
          <t>Auto-split from Projects.Financial Year — edit to revise</t>
        </is>
      </c>
    </row>
    <row r="22">
      <c r="A22" t="inlineStr">
        <is>
          <t>PRJ011</t>
        </is>
      </c>
      <c r="B22" t="inlineStr">
        <is>
          <t>IoT Initiative</t>
        </is>
      </c>
      <c r="C22" t="inlineStr">
        <is>
          <t>FY26</t>
        </is>
      </c>
      <c r="D22" t="n">
        <v>50</v>
      </c>
      <c r="E22" t="n">
        <v>50</v>
      </c>
      <c r="F22" t="n">
        <v>233936</v>
      </c>
      <c r="G22" t="n">
        <v>232505</v>
      </c>
      <c r="H22" t="inlineStr">
        <is>
          <t>Auto-split from Projects.Financial Year — edit to revise</t>
        </is>
      </c>
    </row>
    <row r="23">
      <c r="A23" t="inlineStr">
        <is>
          <t>PRJ012</t>
        </is>
      </c>
      <c r="B23" t="inlineStr">
        <is>
          <t>Analytics Platform</t>
        </is>
      </c>
      <c r="C23" t="inlineStr">
        <is>
          <t>FY25</t>
        </is>
      </c>
      <c r="D23" t="n">
        <v>33.3</v>
      </c>
      <c r="E23" t="n">
        <v>33.3</v>
      </c>
      <c r="F23" t="n">
        <v>634750</v>
      </c>
      <c r="G23" t="n">
        <v>719049</v>
      </c>
      <c r="H23" t="inlineStr">
        <is>
          <t>Auto-split from Projects.Financial Year — edit to revise</t>
        </is>
      </c>
    </row>
    <row r="24">
      <c r="A24" t="inlineStr">
        <is>
          <t>PRJ012</t>
        </is>
      </c>
      <c r="B24" t="inlineStr">
        <is>
          <t>Analytics Platform</t>
        </is>
      </c>
      <c r="C24" t="inlineStr">
        <is>
          <t>FY26</t>
        </is>
      </c>
      <c r="D24" t="n">
        <v>33.3</v>
      </c>
      <c r="E24" t="n">
        <v>33.3</v>
      </c>
      <c r="F24" t="n">
        <v>634750</v>
      </c>
      <c r="G24" t="n">
        <v>719049</v>
      </c>
      <c r="H24" t="inlineStr">
        <is>
          <t>Auto-split from Projects.Financial Year — edit to revise</t>
        </is>
      </c>
    </row>
    <row r="25">
      <c r="A25" t="inlineStr">
        <is>
          <t>PRJ012</t>
        </is>
      </c>
      <c r="B25" t="inlineStr">
        <is>
          <t>Analytics Platform</t>
        </is>
      </c>
      <c r="C25" t="inlineStr">
        <is>
          <t>FY27</t>
        </is>
      </c>
      <c r="D25" t="n">
        <v>33.3</v>
      </c>
      <c r="E25" t="n">
        <v>33.3</v>
      </c>
      <c r="F25" t="n">
        <v>634750</v>
      </c>
      <c r="G25" t="n">
        <v>719049</v>
      </c>
      <c r="H25" t="inlineStr">
        <is>
          <t>Auto-split from Projects.Financial Year — edit to revise</t>
        </is>
      </c>
    </row>
    <row r="26">
      <c r="A26" t="inlineStr">
        <is>
          <t>PRJ013</t>
        </is>
      </c>
      <c r="B26" t="inlineStr">
        <is>
          <t>API Gateway</t>
        </is>
      </c>
      <c r="C26" t="inlineStr">
        <is>
          <t>FY25</t>
        </is>
      </c>
      <c r="D26" t="n">
        <v>33.3</v>
      </c>
      <c r="E26" t="n">
        <v>33.3</v>
      </c>
      <c r="F26" t="n">
        <v>1314235</v>
      </c>
      <c r="G26" t="n">
        <v>1326395</v>
      </c>
      <c r="H26" t="inlineStr">
        <is>
          <t>Auto-split from Projects.Financial Year — edit to revise</t>
        </is>
      </c>
    </row>
    <row r="27">
      <c r="A27" t="inlineStr">
        <is>
          <t>PRJ013</t>
        </is>
      </c>
      <c r="B27" t="inlineStr">
        <is>
          <t>API Gateway</t>
        </is>
      </c>
      <c r="C27" t="inlineStr">
        <is>
          <t>FY26</t>
        </is>
      </c>
      <c r="D27" t="n">
        <v>33.3</v>
      </c>
      <c r="E27" t="n">
        <v>33.3</v>
      </c>
      <c r="F27" t="n">
        <v>1314235</v>
      </c>
      <c r="G27" t="n">
        <v>1326395</v>
      </c>
      <c r="H27" t="inlineStr">
        <is>
          <t>Auto-split from Projects.Financial Year — edit to revise</t>
        </is>
      </c>
    </row>
    <row r="28">
      <c r="A28" t="inlineStr">
        <is>
          <t>PRJ013</t>
        </is>
      </c>
      <c r="B28" t="inlineStr">
        <is>
          <t>API Gateway</t>
        </is>
      </c>
      <c r="C28" t="inlineStr">
        <is>
          <t>FY27</t>
        </is>
      </c>
      <c r="D28" t="n">
        <v>33.3</v>
      </c>
      <c r="E28" t="n">
        <v>33.3</v>
      </c>
      <c r="F28" t="n">
        <v>1314235</v>
      </c>
      <c r="G28" t="n">
        <v>1326395</v>
      </c>
      <c r="H28" t="inlineStr">
        <is>
          <t>Auto-split from Projects.Financial Year — edit to revise</t>
        </is>
      </c>
    </row>
    <row r="29">
      <c r="A29" t="inlineStr">
        <is>
          <t>PRJ014</t>
        </is>
      </c>
      <c r="B29" t="inlineStr">
        <is>
          <t>Identity Mgmt</t>
        </is>
      </c>
      <c r="C29" t="inlineStr">
        <is>
          <t>FY25</t>
        </is>
      </c>
      <c r="D29" t="n">
        <v>50</v>
      </c>
      <c r="E29" t="n">
        <v>50</v>
      </c>
      <c r="F29" t="n">
        <v>1189146</v>
      </c>
      <c r="G29" t="n">
        <v>1076298</v>
      </c>
      <c r="H29" t="inlineStr">
        <is>
          <t>Auto-split from Projects.Financial Year — edit to revise</t>
        </is>
      </c>
    </row>
    <row r="30">
      <c r="A30" t="inlineStr">
        <is>
          <t>PRJ014</t>
        </is>
      </c>
      <c r="B30" t="inlineStr">
        <is>
          <t>Identity Mgmt</t>
        </is>
      </c>
      <c r="C30" t="inlineStr">
        <is>
          <t>FY26</t>
        </is>
      </c>
      <c r="D30" t="n">
        <v>50</v>
      </c>
      <c r="E30" t="n">
        <v>50</v>
      </c>
      <c r="F30" t="n">
        <v>1189146</v>
      </c>
      <c r="G30" t="n">
        <v>1076298</v>
      </c>
      <c r="H30" t="inlineStr">
        <is>
          <t>Auto-split from Projects.Financial Year — edit to revise</t>
        </is>
      </c>
    </row>
    <row r="31">
      <c r="A31" t="inlineStr">
        <is>
          <t>PRJ015</t>
        </is>
      </c>
      <c r="B31" t="inlineStr">
        <is>
          <t>Service Desk</t>
        </is>
      </c>
      <c r="C31" t="inlineStr">
        <is>
          <t>FY25</t>
        </is>
      </c>
      <c r="D31" t="n">
        <v>50</v>
      </c>
      <c r="E31" t="n">
        <v>50</v>
      </c>
      <c r="F31" t="n">
        <v>666921</v>
      </c>
      <c r="G31" t="n">
        <v>640220</v>
      </c>
      <c r="H31" t="inlineStr">
        <is>
          <t>Auto-split from Projects.Financial Year — edit to revise</t>
        </is>
      </c>
    </row>
    <row r="32">
      <c r="A32" t="inlineStr">
        <is>
          <t>PRJ015</t>
        </is>
      </c>
      <c r="B32" t="inlineStr">
        <is>
          <t>Service Desk</t>
        </is>
      </c>
      <c r="C32" t="inlineStr">
        <is>
          <t>FY26</t>
        </is>
      </c>
      <c r="D32" t="n">
        <v>50</v>
      </c>
      <c r="E32" t="n">
        <v>50</v>
      </c>
      <c r="F32" t="n">
        <v>666921</v>
      </c>
      <c r="G32" t="n">
        <v>640220</v>
      </c>
      <c r="H32" t="inlineStr">
        <is>
          <t>Auto-split from Projects.Financial Year — edit to revise</t>
        </is>
      </c>
    </row>
    <row r="33">
      <c r="A33" t="inlineStr">
        <is>
          <t>PRJ016</t>
        </is>
      </c>
      <c r="B33" t="inlineStr">
        <is>
          <t>Infrastructure Upg</t>
        </is>
      </c>
      <c r="C33" t="inlineStr">
        <is>
          <t>FY25</t>
        </is>
      </c>
      <c r="D33" t="n">
        <v>50</v>
      </c>
      <c r="E33" t="n">
        <v>50</v>
      </c>
      <c r="F33" t="n">
        <v>1767685</v>
      </c>
      <c r="G33" t="n">
        <v>1600128</v>
      </c>
      <c r="H33" t="inlineStr">
        <is>
          <t>Auto-split from Projects.Financial Year — edit to revise</t>
        </is>
      </c>
    </row>
    <row r="34">
      <c r="A34" t="inlineStr">
        <is>
          <t>PRJ016</t>
        </is>
      </c>
      <c r="B34" t="inlineStr">
        <is>
          <t>Infrastructure Upg</t>
        </is>
      </c>
      <c r="C34" t="inlineStr">
        <is>
          <t>FY26</t>
        </is>
      </c>
      <c r="D34" t="n">
        <v>50</v>
      </c>
      <c r="E34" t="n">
        <v>50</v>
      </c>
      <c r="F34" t="n">
        <v>1767685</v>
      </c>
      <c r="G34" t="n">
        <v>1600128</v>
      </c>
      <c r="H34" t="inlineStr">
        <is>
          <t>Auto-split from Projects.Financial Year — edit to revise</t>
        </is>
      </c>
    </row>
    <row r="35">
      <c r="A35" t="inlineStr">
        <is>
          <t>PRJ017</t>
        </is>
      </c>
      <c r="B35" t="inlineStr">
        <is>
          <t>App Modernisation</t>
        </is>
      </c>
      <c r="C35" t="inlineStr">
        <is>
          <t>FY25</t>
        </is>
      </c>
      <c r="D35" t="n">
        <v>50</v>
      </c>
      <c r="E35" t="n">
        <v>50</v>
      </c>
      <c r="F35" t="n">
        <v>1449344</v>
      </c>
      <c r="G35" t="n">
        <v>1365854</v>
      </c>
      <c r="H35" t="inlineStr">
        <is>
          <t>Auto-split from Projects.Financial Year — edit to revise</t>
        </is>
      </c>
    </row>
    <row r="36">
      <c r="A36" t="inlineStr">
        <is>
          <t>PRJ017</t>
        </is>
      </c>
      <c r="B36" t="inlineStr">
        <is>
          <t>App Modernisation</t>
        </is>
      </c>
      <c r="C36" t="inlineStr">
        <is>
          <t>FY26</t>
        </is>
      </c>
      <c r="D36" t="n">
        <v>50</v>
      </c>
      <c r="E36" t="n">
        <v>50</v>
      </c>
      <c r="F36" t="n">
        <v>1449344</v>
      </c>
      <c r="G36" t="n">
        <v>1365854</v>
      </c>
      <c r="H36" t="inlineStr">
        <is>
          <t>Auto-split from Projects.Financial Year — edit to revise</t>
        </is>
      </c>
    </row>
    <row r="37">
      <c r="A37" t="inlineStr">
        <is>
          <t>PRJ018</t>
        </is>
      </c>
      <c r="B37" t="inlineStr">
        <is>
          <t>RPA Program</t>
        </is>
      </c>
      <c r="C37" t="inlineStr">
        <is>
          <t>FY25</t>
        </is>
      </c>
      <c r="D37" t="n">
        <v>50</v>
      </c>
      <c r="E37" t="n">
        <v>50</v>
      </c>
      <c r="F37" t="n">
        <v>883990</v>
      </c>
      <c r="G37" t="n">
        <v>1024621</v>
      </c>
      <c r="H37" t="inlineStr">
        <is>
          <t>Auto-split from Projects.Financial Year — edit to revise</t>
        </is>
      </c>
    </row>
    <row r="38">
      <c r="A38" t="inlineStr">
        <is>
          <t>PRJ018</t>
        </is>
      </c>
      <c r="B38" t="inlineStr">
        <is>
          <t>RPA Program</t>
        </is>
      </c>
      <c r="C38" t="inlineStr">
        <is>
          <t>FY26</t>
        </is>
      </c>
      <c r="D38" t="n">
        <v>50</v>
      </c>
      <c r="E38" t="n">
        <v>50</v>
      </c>
      <c r="F38" t="n">
        <v>883990</v>
      </c>
      <c r="G38" t="n">
        <v>1024621</v>
      </c>
      <c r="H38" t="inlineStr">
        <is>
          <t>Auto-split from Projects.Financial Year — edit to revise</t>
        </is>
      </c>
    </row>
    <row r="39">
      <c r="A39" t="inlineStr">
        <is>
          <t>PRJ019</t>
        </is>
      </c>
      <c r="B39" t="inlineStr">
        <is>
          <t>Vendor Mgmt</t>
        </is>
      </c>
      <c r="C39" t="inlineStr">
        <is>
          <t>FY25</t>
        </is>
      </c>
      <c r="D39" t="n">
        <v>50</v>
      </c>
      <c r="E39" t="n">
        <v>50</v>
      </c>
      <c r="F39" t="n">
        <v>250448</v>
      </c>
      <c r="G39" t="n">
        <v>248502</v>
      </c>
      <c r="H39" t="inlineStr">
        <is>
          <t>Auto-split from Projects.Financial Year — edit to revise</t>
        </is>
      </c>
    </row>
    <row r="40">
      <c r="A40" t="inlineStr">
        <is>
          <t>PRJ019</t>
        </is>
      </c>
      <c r="B40" t="inlineStr">
        <is>
          <t>Vendor Mgmt</t>
        </is>
      </c>
      <c r="C40" t="inlineStr">
        <is>
          <t>FY26</t>
        </is>
      </c>
      <c r="D40" t="n">
        <v>50</v>
      </c>
      <c r="E40" t="n">
        <v>50</v>
      </c>
      <c r="F40" t="n">
        <v>250448</v>
      </c>
      <c r="G40" t="n">
        <v>248502</v>
      </c>
      <c r="H40" t="inlineStr">
        <is>
          <t>Auto-split from Projects.Financial Year — edit to revise</t>
        </is>
      </c>
    </row>
    <row r="41">
      <c r="A41" t="inlineStr">
        <is>
          <t>PRJ020</t>
        </is>
      </c>
      <c r="B41" t="inlineStr">
        <is>
          <t>Process Automation</t>
        </is>
      </c>
      <c r="C41" t="inlineStr">
        <is>
          <t>FY25</t>
        </is>
      </c>
      <c r="D41" t="n">
        <v>100</v>
      </c>
      <c r="E41" t="n">
        <v>100</v>
      </c>
      <c r="F41" t="n">
        <v>3501450</v>
      </c>
      <c r="G41" t="n">
        <v>3976966</v>
      </c>
      <c r="H41" t="inlineStr">
        <is>
          <t>Auto-split from Projects.Financial Year — edit to revise</t>
        </is>
      </c>
    </row>
    <row r="42">
      <c r="A42" t="inlineStr">
        <is>
          <t>PRJ021</t>
        </is>
      </c>
      <c r="B42" t="inlineStr">
        <is>
          <t>Data Warehouse</t>
        </is>
      </c>
      <c r="C42" t="inlineStr">
        <is>
          <t>FY25</t>
        </is>
      </c>
      <c r="D42" t="n">
        <v>100</v>
      </c>
      <c r="E42" t="n">
        <v>100</v>
      </c>
      <c r="F42" t="n">
        <v>3926484</v>
      </c>
      <c r="G42" t="n">
        <v>3496022</v>
      </c>
      <c r="H42" t="inlineStr">
        <is>
          <t>Auto-split from Projects.Financial Year — edit to revise</t>
        </is>
      </c>
    </row>
    <row r="43">
      <c r="A43" t="inlineStr">
        <is>
          <t>PRJ022</t>
        </is>
      </c>
      <c r="B43" t="inlineStr">
        <is>
          <t>DevOps Tools</t>
        </is>
      </c>
      <c r="C43" t="inlineStr">
        <is>
          <t>FY25</t>
        </is>
      </c>
      <c r="D43" t="n">
        <v>50</v>
      </c>
      <c r="E43" t="n">
        <v>50</v>
      </c>
      <c r="F43" t="n">
        <v>1432132</v>
      </c>
      <c r="G43" t="n">
        <v>1487208</v>
      </c>
      <c r="H43" t="inlineStr">
        <is>
          <t>Auto-split from Projects.Financial Year — edit to revise</t>
        </is>
      </c>
    </row>
    <row r="44">
      <c r="A44" t="inlineStr">
        <is>
          <t>PRJ022</t>
        </is>
      </c>
      <c r="B44" t="inlineStr">
        <is>
          <t>DevOps Tools</t>
        </is>
      </c>
      <c r="C44" t="inlineStr">
        <is>
          <t>FY26</t>
        </is>
      </c>
      <c r="D44" t="n">
        <v>50</v>
      </c>
      <c r="E44" t="n">
        <v>50</v>
      </c>
      <c r="F44" t="n">
        <v>1432132</v>
      </c>
      <c r="G44" t="n">
        <v>1487208</v>
      </c>
      <c r="H44" t="inlineStr">
        <is>
          <t>Auto-split from Projects.Financial Year — edit to revise</t>
        </is>
      </c>
    </row>
    <row r="45">
      <c r="A45" t="inlineStr">
        <is>
          <t>PRJ023</t>
        </is>
      </c>
      <c r="B45" t="inlineStr">
        <is>
          <t>Workforce Portal</t>
        </is>
      </c>
      <c r="C45" t="inlineStr">
        <is>
          <t>FY25</t>
        </is>
      </c>
      <c r="D45" t="n">
        <v>50</v>
      </c>
      <c r="E45" t="n">
        <v>50</v>
      </c>
      <c r="F45" t="n">
        <v>1409556</v>
      </c>
      <c r="G45" t="n">
        <v>1526162</v>
      </c>
      <c r="H45" t="inlineStr">
        <is>
          <t>Auto-split from Projects.Financial Year — edit to revise</t>
        </is>
      </c>
    </row>
    <row r="46">
      <c r="A46" t="inlineStr">
        <is>
          <t>PRJ023</t>
        </is>
      </c>
      <c r="B46" t="inlineStr">
        <is>
          <t>Workforce Portal</t>
        </is>
      </c>
      <c r="C46" t="inlineStr">
        <is>
          <t>FY26</t>
        </is>
      </c>
      <c r="D46" t="n">
        <v>50</v>
      </c>
      <c r="E46" t="n">
        <v>50</v>
      </c>
      <c r="F46" t="n">
        <v>1409556</v>
      </c>
      <c r="G46" t="n">
        <v>1526162</v>
      </c>
      <c r="H46" t="inlineStr">
        <is>
          <t>Auto-split from Projects.Financial Year — edit to revise</t>
        </is>
      </c>
    </row>
    <row r="47">
      <c r="A47" t="inlineStr">
        <is>
          <t>PRJ024</t>
        </is>
      </c>
      <c r="B47" t="inlineStr">
        <is>
          <t>Process Mining</t>
        </is>
      </c>
      <c r="C47" t="inlineStr">
        <is>
          <t>FY25</t>
        </is>
      </c>
      <c r="D47" t="n">
        <v>33.3</v>
      </c>
      <c r="E47" t="n">
        <v>33.3</v>
      </c>
      <c r="F47" t="n">
        <v>311145</v>
      </c>
      <c r="G47" t="n">
        <v>351161</v>
      </c>
      <c r="H47" t="inlineStr">
        <is>
          <t>Auto-split from Projects.Financial Year — edit to revise</t>
        </is>
      </c>
    </row>
    <row r="48">
      <c r="A48" t="inlineStr">
        <is>
          <t>PRJ024</t>
        </is>
      </c>
      <c r="B48" t="inlineStr">
        <is>
          <t>Process Mining</t>
        </is>
      </c>
      <c r="C48" t="inlineStr">
        <is>
          <t>FY26</t>
        </is>
      </c>
      <c r="D48" t="n">
        <v>33.3</v>
      </c>
      <c r="E48" t="n">
        <v>33.3</v>
      </c>
      <c r="F48" t="n">
        <v>311145</v>
      </c>
      <c r="G48" t="n">
        <v>351161</v>
      </c>
      <c r="H48" t="inlineStr">
        <is>
          <t>Auto-split from Projects.Financial Year — edit to revise</t>
        </is>
      </c>
    </row>
    <row r="49">
      <c r="A49" t="inlineStr">
        <is>
          <t>PRJ024</t>
        </is>
      </c>
      <c r="B49" t="inlineStr">
        <is>
          <t>Process Mining</t>
        </is>
      </c>
      <c r="C49" t="inlineStr">
        <is>
          <t>FY27</t>
        </is>
      </c>
      <c r="D49" t="n">
        <v>33.3</v>
      </c>
      <c r="E49" t="n">
        <v>33.3</v>
      </c>
      <c r="F49" t="n">
        <v>311145</v>
      </c>
      <c r="G49" t="n">
        <v>351161</v>
      </c>
      <c r="H49" t="inlineStr">
        <is>
          <t>Auto-split from Projects.Financial Year — edit to revise</t>
        </is>
      </c>
    </row>
    <row r="50">
      <c r="A50" t="inlineStr">
        <is>
          <t>PRJ025</t>
        </is>
      </c>
      <c r="B50" t="inlineStr">
        <is>
          <t>Customer Insights</t>
        </is>
      </c>
      <c r="C50" t="inlineStr">
        <is>
          <t>FY25</t>
        </is>
      </c>
      <c r="D50" t="n">
        <v>33.3</v>
      </c>
      <c r="E50" t="n">
        <v>33.3</v>
      </c>
      <c r="F50" t="n">
        <v>625374</v>
      </c>
      <c r="G50" t="n">
        <v>688800</v>
      </c>
      <c r="H50" t="inlineStr">
        <is>
          <t>Auto-split from Projects.Financial Year — edit to revise</t>
        </is>
      </c>
    </row>
    <row r="51">
      <c r="A51" t="inlineStr">
        <is>
          <t>PRJ025</t>
        </is>
      </c>
      <c r="B51" t="inlineStr">
        <is>
          <t>Customer Insights</t>
        </is>
      </c>
      <c r="C51" t="inlineStr">
        <is>
          <t>FY26</t>
        </is>
      </c>
      <c r="D51" t="n">
        <v>33.3</v>
      </c>
      <c r="E51" t="n">
        <v>33.3</v>
      </c>
      <c r="F51" t="n">
        <v>625374</v>
      </c>
      <c r="G51" t="n">
        <v>688800</v>
      </c>
      <c r="H51" t="inlineStr">
        <is>
          <t>Auto-split from Projects.Financial Year — edit to revise</t>
        </is>
      </c>
    </row>
    <row r="52">
      <c r="A52" t="inlineStr">
        <is>
          <t>PRJ025</t>
        </is>
      </c>
      <c r="B52" t="inlineStr">
        <is>
          <t>Customer Insights</t>
        </is>
      </c>
      <c r="C52" t="inlineStr">
        <is>
          <t>FY27</t>
        </is>
      </c>
      <c r="D52" t="n">
        <v>33.3</v>
      </c>
      <c r="E52" t="n">
        <v>33.3</v>
      </c>
      <c r="F52" t="n">
        <v>625374</v>
      </c>
      <c r="G52" t="n">
        <v>688800</v>
      </c>
      <c r="H52" t="inlineStr">
        <is>
          <t>Auto-split from Projects.Financial Year — edit to revise</t>
        </is>
      </c>
    </row>
    <row r="53">
      <c r="A53" t="inlineStr">
        <is>
          <t>PRJ026</t>
        </is>
      </c>
      <c r="B53" t="inlineStr">
        <is>
          <t>ERP Modernisation 2</t>
        </is>
      </c>
      <c r="C53" t="inlineStr">
        <is>
          <t>FY25</t>
        </is>
      </c>
      <c r="D53" t="n">
        <v>50</v>
      </c>
      <c r="E53" t="n">
        <v>50</v>
      </c>
      <c r="F53" t="n">
        <v>1351776</v>
      </c>
      <c r="G53" t="n">
        <v>1598494</v>
      </c>
      <c r="H53" t="inlineStr">
        <is>
          <t>Auto-split from Projects.Financial Year — edit to revise</t>
        </is>
      </c>
    </row>
    <row r="54">
      <c r="A54" t="inlineStr">
        <is>
          <t>PRJ026</t>
        </is>
      </c>
      <c r="B54" t="inlineStr">
        <is>
          <t>ERP Modernisation 2</t>
        </is>
      </c>
      <c r="C54" t="inlineStr">
        <is>
          <t>FY26</t>
        </is>
      </c>
      <c r="D54" t="n">
        <v>50</v>
      </c>
      <c r="E54" t="n">
        <v>50</v>
      </c>
      <c r="F54" t="n">
        <v>1351776</v>
      </c>
      <c r="G54" t="n">
        <v>1598494</v>
      </c>
      <c r="H54" t="inlineStr">
        <is>
          <t>Auto-split from Projects.Financial Year — edit to revise</t>
        </is>
      </c>
    </row>
    <row r="55">
      <c r="A55" t="inlineStr">
        <is>
          <t>PRJ027</t>
        </is>
      </c>
      <c r="B55" t="inlineStr">
        <is>
          <t>Cyber Program</t>
        </is>
      </c>
      <c r="C55" t="inlineStr">
        <is>
          <t>FY25</t>
        </is>
      </c>
      <c r="D55" t="n">
        <v>50</v>
      </c>
      <c r="E55" t="n">
        <v>50</v>
      </c>
      <c r="F55" t="n">
        <v>907752</v>
      </c>
      <c r="G55" t="n">
        <v>878292</v>
      </c>
      <c r="H55" t="inlineStr">
        <is>
          <t>Auto-split from Projects.Financial Year — edit to revise</t>
        </is>
      </c>
    </row>
    <row r="56">
      <c r="A56" t="inlineStr">
        <is>
          <t>PRJ027</t>
        </is>
      </c>
      <c r="B56" t="inlineStr">
        <is>
          <t>Cyber Program</t>
        </is>
      </c>
      <c r="C56" t="inlineStr">
        <is>
          <t>FY26</t>
        </is>
      </c>
      <c r="D56" t="n">
        <v>50</v>
      </c>
      <c r="E56" t="n">
        <v>50</v>
      </c>
      <c r="F56" t="n">
        <v>907752</v>
      </c>
      <c r="G56" t="n">
        <v>878292</v>
      </c>
      <c r="H56" t="inlineStr">
        <is>
          <t>Auto-split from Projects.Financial Year — edit to revise</t>
        </is>
      </c>
    </row>
    <row r="57">
      <c r="A57" t="inlineStr">
        <is>
          <t>PRJ028</t>
        </is>
      </c>
      <c r="B57" t="inlineStr">
        <is>
          <t>Mobile App 2</t>
        </is>
      </c>
      <c r="C57" t="inlineStr">
        <is>
          <t>FY25</t>
        </is>
      </c>
      <c r="D57" t="n">
        <v>50</v>
      </c>
      <c r="E57" t="n">
        <v>50</v>
      </c>
      <c r="F57" t="n">
        <v>809480</v>
      </c>
      <c r="G57" t="n">
        <v>693592</v>
      </c>
      <c r="H57" t="inlineStr">
        <is>
          <t>Auto-split from Projects.Financial Year — edit to revise</t>
        </is>
      </c>
    </row>
    <row r="58">
      <c r="A58" t="inlineStr">
        <is>
          <t>PRJ028</t>
        </is>
      </c>
      <c r="B58" t="inlineStr">
        <is>
          <t>Mobile App 2</t>
        </is>
      </c>
      <c r="C58" t="inlineStr">
        <is>
          <t>FY26</t>
        </is>
      </c>
      <c r="D58" t="n">
        <v>50</v>
      </c>
      <c r="E58" t="n">
        <v>50</v>
      </c>
      <c r="F58" t="n">
        <v>809480</v>
      </c>
      <c r="G58" t="n">
        <v>693592</v>
      </c>
      <c r="H58" t="inlineStr">
        <is>
          <t>Auto-split from Projects.Financial Year — edit to revise</t>
        </is>
      </c>
    </row>
    <row r="59">
      <c r="A59" t="inlineStr">
        <is>
          <t>PRJ029</t>
        </is>
      </c>
      <c r="B59" t="inlineStr">
        <is>
          <t>Analytics Platform 2</t>
        </is>
      </c>
      <c r="C59" t="inlineStr">
        <is>
          <t>FY25</t>
        </is>
      </c>
      <c r="D59" t="n">
        <v>50</v>
      </c>
      <c r="E59" t="n">
        <v>50</v>
      </c>
      <c r="F59" t="n">
        <v>997002</v>
      </c>
      <c r="G59" t="n">
        <v>1125964</v>
      </c>
      <c r="H59" t="inlineStr">
        <is>
          <t>Auto-split from Projects.Financial Year — edit to revise</t>
        </is>
      </c>
    </row>
    <row r="60">
      <c r="A60" t="inlineStr">
        <is>
          <t>PRJ029</t>
        </is>
      </c>
      <c r="B60" t="inlineStr">
        <is>
          <t>Analytics Platform 2</t>
        </is>
      </c>
      <c r="C60" t="inlineStr">
        <is>
          <t>FY26</t>
        </is>
      </c>
      <c r="D60" t="n">
        <v>50</v>
      </c>
      <c r="E60" t="n">
        <v>50</v>
      </c>
      <c r="F60" t="n">
        <v>997002</v>
      </c>
      <c r="G60" t="n">
        <v>1125964</v>
      </c>
      <c r="H60" t="inlineStr">
        <is>
          <t>Auto-split from Projects.Financial Year — edit to revise</t>
        </is>
      </c>
    </row>
    <row r="61">
      <c r="A61" t="inlineStr">
        <is>
          <t>PRJ030</t>
        </is>
      </c>
      <c r="B61" t="inlineStr">
        <is>
          <t>Service Desk 2</t>
        </is>
      </c>
      <c r="C61" t="inlineStr">
        <is>
          <t>FY25</t>
        </is>
      </c>
      <c r="D61" t="n">
        <v>50</v>
      </c>
      <c r="E61" t="n">
        <v>50</v>
      </c>
      <c r="F61" t="n">
        <v>557305</v>
      </c>
      <c r="G61" t="n">
        <v>539541</v>
      </c>
      <c r="H61" t="inlineStr">
        <is>
          <t>Auto-split from Projects.Financial Year — edit to revise</t>
        </is>
      </c>
    </row>
    <row r="62">
      <c r="A62" t="inlineStr">
        <is>
          <t>PRJ030</t>
        </is>
      </c>
      <c r="B62" t="inlineStr">
        <is>
          <t>Service Desk 2</t>
        </is>
      </c>
      <c r="C62" t="inlineStr">
        <is>
          <t>FY26</t>
        </is>
      </c>
      <c r="D62" t="n">
        <v>50</v>
      </c>
      <c r="E62" t="n">
        <v>50</v>
      </c>
      <c r="F62" t="n">
        <v>557305</v>
      </c>
      <c r="G62" t="n">
        <v>539541</v>
      </c>
      <c r="H62" t="inlineStr">
        <is>
          <t>Auto-split from Projects.Financial Year — edit to revise</t>
        </is>
      </c>
    </row>
    <row r="63">
      <c r="A63" t="inlineStr">
        <is>
          <t>PRJ031</t>
        </is>
      </c>
      <c r="B63" t="inlineStr">
        <is>
          <t>Quality Mgmt</t>
        </is>
      </c>
      <c r="C63" t="inlineStr">
        <is>
          <t>FY25</t>
        </is>
      </c>
      <c r="D63" t="n">
        <v>50</v>
      </c>
      <c r="E63" t="n">
        <v>50</v>
      </c>
      <c r="F63" t="n">
        <v>438754</v>
      </c>
      <c r="G63" t="n">
        <v>392324</v>
      </c>
      <c r="H63" t="inlineStr">
        <is>
          <t>Auto-split from Projects.Financial Year — edit to revise</t>
        </is>
      </c>
    </row>
    <row r="64">
      <c r="A64" t="inlineStr">
        <is>
          <t>PRJ031</t>
        </is>
      </c>
      <c r="B64" t="inlineStr">
        <is>
          <t>Quality Mgmt</t>
        </is>
      </c>
      <c r="C64" t="inlineStr">
        <is>
          <t>FY26</t>
        </is>
      </c>
      <c r="D64" t="n">
        <v>50</v>
      </c>
      <c r="E64" t="n">
        <v>50</v>
      </c>
      <c r="F64" t="n">
        <v>438754</v>
      </c>
      <c r="G64" t="n">
        <v>392324</v>
      </c>
      <c r="H64" t="inlineStr">
        <is>
          <t>Auto-split from Projects.Financial Year — edit to revise</t>
        </is>
      </c>
    </row>
    <row r="65">
      <c r="A65" t="inlineStr">
        <is>
          <t>PRJ032</t>
        </is>
      </c>
      <c r="B65" t="inlineStr">
        <is>
          <t>Compliance Hub</t>
        </is>
      </c>
      <c r="C65" t="inlineStr">
        <is>
          <t>FY25</t>
        </is>
      </c>
      <c r="D65" t="n">
        <v>33.3</v>
      </c>
      <c r="E65" t="n">
        <v>33.3</v>
      </c>
      <c r="F65" t="n">
        <v>1240887</v>
      </c>
      <c r="G65" t="n">
        <v>1217753</v>
      </c>
      <c r="H65" t="inlineStr">
        <is>
          <t>Auto-split from Projects.Financial Year — edit to revise</t>
        </is>
      </c>
    </row>
    <row r="66">
      <c r="A66" t="inlineStr">
        <is>
          <t>PRJ032</t>
        </is>
      </c>
      <c r="B66" t="inlineStr">
        <is>
          <t>Compliance Hub</t>
        </is>
      </c>
      <c r="C66" t="inlineStr">
        <is>
          <t>FY26</t>
        </is>
      </c>
      <c r="D66" t="n">
        <v>33.3</v>
      </c>
      <c r="E66" t="n">
        <v>33.3</v>
      </c>
      <c r="F66" t="n">
        <v>1240887</v>
      </c>
      <c r="G66" t="n">
        <v>1217753</v>
      </c>
      <c r="H66" t="inlineStr">
        <is>
          <t>Auto-split from Projects.Financial Year — edit to revise</t>
        </is>
      </c>
    </row>
    <row r="67">
      <c r="A67" t="inlineStr">
        <is>
          <t>PRJ032</t>
        </is>
      </c>
      <c r="B67" t="inlineStr">
        <is>
          <t>Compliance Hub</t>
        </is>
      </c>
      <c r="C67" t="inlineStr">
        <is>
          <t>FY27</t>
        </is>
      </c>
      <c r="D67" t="n">
        <v>33.3</v>
      </c>
      <c r="E67" t="n">
        <v>33.3</v>
      </c>
      <c r="F67" t="n">
        <v>1240887</v>
      </c>
      <c r="G67" t="n">
        <v>1217753</v>
      </c>
      <c r="H67" t="inlineStr">
        <is>
          <t>Auto-split from Projects.Financial Year — edit to revise</t>
        </is>
      </c>
    </row>
    <row r="68">
      <c r="A68" t="inlineStr">
        <is>
          <t>PRJ033</t>
        </is>
      </c>
      <c r="B68" t="inlineStr">
        <is>
          <t>Risk Platform</t>
        </is>
      </c>
      <c r="C68" t="inlineStr">
        <is>
          <t>FY25</t>
        </is>
      </c>
      <c r="D68" t="n">
        <v>33.3</v>
      </c>
      <c r="E68" t="n">
        <v>33.3</v>
      </c>
      <c r="F68" t="n">
        <v>515075</v>
      </c>
      <c r="G68" t="n">
        <v>590972</v>
      </c>
      <c r="H68" t="inlineStr">
        <is>
          <t>Auto-split from Projects.Financial Year — edit to revise</t>
        </is>
      </c>
    </row>
    <row r="69">
      <c r="A69" t="inlineStr">
        <is>
          <t>PRJ033</t>
        </is>
      </c>
      <c r="B69" t="inlineStr">
        <is>
          <t>Risk Platform</t>
        </is>
      </c>
      <c r="C69" t="inlineStr">
        <is>
          <t>FY26</t>
        </is>
      </c>
      <c r="D69" t="n">
        <v>33.3</v>
      </c>
      <c r="E69" t="n">
        <v>33.3</v>
      </c>
      <c r="F69" t="n">
        <v>515075</v>
      </c>
      <c r="G69" t="n">
        <v>590972</v>
      </c>
      <c r="H69" t="inlineStr">
        <is>
          <t>Auto-split from Projects.Financial Year — edit to revise</t>
        </is>
      </c>
    </row>
    <row r="70">
      <c r="A70" t="inlineStr">
        <is>
          <t>PRJ033</t>
        </is>
      </c>
      <c r="B70" t="inlineStr">
        <is>
          <t>Risk Platform</t>
        </is>
      </c>
      <c r="C70" t="inlineStr">
        <is>
          <t>FY27</t>
        </is>
      </c>
      <c r="D70" t="n">
        <v>33.3</v>
      </c>
      <c r="E70" t="n">
        <v>33.3</v>
      </c>
      <c r="F70" t="n">
        <v>515075</v>
      </c>
      <c r="G70" t="n">
        <v>590972</v>
      </c>
      <c r="H70" t="inlineStr">
        <is>
          <t>Auto-split from Projects.Financial Year — edit to revise</t>
        </is>
      </c>
    </row>
    <row r="71">
      <c r="A71" t="inlineStr">
        <is>
          <t>PRJ034</t>
        </is>
      </c>
      <c r="B71" t="inlineStr">
        <is>
          <t>Treasury Sys</t>
        </is>
      </c>
      <c r="C71" t="inlineStr">
        <is>
          <t>FY25</t>
        </is>
      </c>
      <c r="D71" t="n">
        <v>33.3</v>
      </c>
      <c r="E71" t="n">
        <v>33.3</v>
      </c>
      <c r="F71" t="n">
        <v>452329</v>
      </c>
      <c r="G71" t="n">
        <v>428639</v>
      </c>
      <c r="H71" t="inlineStr">
        <is>
          <t>Auto-split from Projects.Financial Year — edit to revise</t>
        </is>
      </c>
    </row>
    <row r="72">
      <c r="A72" t="inlineStr">
        <is>
          <t>PRJ034</t>
        </is>
      </c>
      <c r="B72" t="inlineStr">
        <is>
          <t>Treasury Sys</t>
        </is>
      </c>
      <c r="C72" t="inlineStr">
        <is>
          <t>FY26</t>
        </is>
      </c>
      <c r="D72" t="n">
        <v>33.3</v>
      </c>
      <c r="E72" t="n">
        <v>33.3</v>
      </c>
      <c r="F72" t="n">
        <v>452329</v>
      </c>
      <c r="G72" t="n">
        <v>428639</v>
      </c>
      <c r="H72" t="inlineStr">
        <is>
          <t>Auto-split from Projects.Financial Year — edit to revise</t>
        </is>
      </c>
    </row>
    <row r="73">
      <c r="A73" t="inlineStr">
        <is>
          <t>PRJ034</t>
        </is>
      </c>
      <c r="B73" t="inlineStr">
        <is>
          <t>Treasury Sys</t>
        </is>
      </c>
      <c r="C73" t="inlineStr">
        <is>
          <t>FY27</t>
        </is>
      </c>
      <c r="D73" t="n">
        <v>33.3</v>
      </c>
      <c r="E73" t="n">
        <v>33.3</v>
      </c>
      <c r="F73" t="n">
        <v>452329</v>
      </c>
      <c r="G73" t="n">
        <v>428639</v>
      </c>
      <c r="H73" t="inlineStr">
        <is>
          <t>Auto-split from Projects.Financial Year — edit to revise</t>
        </is>
      </c>
    </row>
    <row r="74">
      <c r="A74" t="inlineStr">
        <is>
          <t>PRJ035</t>
        </is>
      </c>
      <c r="B74" t="inlineStr">
        <is>
          <t>Payroll Cloud</t>
        </is>
      </c>
      <c r="C74" t="inlineStr">
        <is>
          <t>FY25</t>
        </is>
      </c>
      <c r="D74" t="n">
        <v>50</v>
      </c>
      <c r="E74" t="n">
        <v>50</v>
      </c>
      <c r="F74" t="n">
        <v>1766210</v>
      </c>
      <c r="G74" t="n">
        <v>1619384</v>
      </c>
      <c r="H74" t="inlineStr">
        <is>
          <t>Auto-split from Projects.Financial Year — edit to revise</t>
        </is>
      </c>
    </row>
    <row r="75">
      <c r="A75" t="inlineStr">
        <is>
          <t>PRJ035</t>
        </is>
      </c>
      <c r="B75" t="inlineStr">
        <is>
          <t>Payroll Cloud</t>
        </is>
      </c>
      <c r="C75" t="inlineStr">
        <is>
          <t>FY26</t>
        </is>
      </c>
      <c r="D75" t="n">
        <v>50</v>
      </c>
      <c r="E75" t="n">
        <v>50</v>
      </c>
      <c r="F75" t="n">
        <v>1766210</v>
      </c>
      <c r="G75" t="n">
        <v>1619384</v>
      </c>
      <c r="H75" t="inlineStr">
        <is>
          <t>Auto-split from Projects.Financial Year — edit to revise</t>
        </is>
      </c>
    </row>
    <row r="76">
      <c r="A76" t="inlineStr">
        <is>
          <t>PRJ036</t>
        </is>
      </c>
      <c r="B76" t="inlineStr">
        <is>
          <t>HR Self-Service</t>
        </is>
      </c>
      <c r="C76" t="inlineStr">
        <is>
          <t>FY25</t>
        </is>
      </c>
      <c r="D76" t="n">
        <v>100</v>
      </c>
      <c r="E76" t="n">
        <v>100</v>
      </c>
      <c r="F76" t="n">
        <v>2258545</v>
      </c>
      <c r="G76" t="n">
        <v>2354840</v>
      </c>
      <c r="H76" t="inlineStr">
        <is>
          <t>Auto-split from Projects.Financial Year — edit to revise</t>
        </is>
      </c>
    </row>
    <row r="77">
      <c r="A77" t="inlineStr">
        <is>
          <t>PRJ037</t>
        </is>
      </c>
      <c r="B77" t="inlineStr">
        <is>
          <t>SAP S/4HANA</t>
        </is>
      </c>
      <c r="C77" t="inlineStr">
        <is>
          <t>FY25</t>
        </is>
      </c>
      <c r="D77" t="n">
        <v>100</v>
      </c>
      <c r="E77" t="n">
        <v>100</v>
      </c>
      <c r="F77" t="n">
        <v>1203695</v>
      </c>
      <c r="G77" t="n">
        <v>1118978</v>
      </c>
      <c r="H77" t="inlineStr">
        <is>
          <t>Auto-split from Projects.Financial Year — edit to revise</t>
        </is>
      </c>
    </row>
    <row r="78">
      <c r="A78" t="inlineStr">
        <is>
          <t>PRJ038</t>
        </is>
      </c>
      <c r="B78" t="inlineStr">
        <is>
          <t>Salesforce CRM</t>
        </is>
      </c>
      <c r="C78" t="inlineStr">
        <is>
          <t>FY25</t>
        </is>
      </c>
      <c r="D78" t="n">
        <v>50</v>
      </c>
      <c r="E78" t="n">
        <v>50</v>
      </c>
      <c r="F78" t="n">
        <v>908914</v>
      </c>
      <c r="G78" t="n">
        <v>1071948</v>
      </c>
      <c r="H78" t="inlineStr">
        <is>
          <t>Auto-split from Projects.Financial Year — edit to revise</t>
        </is>
      </c>
    </row>
    <row r="79">
      <c r="A79" t="inlineStr">
        <is>
          <t>PRJ038</t>
        </is>
      </c>
      <c r="B79" t="inlineStr">
        <is>
          <t>Salesforce CRM</t>
        </is>
      </c>
      <c r="C79" t="inlineStr">
        <is>
          <t>FY26</t>
        </is>
      </c>
      <c r="D79" t="n">
        <v>50</v>
      </c>
      <c r="E79" t="n">
        <v>50</v>
      </c>
      <c r="F79" t="n">
        <v>908914</v>
      </c>
      <c r="G79" t="n">
        <v>1071948</v>
      </c>
      <c r="H79" t="inlineStr">
        <is>
          <t>Auto-split from Projects.Financial Year — edit to revise</t>
        </is>
      </c>
    </row>
    <row r="80">
      <c r="A80" t="inlineStr">
        <is>
          <t>PRJ039</t>
        </is>
      </c>
      <c r="B80" t="inlineStr">
        <is>
          <t>M365 Rollout</t>
        </is>
      </c>
      <c r="C80" t="inlineStr">
        <is>
          <t>FY25</t>
        </is>
      </c>
      <c r="D80" t="n">
        <v>50</v>
      </c>
      <c r="E80" t="n">
        <v>50</v>
      </c>
      <c r="F80" t="n">
        <v>1562602</v>
      </c>
      <c r="G80" t="n">
        <v>1490838</v>
      </c>
      <c r="H80" t="inlineStr">
        <is>
          <t>Auto-split from Projects.Financial Year — edit to revise</t>
        </is>
      </c>
    </row>
    <row r="81">
      <c r="A81" t="inlineStr">
        <is>
          <t>PRJ039</t>
        </is>
      </c>
      <c r="B81" t="inlineStr">
        <is>
          <t>M365 Rollout</t>
        </is>
      </c>
      <c r="C81" t="inlineStr">
        <is>
          <t>FY26</t>
        </is>
      </c>
      <c r="D81" t="n">
        <v>50</v>
      </c>
      <c r="E81" t="n">
        <v>50</v>
      </c>
      <c r="F81" t="n">
        <v>1562602</v>
      </c>
      <c r="G81" t="n">
        <v>1490838</v>
      </c>
      <c r="H81" t="inlineStr">
        <is>
          <t>Auto-split from Projects.Financial Year — edit to revise</t>
        </is>
      </c>
    </row>
    <row r="82">
      <c r="A82" t="inlineStr">
        <is>
          <t>PRJ040</t>
        </is>
      </c>
      <c r="B82" t="inlineStr">
        <is>
          <t>Zero-Trust Net</t>
        </is>
      </c>
      <c r="C82" t="inlineStr">
        <is>
          <t>FY25</t>
        </is>
      </c>
      <c r="D82" t="n">
        <v>50</v>
      </c>
      <c r="E82" t="n">
        <v>50</v>
      </c>
      <c r="F82" t="n">
        <v>846610</v>
      </c>
      <c r="G82" t="n">
        <v>729290</v>
      </c>
      <c r="H82" t="inlineStr">
        <is>
          <t>Auto-split from Projects.Financial Year — edit to revise</t>
        </is>
      </c>
    </row>
    <row r="83">
      <c r="A83" t="inlineStr">
        <is>
          <t>PRJ040</t>
        </is>
      </c>
      <c r="B83" t="inlineStr">
        <is>
          <t>Zero-Trust Net</t>
        </is>
      </c>
      <c r="C83" t="inlineStr">
        <is>
          <t>FY26</t>
        </is>
      </c>
      <c r="D83" t="n">
        <v>50</v>
      </c>
      <c r="E83" t="n">
        <v>50</v>
      </c>
      <c r="F83" t="n">
        <v>846610</v>
      </c>
      <c r="G83" t="n">
        <v>729290</v>
      </c>
      <c r="H83" t="inlineStr">
        <is>
          <t>Auto-split from Projects.Financial Year — edit to revise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2026-07-17T04:59:43Z</dcterms:created>
  <dcterms:modified xmlns:dcterms="http://purl.org/dc/terms/" xmlns:xsi="http://www.w3.org/2001/XMLSchema-instance" xsi:type="dcterms:W3CDTF">2026-07-17T05:29:50Z</dcterms:modified>
  <cp:revision>0</cp:revision>
</cp:coreProperties>
</file>